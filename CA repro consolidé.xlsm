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Repretechnique\Application vba\App 12M\"/>
    </mc:Choice>
  </mc:AlternateContent>
  <xr:revisionPtr revIDLastSave="0" documentId="13_ncr:1_{5C6016B7-B42B-46AC-BAE1-B310B54B051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12M glissant produits &amp; sites" sheetId="7" r:id="rId1"/>
    <sheet name="CA brut produits &amp; sites" sheetId="6" r:id="rId2"/>
    <sheet name="P12M &amp; PM produits et sites" sheetId="1" state="hidden" r:id="rId3"/>
    <sheet name="P12M &amp; PM sites" sheetId="2" state="hidden" r:id="rId4"/>
    <sheet name="Courbe CA" sheetId="3" state="hidden" r:id="rId5"/>
    <sheet name="Courbe CA sites" sheetId="4" state="hidden" r:id="rId6"/>
  </sheets>
  <externalReferences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xlnm.Print_Titles" localSheetId="0">'12M glissant produits &amp; sites'!$1:$1</definedName>
    <definedName name="Mois">'CA brut produits &amp; sites'!$DNB$1:$DNB$968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887" i="7" l="1"/>
  <c r="P888" i="7"/>
  <c r="P889" i="7"/>
  <c r="P890" i="7"/>
  <c r="P891" i="7"/>
  <c r="P892" i="7"/>
  <c r="P893" i="7"/>
  <c r="P894" i="7"/>
  <c r="P895" i="7"/>
  <c r="P896" i="7"/>
  <c r="O887" i="7"/>
  <c r="O888" i="7"/>
  <c r="O889" i="7"/>
  <c r="O890" i="7"/>
  <c r="O891" i="7"/>
  <c r="O892" i="7"/>
  <c r="O893" i="7"/>
  <c r="O894" i="7"/>
  <c r="O895" i="7"/>
  <c r="O896" i="7"/>
  <c r="N887" i="7"/>
  <c r="N888" i="7"/>
  <c r="N889" i="7"/>
  <c r="N890" i="7"/>
  <c r="N891" i="7"/>
  <c r="N892" i="7"/>
  <c r="N893" i="7"/>
  <c r="N894" i="7"/>
  <c r="N895" i="7"/>
  <c r="N896" i="7"/>
  <c r="M887" i="7"/>
  <c r="M888" i="7"/>
  <c r="M889" i="7"/>
  <c r="M890" i="7"/>
  <c r="M891" i="7"/>
  <c r="M892" i="7"/>
  <c r="M893" i="7"/>
  <c r="M894" i="7"/>
  <c r="M895" i="7"/>
  <c r="M896" i="7"/>
  <c r="L887" i="7"/>
  <c r="L888" i="7"/>
  <c r="L889" i="7"/>
  <c r="L890" i="7"/>
  <c r="L891" i="7"/>
  <c r="L892" i="7"/>
  <c r="L893" i="7"/>
  <c r="L894" i="7"/>
  <c r="L895" i="7"/>
  <c r="L896" i="7"/>
  <c r="K887" i="7"/>
  <c r="K888" i="7"/>
  <c r="K889" i="7"/>
  <c r="K890" i="7"/>
  <c r="K891" i="7"/>
  <c r="K892" i="7"/>
  <c r="K893" i="7"/>
  <c r="K894" i="7"/>
  <c r="K895" i="7"/>
  <c r="K896" i="7"/>
  <c r="J887" i="7"/>
  <c r="J888" i="7"/>
  <c r="J889" i="7"/>
  <c r="J890" i="7"/>
  <c r="J891" i="7"/>
  <c r="J892" i="7"/>
  <c r="J893" i="7"/>
  <c r="J894" i="7"/>
  <c r="J895" i="7"/>
  <c r="J896" i="7"/>
  <c r="I887" i="7"/>
  <c r="I888" i="7"/>
  <c r="I889" i="7"/>
  <c r="I890" i="7"/>
  <c r="I891" i="7"/>
  <c r="I892" i="7"/>
  <c r="I893" i="7"/>
  <c r="I894" i="7"/>
  <c r="I895" i="7"/>
  <c r="I896" i="7"/>
  <c r="H887" i="7"/>
  <c r="H888" i="7"/>
  <c r="H889" i="7"/>
  <c r="H890" i="7"/>
  <c r="H891" i="7"/>
  <c r="H892" i="7"/>
  <c r="H893" i="7"/>
  <c r="H894" i="7"/>
  <c r="H895" i="7"/>
  <c r="H896" i="7"/>
  <c r="G887" i="7"/>
  <c r="G888" i="7"/>
  <c r="G889" i="7"/>
  <c r="G890" i="7"/>
  <c r="G891" i="7"/>
  <c r="G892" i="7"/>
  <c r="G893" i="7"/>
  <c r="G894" i="7"/>
  <c r="G895" i="7"/>
  <c r="G896" i="7"/>
  <c r="F887" i="7"/>
  <c r="F888" i="7"/>
  <c r="F889" i="7"/>
  <c r="F890" i="7"/>
  <c r="F891" i="7"/>
  <c r="F892" i="7"/>
  <c r="F893" i="7"/>
  <c r="F894" i="7"/>
  <c r="F895" i="7"/>
  <c r="F896" i="7"/>
  <c r="E887" i="7"/>
  <c r="E888" i="7"/>
  <c r="E889" i="7"/>
  <c r="E890" i="7"/>
  <c r="E891" i="7"/>
  <c r="E892" i="7"/>
  <c r="E893" i="7"/>
  <c r="E894" i="7"/>
  <c r="E895" i="7"/>
  <c r="E896" i="7"/>
  <c r="D887" i="7"/>
  <c r="D888" i="7"/>
  <c r="D889" i="7"/>
  <c r="D890" i="7"/>
  <c r="D891" i="7"/>
  <c r="D892" i="7"/>
  <c r="D893" i="7"/>
  <c r="D894" i="7"/>
  <c r="D895" i="7"/>
  <c r="D896" i="7"/>
  <c r="C887" i="7"/>
  <c r="C888" i="7"/>
  <c r="C889" i="7"/>
  <c r="C890" i="7"/>
  <c r="C891" i="7"/>
  <c r="C892" i="7"/>
  <c r="C893" i="7"/>
  <c r="C894" i="7"/>
  <c r="C895" i="7"/>
  <c r="C896" i="7"/>
  <c r="P787" i="7"/>
  <c r="P788" i="7"/>
  <c r="P789" i="7"/>
  <c r="P790" i="7"/>
  <c r="P791" i="7"/>
  <c r="P792" i="7"/>
  <c r="P793" i="7"/>
  <c r="P794" i="7"/>
  <c r="P795" i="7"/>
  <c r="P796" i="7"/>
  <c r="O787" i="7"/>
  <c r="O788" i="7"/>
  <c r="O789" i="7"/>
  <c r="O790" i="7"/>
  <c r="O791" i="7"/>
  <c r="O792" i="7"/>
  <c r="O793" i="7"/>
  <c r="O794" i="7"/>
  <c r="O795" i="7"/>
  <c r="O796" i="7"/>
  <c r="N787" i="7"/>
  <c r="N788" i="7"/>
  <c r="N789" i="7"/>
  <c r="N790" i="7"/>
  <c r="C790" i="7" s="1"/>
  <c r="N791" i="7"/>
  <c r="N792" i="7"/>
  <c r="N793" i="7"/>
  <c r="N794" i="7"/>
  <c r="N795" i="7"/>
  <c r="N796" i="7"/>
  <c r="M787" i="7"/>
  <c r="M788" i="7"/>
  <c r="M789" i="7"/>
  <c r="M790" i="7"/>
  <c r="M791" i="7"/>
  <c r="M792" i="7"/>
  <c r="M793" i="7"/>
  <c r="M794" i="7"/>
  <c r="M795" i="7"/>
  <c r="M796" i="7"/>
  <c r="L787" i="7"/>
  <c r="L788" i="7"/>
  <c r="L789" i="7"/>
  <c r="L790" i="7"/>
  <c r="L791" i="7"/>
  <c r="L792" i="7"/>
  <c r="L793" i="7"/>
  <c r="L794" i="7"/>
  <c r="L795" i="7"/>
  <c r="L796" i="7"/>
  <c r="K787" i="7"/>
  <c r="K788" i="7"/>
  <c r="K789" i="7"/>
  <c r="K790" i="7"/>
  <c r="K791" i="7"/>
  <c r="K792" i="7"/>
  <c r="K793" i="7"/>
  <c r="K794" i="7"/>
  <c r="K795" i="7"/>
  <c r="K796" i="7"/>
  <c r="J787" i="7"/>
  <c r="J788" i="7"/>
  <c r="J789" i="7"/>
  <c r="J790" i="7"/>
  <c r="J791" i="7"/>
  <c r="J792" i="7"/>
  <c r="J793" i="7"/>
  <c r="J794" i="7"/>
  <c r="J795" i="7"/>
  <c r="J796" i="7"/>
  <c r="I787" i="7"/>
  <c r="I788" i="7"/>
  <c r="I789" i="7"/>
  <c r="I790" i="7"/>
  <c r="I791" i="7"/>
  <c r="I792" i="7"/>
  <c r="I793" i="7"/>
  <c r="I794" i="7"/>
  <c r="I795" i="7"/>
  <c r="I796" i="7"/>
  <c r="H787" i="7"/>
  <c r="H788" i="7"/>
  <c r="H789" i="7"/>
  <c r="H790" i="7"/>
  <c r="H791" i="7"/>
  <c r="H792" i="7"/>
  <c r="H793" i="7"/>
  <c r="H794" i="7"/>
  <c r="H795" i="7"/>
  <c r="H796" i="7"/>
  <c r="G787" i="7"/>
  <c r="G788" i="7"/>
  <c r="G789" i="7"/>
  <c r="G790" i="7"/>
  <c r="G791" i="7"/>
  <c r="G792" i="7"/>
  <c r="G793" i="7"/>
  <c r="G794" i="7"/>
  <c r="G795" i="7"/>
  <c r="G796" i="7"/>
  <c r="F787" i="7"/>
  <c r="F788" i="7"/>
  <c r="F789" i="7"/>
  <c r="F790" i="7"/>
  <c r="F791" i="7"/>
  <c r="F792" i="7"/>
  <c r="F793" i="7"/>
  <c r="F794" i="7"/>
  <c r="F795" i="7"/>
  <c r="F796" i="7"/>
  <c r="E787" i="7"/>
  <c r="E788" i="7"/>
  <c r="E789" i="7"/>
  <c r="E790" i="7"/>
  <c r="E791" i="7"/>
  <c r="E792" i="7"/>
  <c r="E793" i="7"/>
  <c r="E794" i="7"/>
  <c r="E795" i="7"/>
  <c r="E796" i="7"/>
  <c r="D787" i="7"/>
  <c r="D788" i="7"/>
  <c r="D789" i="7"/>
  <c r="D790" i="7"/>
  <c r="D791" i="7"/>
  <c r="D792" i="7"/>
  <c r="D793" i="7"/>
  <c r="D794" i="7"/>
  <c r="D795" i="7"/>
  <c r="D796" i="7"/>
  <c r="C787" i="7"/>
  <c r="C788" i="7"/>
  <c r="C789" i="7"/>
  <c r="C795" i="7"/>
  <c r="C796" i="7"/>
  <c r="P686" i="7"/>
  <c r="P687" i="7"/>
  <c r="P688" i="7"/>
  <c r="P689" i="7"/>
  <c r="P690" i="7"/>
  <c r="P691" i="7"/>
  <c r="P692" i="7"/>
  <c r="P693" i="7"/>
  <c r="P694" i="7"/>
  <c r="P695" i="7"/>
  <c r="O686" i="7"/>
  <c r="O687" i="7"/>
  <c r="O688" i="7"/>
  <c r="O689" i="7"/>
  <c r="O690" i="7"/>
  <c r="O691" i="7"/>
  <c r="O692" i="7"/>
  <c r="O693" i="7"/>
  <c r="O694" i="7"/>
  <c r="O695" i="7"/>
  <c r="N686" i="7"/>
  <c r="N687" i="7"/>
  <c r="N688" i="7"/>
  <c r="N689" i="7"/>
  <c r="N690" i="7"/>
  <c r="N691" i="7"/>
  <c r="N692" i="7"/>
  <c r="N693" i="7"/>
  <c r="N694" i="7"/>
  <c r="N695" i="7"/>
  <c r="M686" i="7"/>
  <c r="M687" i="7"/>
  <c r="M688" i="7"/>
  <c r="M689" i="7"/>
  <c r="M690" i="7"/>
  <c r="M691" i="7"/>
  <c r="M692" i="7"/>
  <c r="M693" i="7"/>
  <c r="M694" i="7"/>
  <c r="M695" i="7"/>
  <c r="L686" i="7"/>
  <c r="L687" i="7"/>
  <c r="L688" i="7"/>
  <c r="L689" i="7"/>
  <c r="L690" i="7"/>
  <c r="L691" i="7"/>
  <c r="L692" i="7"/>
  <c r="L693" i="7"/>
  <c r="L694" i="7"/>
  <c r="L695" i="7"/>
  <c r="K686" i="7"/>
  <c r="K687" i="7"/>
  <c r="K688" i="7"/>
  <c r="K689" i="7"/>
  <c r="K690" i="7"/>
  <c r="K691" i="7"/>
  <c r="K692" i="7"/>
  <c r="K693" i="7"/>
  <c r="K694" i="7"/>
  <c r="K695" i="7"/>
  <c r="J686" i="7"/>
  <c r="J687" i="7"/>
  <c r="J688" i="7"/>
  <c r="J689" i="7"/>
  <c r="J690" i="7"/>
  <c r="J691" i="7"/>
  <c r="J692" i="7"/>
  <c r="J693" i="7"/>
  <c r="J694" i="7"/>
  <c r="J695" i="7"/>
  <c r="I686" i="7"/>
  <c r="I687" i="7"/>
  <c r="C687" i="7" s="1"/>
  <c r="I688" i="7"/>
  <c r="I689" i="7"/>
  <c r="I690" i="7"/>
  <c r="I691" i="7"/>
  <c r="I692" i="7"/>
  <c r="I693" i="7"/>
  <c r="I694" i="7"/>
  <c r="I695" i="7"/>
  <c r="H686" i="7"/>
  <c r="H687" i="7"/>
  <c r="H688" i="7"/>
  <c r="H689" i="7"/>
  <c r="H690" i="7"/>
  <c r="H691" i="7"/>
  <c r="H692" i="7"/>
  <c r="H693" i="7"/>
  <c r="H694" i="7"/>
  <c r="H695" i="7"/>
  <c r="G686" i="7"/>
  <c r="G687" i="7"/>
  <c r="G688" i="7"/>
  <c r="G689" i="7"/>
  <c r="G690" i="7"/>
  <c r="G691" i="7"/>
  <c r="G692" i="7"/>
  <c r="G693" i="7"/>
  <c r="G694" i="7"/>
  <c r="G695" i="7"/>
  <c r="F686" i="7"/>
  <c r="F687" i="7"/>
  <c r="F688" i="7"/>
  <c r="F689" i="7"/>
  <c r="F690" i="7"/>
  <c r="F691" i="7"/>
  <c r="F692" i="7"/>
  <c r="F693" i="7"/>
  <c r="F694" i="7"/>
  <c r="F695" i="7"/>
  <c r="C695" i="7" s="1"/>
  <c r="E686" i="7"/>
  <c r="E687" i="7"/>
  <c r="E688" i="7"/>
  <c r="E689" i="7"/>
  <c r="E690" i="7"/>
  <c r="E691" i="7"/>
  <c r="E692" i="7"/>
  <c r="E693" i="7"/>
  <c r="E694" i="7"/>
  <c r="E695" i="7"/>
  <c r="D686" i="7"/>
  <c r="D687" i="7"/>
  <c r="D688" i="7"/>
  <c r="D689" i="7"/>
  <c r="D690" i="7"/>
  <c r="D691" i="7"/>
  <c r="D692" i="7"/>
  <c r="D693" i="7"/>
  <c r="D694" i="7"/>
  <c r="D695" i="7"/>
  <c r="C686" i="7"/>
  <c r="C694" i="7"/>
  <c r="P585" i="7"/>
  <c r="P586" i="7"/>
  <c r="P587" i="7"/>
  <c r="P588" i="7"/>
  <c r="P589" i="7"/>
  <c r="P590" i="7"/>
  <c r="P591" i="7"/>
  <c r="P592" i="7"/>
  <c r="P593" i="7"/>
  <c r="P594" i="7"/>
  <c r="O585" i="7"/>
  <c r="O586" i="7"/>
  <c r="O587" i="7"/>
  <c r="O588" i="7"/>
  <c r="C588" i="7" s="1"/>
  <c r="O589" i="7"/>
  <c r="O590" i="7"/>
  <c r="O591" i="7"/>
  <c r="O592" i="7"/>
  <c r="O593" i="7"/>
  <c r="O594" i="7"/>
  <c r="N585" i="7"/>
  <c r="N586" i="7"/>
  <c r="N587" i="7"/>
  <c r="N588" i="7"/>
  <c r="N589" i="7"/>
  <c r="N590" i="7"/>
  <c r="N591" i="7"/>
  <c r="N592" i="7"/>
  <c r="N593" i="7"/>
  <c r="N594" i="7"/>
  <c r="M585" i="7"/>
  <c r="M586" i="7"/>
  <c r="M587" i="7"/>
  <c r="M588" i="7"/>
  <c r="M589" i="7"/>
  <c r="M590" i="7"/>
  <c r="M591" i="7"/>
  <c r="M592" i="7"/>
  <c r="M593" i="7"/>
  <c r="M594" i="7"/>
  <c r="L585" i="7"/>
  <c r="L586" i="7"/>
  <c r="L587" i="7"/>
  <c r="L588" i="7"/>
  <c r="L589" i="7"/>
  <c r="L590" i="7"/>
  <c r="L591" i="7"/>
  <c r="L592" i="7"/>
  <c r="L593" i="7"/>
  <c r="L594" i="7"/>
  <c r="K585" i="7"/>
  <c r="K586" i="7"/>
  <c r="K587" i="7"/>
  <c r="K588" i="7"/>
  <c r="K589" i="7"/>
  <c r="K590" i="7"/>
  <c r="K591" i="7"/>
  <c r="K592" i="7"/>
  <c r="K593" i="7"/>
  <c r="K594" i="7"/>
  <c r="J585" i="7"/>
  <c r="J586" i="7"/>
  <c r="C586" i="7" s="1"/>
  <c r="J587" i="7"/>
  <c r="J588" i="7"/>
  <c r="J589" i="7"/>
  <c r="J590" i="7"/>
  <c r="J591" i="7"/>
  <c r="J592" i="7"/>
  <c r="J593" i="7"/>
  <c r="J594" i="7"/>
  <c r="I585" i="7"/>
  <c r="I586" i="7"/>
  <c r="I587" i="7"/>
  <c r="I588" i="7"/>
  <c r="I589" i="7"/>
  <c r="I590" i="7"/>
  <c r="I591" i="7"/>
  <c r="I592" i="7"/>
  <c r="I593" i="7"/>
  <c r="I594" i="7"/>
  <c r="H585" i="7"/>
  <c r="C585" i="7" s="1"/>
  <c r="H586" i="7"/>
  <c r="H587" i="7"/>
  <c r="H588" i="7"/>
  <c r="H589" i="7"/>
  <c r="H590" i="7"/>
  <c r="H591" i="7"/>
  <c r="H592" i="7"/>
  <c r="H593" i="7"/>
  <c r="C593" i="7" s="1"/>
  <c r="H594" i="7"/>
  <c r="G585" i="7"/>
  <c r="G586" i="7"/>
  <c r="G587" i="7"/>
  <c r="G588" i="7"/>
  <c r="G589" i="7"/>
  <c r="G590" i="7"/>
  <c r="G591" i="7"/>
  <c r="G592" i="7"/>
  <c r="G593" i="7"/>
  <c r="G594" i="7"/>
  <c r="F585" i="7"/>
  <c r="F586" i="7"/>
  <c r="F587" i="7"/>
  <c r="F588" i="7"/>
  <c r="F589" i="7"/>
  <c r="F590" i="7"/>
  <c r="F591" i="7"/>
  <c r="F592" i="7"/>
  <c r="F593" i="7"/>
  <c r="F594" i="7"/>
  <c r="E585" i="7"/>
  <c r="E586" i="7"/>
  <c r="E587" i="7"/>
  <c r="E588" i="7"/>
  <c r="E589" i="7"/>
  <c r="E590" i="7"/>
  <c r="E591" i="7"/>
  <c r="E592" i="7"/>
  <c r="E593" i="7"/>
  <c r="E594" i="7"/>
  <c r="D585" i="7"/>
  <c r="D586" i="7"/>
  <c r="D587" i="7"/>
  <c r="D588" i="7"/>
  <c r="D589" i="7"/>
  <c r="D590" i="7"/>
  <c r="D591" i="7"/>
  <c r="D592" i="7"/>
  <c r="D593" i="7"/>
  <c r="D594" i="7"/>
  <c r="C594" i="7"/>
  <c r="P485" i="7"/>
  <c r="P486" i="7"/>
  <c r="P487" i="7"/>
  <c r="P488" i="7"/>
  <c r="P489" i="7"/>
  <c r="P490" i="7"/>
  <c r="P491" i="7"/>
  <c r="P492" i="7"/>
  <c r="P493" i="7"/>
  <c r="P494" i="7"/>
  <c r="O485" i="7"/>
  <c r="O486" i="7"/>
  <c r="O487" i="7"/>
  <c r="O488" i="7"/>
  <c r="O489" i="7"/>
  <c r="O490" i="7"/>
  <c r="O491" i="7"/>
  <c r="O492" i="7"/>
  <c r="O493" i="7"/>
  <c r="O494" i="7"/>
  <c r="N485" i="7"/>
  <c r="N486" i="7"/>
  <c r="N487" i="7"/>
  <c r="N488" i="7"/>
  <c r="N489" i="7"/>
  <c r="N490" i="7"/>
  <c r="N491" i="7"/>
  <c r="N492" i="7"/>
  <c r="N493" i="7"/>
  <c r="N494" i="7"/>
  <c r="M485" i="7"/>
  <c r="M486" i="7"/>
  <c r="M487" i="7"/>
  <c r="M488" i="7"/>
  <c r="M489" i="7"/>
  <c r="M490" i="7"/>
  <c r="M491" i="7"/>
  <c r="M492" i="7"/>
  <c r="M493" i="7"/>
  <c r="M494" i="7"/>
  <c r="L485" i="7"/>
  <c r="L486" i="7"/>
  <c r="L487" i="7"/>
  <c r="L488" i="7"/>
  <c r="L489" i="7"/>
  <c r="L490" i="7"/>
  <c r="L491" i="7"/>
  <c r="L492" i="7"/>
  <c r="L493" i="7"/>
  <c r="L494" i="7"/>
  <c r="K485" i="7"/>
  <c r="K486" i="7"/>
  <c r="K487" i="7"/>
  <c r="K488" i="7"/>
  <c r="K489" i="7"/>
  <c r="K490" i="7"/>
  <c r="K491" i="7"/>
  <c r="K492" i="7"/>
  <c r="K493" i="7"/>
  <c r="K494" i="7"/>
  <c r="J485" i="7"/>
  <c r="J486" i="7"/>
  <c r="J487" i="7"/>
  <c r="J488" i="7"/>
  <c r="J489" i="7"/>
  <c r="J490" i="7"/>
  <c r="J491" i="7"/>
  <c r="J492" i="7"/>
  <c r="J493" i="7"/>
  <c r="J494" i="7"/>
  <c r="I485" i="7"/>
  <c r="I486" i="7"/>
  <c r="I487" i="7"/>
  <c r="I488" i="7"/>
  <c r="I489" i="7"/>
  <c r="I490" i="7"/>
  <c r="I491" i="7"/>
  <c r="I492" i="7"/>
  <c r="I493" i="7"/>
  <c r="I494" i="7"/>
  <c r="H485" i="7"/>
  <c r="H486" i="7"/>
  <c r="H487" i="7"/>
  <c r="H488" i="7"/>
  <c r="H489" i="7"/>
  <c r="H490" i="7"/>
  <c r="H491" i="7"/>
  <c r="H492" i="7"/>
  <c r="H493" i="7"/>
  <c r="H494" i="7"/>
  <c r="G485" i="7"/>
  <c r="G486" i="7"/>
  <c r="G487" i="7"/>
  <c r="G488" i="7"/>
  <c r="G489" i="7"/>
  <c r="G490" i="7"/>
  <c r="G491" i="7"/>
  <c r="G492" i="7"/>
  <c r="G493" i="7"/>
  <c r="G494" i="7"/>
  <c r="F485" i="7"/>
  <c r="F486" i="7"/>
  <c r="F487" i="7"/>
  <c r="F488" i="7"/>
  <c r="C488" i="7" s="1"/>
  <c r="F489" i="7"/>
  <c r="F490" i="7"/>
  <c r="F491" i="7"/>
  <c r="F492" i="7"/>
  <c r="F493" i="7"/>
  <c r="F494" i="7"/>
  <c r="E485" i="7"/>
  <c r="E486" i="7"/>
  <c r="E487" i="7"/>
  <c r="E488" i="7"/>
  <c r="E489" i="7"/>
  <c r="E490" i="7"/>
  <c r="E491" i="7"/>
  <c r="E492" i="7"/>
  <c r="E493" i="7"/>
  <c r="E494" i="7"/>
  <c r="D485" i="7"/>
  <c r="D486" i="7"/>
  <c r="D487" i="7"/>
  <c r="D488" i="7"/>
  <c r="D489" i="7"/>
  <c r="D490" i="7"/>
  <c r="D491" i="7"/>
  <c r="D492" i="7"/>
  <c r="D493" i="7"/>
  <c r="D494" i="7"/>
  <c r="C485" i="7"/>
  <c r="C486" i="7"/>
  <c r="C493" i="7"/>
  <c r="C494" i="7"/>
  <c r="P385" i="7"/>
  <c r="P386" i="7"/>
  <c r="P387" i="7"/>
  <c r="P388" i="7"/>
  <c r="P389" i="7"/>
  <c r="P390" i="7"/>
  <c r="P391" i="7"/>
  <c r="P392" i="7"/>
  <c r="P393" i="7"/>
  <c r="P394" i="7"/>
  <c r="O385" i="7"/>
  <c r="O386" i="7"/>
  <c r="C386" i="7" s="1"/>
  <c r="O387" i="7"/>
  <c r="O388" i="7"/>
  <c r="O389" i="7"/>
  <c r="O390" i="7"/>
  <c r="O391" i="7"/>
  <c r="O392" i="7"/>
  <c r="O393" i="7"/>
  <c r="O394" i="7"/>
  <c r="N385" i="7"/>
  <c r="N386" i="7"/>
  <c r="N387" i="7"/>
  <c r="N388" i="7"/>
  <c r="N389" i="7"/>
  <c r="N390" i="7"/>
  <c r="N391" i="7"/>
  <c r="N392" i="7"/>
  <c r="N393" i="7"/>
  <c r="N394" i="7"/>
  <c r="M385" i="7"/>
  <c r="M386" i="7"/>
  <c r="M387" i="7"/>
  <c r="M388" i="7"/>
  <c r="M389" i="7"/>
  <c r="M390" i="7"/>
  <c r="M391" i="7"/>
  <c r="M392" i="7"/>
  <c r="M393" i="7"/>
  <c r="M394" i="7"/>
  <c r="L385" i="7"/>
  <c r="L386" i="7"/>
  <c r="L387" i="7"/>
  <c r="L388" i="7"/>
  <c r="L389" i="7"/>
  <c r="L390" i="7"/>
  <c r="L391" i="7"/>
  <c r="L392" i="7"/>
  <c r="L393" i="7"/>
  <c r="L394" i="7"/>
  <c r="K385" i="7"/>
  <c r="K386" i="7"/>
  <c r="K387" i="7"/>
  <c r="K388" i="7"/>
  <c r="K389" i="7"/>
  <c r="K390" i="7"/>
  <c r="K391" i="7"/>
  <c r="K392" i="7"/>
  <c r="K393" i="7"/>
  <c r="K394" i="7"/>
  <c r="J385" i="7"/>
  <c r="J386" i="7"/>
  <c r="J387" i="7"/>
  <c r="J388" i="7"/>
  <c r="J389" i="7"/>
  <c r="J390" i="7"/>
  <c r="J391" i="7"/>
  <c r="J392" i="7"/>
  <c r="J393" i="7"/>
  <c r="J394" i="7"/>
  <c r="I385" i="7"/>
  <c r="I386" i="7"/>
  <c r="I387" i="7"/>
  <c r="I388" i="7"/>
  <c r="I389" i="7"/>
  <c r="I390" i="7"/>
  <c r="I391" i="7"/>
  <c r="I392" i="7"/>
  <c r="I393" i="7"/>
  <c r="I394" i="7"/>
  <c r="H385" i="7"/>
  <c r="C385" i="7" s="1"/>
  <c r="H386" i="7"/>
  <c r="H387" i="7"/>
  <c r="H388" i="7"/>
  <c r="H389" i="7"/>
  <c r="H390" i="7"/>
  <c r="H391" i="7"/>
  <c r="H392" i="7"/>
  <c r="H393" i="7"/>
  <c r="C393" i="7" s="1"/>
  <c r="H394" i="7"/>
  <c r="G385" i="7"/>
  <c r="G386" i="7"/>
  <c r="G387" i="7"/>
  <c r="G388" i="7"/>
  <c r="G389" i="7"/>
  <c r="G390" i="7"/>
  <c r="G391" i="7"/>
  <c r="G392" i="7"/>
  <c r="G393" i="7"/>
  <c r="G394" i="7"/>
  <c r="F385" i="7"/>
  <c r="F386" i="7"/>
  <c r="F387" i="7"/>
  <c r="F388" i="7"/>
  <c r="C388" i="7" s="1"/>
  <c r="F389" i="7"/>
  <c r="F390" i="7"/>
  <c r="F391" i="7"/>
  <c r="F392" i="7"/>
  <c r="F393" i="7"/>
  <c r="F394" i="7"/>
  <c r="E385" i="7"/>
  <c r="E386" i="7"/>
  <c r="E387" i="7"/>
  <c r="E388" i="7"/>
  <c r="E389" i="7"/>
  <c r="E390" i="7"/>
  <c r="E391" i="7"/>
  <c r="E392" i="7"/>
  <c r="E393" i="7"/>
  <c r="E394" i="7"/>
  <c r="D385" i="7"/>
  <c r="D386" i="7"/>
  <c r="D387" i="7"/>
  <c r="D388" i="7"/>
  <c r="D389" i="7"/>
  <c r="D390" i="7"/>
  <c r="D391" i="7"/>
  <c r="D392" i="7"/>
  <c r="D393" i="7"/>
  <c r="D394" i="7"/>
  <c r="C394" i="7"/>
  <c r="P285" i="7"/>
  <c r="P286" i="7"/>
  <c r="P287" i="7"/>
  <c r="P288" i="7"/>
  <c r="P289" i="7"/>
  <c r="P290" i="7"/>
  <c r="P291" i="7"/>
  <c r="P292" i="7"/>
  <c r="P293" i="7"/>
  <c r="P294" i="7"/>
  <c r="O285" i="7"/>
  <c r="O286" i="7"/>
  <c r="O287" i="7"/>
  <c r="O288" i="7"/>
  <c r="O289" i="7"/>
  <c r="O290" i="7"/>
  <c r="O291" i="7"/>
  <c r="O292" i="7"/>
  <c r="O293" i="7"/>
  <c r="O294" i="7"/>
  <c r="N285" i="7"/>
  <c r="N286" i="7"/>
  <c r="N287" i="7"/>
  <c r="N288" i="7"/>
  <c r="N289" i="7"/>
  <c r="N290" i="7"/>
  <c r="N291" i="7"/>
  <c r="N292" i="7"/>
  <c r="N293" i="7"/>
  <c r="N294" i="7"/>
  <c r="M285" i="7"/>
  <c r="M286" i="7"/>
  <c r="M287" i="7"/>
  <c r="M288" i="7"/>
  <c r="M289" i="7"/>
  <c r="M290" i="7"/>
  <c r="M291" i="7"/>
  <c r="M292" i="7"/>
  <c r="M293" i="7"/>
  <c r="M294" i="7"/>
  <c r="L285" i="7"/>
  <c r="L286" i="7"/>
  <c r="L287" i="7"/>
  <c r="L288" i="7"/>
  <c r="L289" i="7"/>
  <c r="L290" i="7"/>
  <c r="L291" i="7"/>
  <c r="L292" i="7"/>
  <c r="L293" i="7"/>
  <c r="L294" i="7"/>
  <c r="K285" i="7"/>
  <c r="K286" i="7"/>
  <c r="K287" i="7"/>
  <c r="K288" i="7"/>
  <c r="C288" i="7" s="1"/>
  <c r="K289" i="7"/>
  <c r="K290" i="7"/>
  <c r="K291" i="7"/>
  <c r="K292" i="7"/>
  <c r="K293" i="7"/>
  <c r="K294" i="7"/>
  <c r="C294" i="7" s="1"/>
  <c r="J285" i="7"/>
  <c r="J286" i="7"/>
  <c r="J287" i="7"/>
  <c r="J288" i="7"/>
  <c r="J289" i="7"/>
  <c r="J290" i="7"/>
  <c r="J291" i="7"/>
  <c r="J292" i="7"/>
  <c r="J293" i="7"/>
  <c r="J294" i="7"/>
  <c r="I285" i="7"/>
  <c r="I286" i="7"/>
  <c r="I287" i="7"/>
  <c r="I288" i="7"/>
  <c r="I289" i="7"/>
  <c r="I290" i="7"/>
  <c r="I291" i="7"/>
  <c r="I292" i="7"/>
  <c r="I293" i="7"/>
  <c r="I294" i="7"/>
  <c r="H285" i="7"/>
  <c r="C285" i="7" s="1"/>
  <c r="H286" i="7"/>
  <c r="H287" i="7"/>
  <c r="H288" i="7"/>
  <c r="H289" i="7"/>
  <c r="H290" i="7"/>
  <c r="H291" i="7"/>
  <c r="H292" i="7"/>
  <c r="H293" i="7"/>
  <c r="H294" i="7"/>
  <c r="G285" i="7"/>
  <c r="G286" i="7"/>
  <c r="G287" i="7"/>
  <c r="G288" i="7"/>
  <c r="G289" i="7"/>
  <c r="G290" i="7"/>
  <c r="G291" i="7"/>
  <c r="G292" i="7"/>
  <c r="G293" i="7"/>
  <c r="G294" i="7"/>
  <c r="F285" i="7"/>
  <c r="F286" i="7"/>
  <c r="F287" i="7"/>
  <c r="F288" i="7"/>
  <c r="F289" i="7"/>
  <c r="F290" i="7"/>
  <c r="F291" i="7"/>
  <c r="F292" i="7"/>
  <c r="F293" i="7"/>
  <c r="F294" i="7"/>
  <c r="E285" i="7"/>
  <c r="E286" i="7"/>
  <c r="E287" i="7"/>
  <c r="E288" i="7"/>
  <c r="E289" i="7"/>
  <c r="E290" i="7"/>
  <c r="E291" i="7"/>
  <c r="E292" i="7"/>
  <c r="E293" i="7"/>
  <c r="E294" i="7"/>
  <c r="D285" i="7"/>
  <c r="D286" i="7"/>
  <c r="D287" i="7"/>
  <c r="D288" i="7"/>
  <c r="D289" i="7"/>
  <c r="D290" i="7"/>
  <c r="D291" i="7"/>
  <c r="D292" i="7"/>
  <c r="D293" i="7"/>
  <c r="D294" i="7"/>
  <c r="C286" i="7"/>
  <c r="P185" i="7"/>
  <c r="P186" i="7"/>
  <c r="P187" i="7"/>
  <c r="P188" i="7"/>
  <c r="P189" i="7"/>
  <c r="P190" i="7"/>
  <c r="P191" i="7"/>
  <c r="P192" i="7"/>
  <c r="P193" i="7"/>
  <c r="P194" i="7"/>
  <c r="O185" i="7"/>
  <c r="O186" i="7"/>
  <c r="O187" i="7"/>
  <c r="O188" i="7"/>
  <c r="O189" i="7"/>
  <c r="O190" i="7"/>
  <c r="O191" i="7"/>
  <c r="O192" i="7"/>
  <c r="O193" i="7"/>
  <c r="O194" i="7"/>
  <c r="N185" i="7"/>
  <c r="N186" i="7"/>
  <c r="N187" i="7"/>
  <c r="N188" i="7"/>
  <c r="N189" i="7"/>
  <c r="N190" i="7"/>
  <c r="N191" i="7"/>
  <c r="N192" i="7"/>
  <c r="N193" i="7"/>
  <c r="N194" i="7"/>
  <c r="M185" i="7"/>
  <c r="M186" i="7"/>
  <c r="M187" i="7"/>
  <c r="M188" i="7"/>
  <c r="M189" i="7"/>
  <c r="M190" i="7"/>
  <c r="M191" i="7"/>
  <c r="M192" i="7"/>
  <c r="M193" i="7"/>
  <c r="M194" i="7"/>
  <c r="L185" i="7"/>
  <c r="L186" i="7"/>
  <c r="L187" i="7"/>
  <c r="L188" i="7"/>
  <c r="L189" i="7"/>
  <c r="L190" i="7"/>
  <c r="L191" i="7"/>
  <c r="L192" i="7"/>
  <c r="L193" i="7"/>
  <c r="L194" i="7"/>
  <c r="K185" i="7"/>
  <c r="K186" i="7"/>
  <c r="K187" i="7"/>
  <c r="K188" i="7"/>
  <c r="K189" i="7"/>
  <c r="K190" i="7"/>
  <c r="K191" i="7"/>
  <c r="K192" i="7"/>
  <c r="K193" i="7"/>
  <c r="K194" i="7"/>
  <c r="J185" i="7"/>
  <c r="J186" i="7"/>
  <c r="J187" i="7"/>
  <c r="J188" i="7"/>
  <c r="J189" i="7"/>
  <c r="J190" i="7"/>
  <c r="J191" i="7"/>
  <c r="J192" i="7"/>
  <c r="J193" i="7"/>
  <c r="J194" i="7"/>
  <c r="I185" i="7"/>
  <c r="I186" i="7"/>
  <c r="I187" i="7"/>
  <c r="I188" i="7"/>
  <c r="I189" i="7"/>
  <c r="I190" i="7"/>
  <c r="I191" i="7"/>
  <c r="I192" i="7"/>
  <c r="I193" i="7"/>
  <c r="I194" i="7"/>
  <c r="H185" i="7"/>
  <c r="H186" i="7"/>
  <c r="H187" i="7"/>
  <c r="H188" i="7"/>
  <c r="H189" i="7"/>
  <c r="H190" i="7"/>
  <c r="H191" i="7"/>
  <c r="H192" i="7"/>
  <c r="H193" i="7"/>
  <c r="H194" i="7"/>
  <c r="G185" i="7"/>
  <c r="G186" i="7"/>
  <c r="G187" i="7"/>
  <c r="G188" i="7"/>
  <c r="G189" i="7"/>
  <c r="G190" i="7"/>
  <c r="G191" i="7"/>
  <c r="G192" i="7"/>
  <c r="G193" i="7"/>
  <c r="G194" i="7"/>
  <c r="F185" i="7"/>
  <c r="F186" i="7"/>
  <c r="F187" i="7"/>
  <c r="F188" i="7"/>
  <c r="F189" i="7"/>
  <c r="F190" i="7"/>
  <c r="F191" i="7"/>
  <c r="F192" i="7"/>
  <c r="F193" i="7"/>
  <c r="F194" i="7"/>
  <c r="E185" i="7"/>
  <c r="E186" i="7"/>
  <c r="E187" i="7"/>
  <c r="E188" i="7"/>
  <c r="E189" i="7"/>
  <c r="E190" i="7"/>
  <c r="E191" i="7"/>
  <c r="E192" i="7"/>
  <c r="E193" i="7"/>
  <c r="E194" i="7"/>
  <c r="D185" i="7"/>
  <c r="D186" i="7"/>
  <c r="D187" i="7"/>
  <c r="D188" i="7"/>
  <c r="D189" i="7"/>
  <c r="D190" i="7"/>
  <c r="D191" i="7"/>
  <c r="D192" i="7"/>
  <c r="D193" i="7"/>
  <c r="D194" i="7"/>
  <c r="C185" i="7"/>
  <c r="C186" i="7"/>
  <c r="C193" i="7"/>
  <c r="C194" i="7"/>
  <c r="C92" i="7"/>
  <c r="P92" i="7"/>
  <c r="O92" i="7"/>
  <c r="N92" i="7"/>
  <c r="M92" i="7"/>
  <c r="L92" i="7"/>
  <c r="K92" i="7"/>
  <c r="J92" i="7"/>
  <c r="I92" i="7"/>
  <c r="H92" i="7"/>
  <c r="G92" i="7"/>
  <c r="F92" i="7"/>
  <c r="E92" i="7"/>
  <c r="D92" i="7"/>
  <c r="P970" i="6"/>
  <c r="P971" i="6"/>
  <c r="P972" i="6"/>
  <c r="P973" i="6"/>
  <c r="P974" i="6"/>
  <c r="P975" i="6"/>
  <c r="P976" i="6"/>
  <c r="P977" i="6"/>
  <c r="O970" i="6"/>
  <c r="O971" i="6"/>
  <c r="O972" i="6"/>
  <c r="O973" i="6"/>
  <c r="O974" i="6"/>
  <c r="O975" i="6"/>
  <c r="O976" i="6"/>
  <c r="O977" i="6"/>
  <c r="N970" i="6"/>
  <c r="N971" i="6"/>
  <c r="N972" i="6"/>
  <c r="N973" i="6"/>
  <c r="N974" i="6"/>
  <c r="N975" i="6"/>
  <c r="N976" i="6"/>
  <c r="N977" i="6"/>
  <c r="M970" i="6"/>
  <c r="M971" i="6"/>
  <c r="M972" i="6"/>
  <c r="M973" i="6"/>
  <c r="M974" i="6"/>
  <c r="M975" i="6"/>
  <c r="M976" i="6"/>
  <c r="M977" i="6"/>
  <c r="L970" i="6"/>
  <c r="L971" i="6"/>
  <c r="L972" i="6"/>
  <c r="L973" i="6"/>
  <c r="L974" i="6"/>
  <c r="L975" i="6"/>
  <c r="L976" i="6"/>
  <c r="L977" i="6"/>
  <c r="K970" i="6"/>
  <c r="K971" i="6"/>
  <c r="K972" i="6"/>
  <c r="K973" i="6"/>
  <c r="K974" i="6"/>
  <c r="K975" i="6"/>
  <c r="K976" i="6"/>
  <c r="K977" i="6"/>
  <c r="J970" i="6"/>
  <c r="J971" i="6"/>
  <c r="J972" i="6"/>
  <c r="J973" i="6"/>
  <c r="J974" i="6"/>
  <c r="J975" i="6"/>
  <c r="J976" i="6"/>
  <c r="J977" i="6"/>
  <c r="I970" i="6"/>
  <c r="I971" i="6"/>
  <c r="I972" i="6"/>
  <c r="I973" i="6"/>
  <c r="I974" i="6"/>
  <c r="I975" i="6"/>
  <c r="I976" i="6"/>
  <c r="I977" i="6"/>
  <c r="H970" i="6"/>
  <c r="H971" i="6"/>
  <c r="H972" i="6"/>
  <c r="H973" i="6"/>
  <c r="H974" i="6"/>
  <c r="H975" i="6"/>
  <c r="H976" i="6"/>
  <c r="H977" i="6"/>
  <c r="G970" i="6"/>
  <c r="G971" i="6"/>
  <c r="G972" i="6"/>
  <c r="G973" i="6"/>
  <c r="G974" i="6"/>
  <c r="G975" i="6"/>
  <c r="G976" i="6"/>
  <c r="G977" i="6"/>
  <c r="F970" i="6"/>
  <c r="F971" i="6"/>
  <c r="F972" i="6"/>
  <c r="F973" i="6"/>
  <c r="F974" i="6"/>
  <c r="F975" i="6"/>
  <c r="F976" i="6"/>
  <c r="F977" i="6"/>
  <c r="E970" i="6"/>
  <c r="E971" i="6"/>
  <c r="E972" i="6"/>
  <c r="E973" i="6"/>
  <c r="E974" i="6"/>
  <c r="E975" i="6"/>
  <c r="E976" i="6"/>
  <c r="E977" i="6"/>
  <c r="D970" i="6"/>
  <c r="D971" i="6"/>
  <c r="D972" i="6"/>
  <c r="D973" i="6"/>
  <c r="D974" i="6"/>
  <c r="D975" i="6"/>
  <c r="D976" i="6"/>
  <c r="D977" i="6"/>
  <c r="C970" i="6"/>
  <c r="C971" i="6"/>
  <c r="C972" i="6"/>
  <c r="C973" i="6"/>
  <c r="C974" i="6"/>
  <c r="C975" i="6"/>
  <c r="C976" i="6"/>
  <c r="C977" i="6"/>
  <c r="P861" i="6"/>
  <c r="P862" i="6"/>
  <c r="P863" i="6"/>
  <c r="P864" i="6"/>
  <c r="P865" i="6"/>
  <c r="P866" i="6"/>
  <c r="P867" i="6"/>
  <c r="P868" i="6"/>
  <c r="O861" i="6"/>
  <c r="O862" i="6"/>
  <c r="O863" i="6"/>
  <c r="O864" i="6"/>
  <c r="O865" i="6"/>
  <c r="O866" i="6"/>
  <c r="O867" i="6"/>
  <c r="O868" i="6"/>
  <c r="N861" i="6"/>
  <c r="N862" i="6"/>
  <c r="N863" i="6"/>
  <c r="N864" i="6"/>
  <c r="N865" i="6"/>
  <c r="N866" i="6"/>
  <c r="N867" i="6"/>
  <c r="N868" i="6"/>
  <c r="M861" i="6"/>
  <c r="M862" i="6"/>
  <c r="M863" i="6"/>
  <c r="M864" i="6"/>
  <c r="M865" i="6"/>
  <c r="M866" i="6"/>
  <c r="M867" i="6"/>
  <c r="M868" i="6"/>
  <c r="L861" i="6"/>
  <c r="L862" i="6"/>
  <c r="L863" i="6"/>
  <c r="L864" i="6"/>
  <c r="L865" i="6"/>
  <c r="L866" i="6"/>
  <c r="L867" i="6"/>
  <c r="L868" i="6"/>
  <c r="C868" i="6" s="1"/>
  <c r="K861" i="6"/>
  <c r="K862" i="6"/>
  <c r="K863" i="6"/>
  <c r="K864" i="6"/>
  <c r="K865" i="6"/>
  <c r="K866" i="6"/>
  <c r="K867" i="6"/>
  <c r="K868" i="6"/>
  <c r="J861" i="6"/>
  <c r="J862" i="6"/>
  <c r="J863" i="6"/>
  <c r="J864" i="6"/>
  <c r="J865" i="6"/>
  <c r="J866" i="6"/>
  <c r="J867" i="6"/>
  <c r="J868" i="6"/>
  <c r="I861" i="6"/>
  <c r="I862" i="6"/>
  <c r="I863" i="6"/>
  <c r="I864" i="6"/>
  <c r="I865" i="6"/>
  <c r="I866" i="6"/>
  <c r="I867" i="6"/>
  <c r="I868" i="6"/>
  <c r="H861" i="6"/>
  <c r="H862" i="6"/>
  <c r="H863" i="6"/>
  <c r="H864" i="6"/>
  <c r="H865" i="6"/>
  <c r="H866" i="6"/>
  <c r="H867" i="6"/>
  <c r="H868" i="6"/>
  <c r="G861" i="6"/>
  <c r="G862" i="6"/>
  <c r="G863" i="6"/>
  <c r="G864" i="6"/>
  <c r="G865" i="6"/>
  <c r="G866" i="6"/>
  <c r="G867" i="6"/>
  <c r="G868" i="6"/>
  <c r="F861" i="6"/>
  <c r="F862" i="6"/>
  <c r="F863" i="6"/>
  <c r="F864" i="6"/>
  <c r="F865" i="6"/>
  <c r="F866" i="6"/>
  <c r="F867" i="6"/>
  <c r="F868" i="6"/>
  <c r="E861" i="6"/>
  <c r="E862" i="6"/>
  <c r="E863" i="6"/>
  <c r="E864" i="6"/>
  <c r="E865" i="6"/>
  <c r="E866" i="6"/>
  <c r="E867" i="6"/>
  <c r="E868" i="6"/>
  <c r="D861" i="6"/>
  <c r="D862" i="6"/>
  <c r="D863" i="6"/>
  <c r="D864" i="6"/>
  <c r="D865" i="6"/>
  <c r="D866" i="6"/>
  <c r="D867" i="6"/>
  <c r="D868" i="6"/>
  <c r="C861" i="6"/>
  <c r="C862" i="6"/>
  <c r="C863" i="6"/>
  <c r="C864" i="6"/>
  <c r="C865" i="6"/>
  <c r="C759" i="6"/>
  <c r="C649" i="6"/>
  <c r="C540" i="6"/>
  <c r="C431" i="6"/>
  <c r="C323" i="6"/>
  <c r="C214" i="6"/>
  <c r="C105" i="6"/>
  <c r="C91" i="7"/>
  <c r="P91" i="7"/>
  <c r="O91" i="7"/>
  <c r="N91" i="7"/>
  <c r="M91" i="7"/>
  <c r="L91" i="7"/>
  <c r="K91" i="7"/>
  <c r="J91" i="7"/>
  <c r="I91" i="7"/>
  <c r="H91" i="7"/>
  <c r="G91" i="7"/>
  <c r="F91" i="7"/>
  <c r="E91" i="7"/>
  <c r="D91" i="7"/>
  <c r="C758" i="6"/>
  <c r="C648" i="6"/>
  <c r="C539" i="6"/>
  <c r="C430" i="6"/>
  <c r="C322" i="6"/>
  <c r="C213" i="6"/>
  <c r="C104" i="6"/>
  <c r="C757" i="6"/>
  <c r="C647" i="6"/>
  <c r="C538" i="6"/>
  <c r="C429" i="6"/>
  <c r="C321" i="6"/>
  <c r="C212" i="6"/>
  <c r="C103" i="6"/>
  <c r="C88" i="7"/>
  <c r="P88" i="7"/>
  <c r="O88" i="7"/>
  <c r="N88" i="7"/>
  <c r="M88" i="7"/>
  <c r="L88" i="7"/>
  <c r="K88" i="7"/>
  <c r="J88" i="7"/>
  <c r="I88" i="7"/>
  <c r="H88" i="7"/>
  <c r="G88" i="7"/>
  <c r="F88" i="7"/>
  <c r="E88" i="7"/>
  <c r="D88" i="7"/>
  <c r="C755" i="6"/>
  <c r="C645" i="6"/>
  <c r="C536" i="6"/>
  <c r="C427" i="6"/>
  <c r="C319" i="6"/>
  <c r="C210" i="6"/>
  <c r="C101" i="6"/>
  <c r="C87" i="7"/>
  <c r="P87" i="7"/>
  <c r="O87" i="7"/>
  <c r="N87" i="7"/>
  <c r="M87" i="7"/>
  <c r="L87" i="7"/>
  <c r="K87" i="7"/>
  <c r="J87" i="7"/>
  <c r="I87" i="7"/>
  <c r="H87" i="7"/>
  <c r="G87" i="7"/>
  <c r="F87" i="7"/>
  <c r="E87" i="7"/>
  <c r="D87" i="7"/>
  <c r="C754" i="6"/>
  <c r="C644" i="6"/>
  <c r="C535" i="6"/>
  <c r="C426" i="6"/>
  <c r="C318" i="6"/>
  <c r="C209" i="6"/>
  <c r="C100" i="6"/>
  <c r="C86" i="7"/>
  <c r="P86" i="7"/>
  <c r="O86" i="7"/>
  <c r="N86" i="7"/>
  <c r="M86" i="7"/>
  <c r="L86" i="7"/>
  <c r="K86" i="7"/>
  <c r="J86" i="7"/>
  <c r="I86" i="7"/>
  <c r="H86" i="7"/>
  <c r="G86" i="7"/>
  <c r="F86" i="7"/>
  <c r="E86" i="7"/>
  <c r="D86" i="7"/>
  <c r="P969" i="6"/>
  <c r="O969" i="6"/>
  <c r="N969" i="6"/>
  <c r="M969" i="6"/>
  <c r="L969" i="6"/>
  <c r="K969" i="6"/>
  <c r="J969" i="6"/>
  <c r="I969" i="6"/>
  <c r="H969" i="6"/>
  <c r="G969" i="6"/>
  <c r="F969" i="6"/>
  <c r="E969" i="6"/>
  <c r="D969" i="6"/>
  <c r="C969" i="6"/>
  <c r="P860" i="6"/>
  <c r="O860" i="6"/>
  <c r="N860" i="6"/>
  <c r="M860" i="6"/>
  <c r="L860" i="6"/>
  <c r="K860" i="6"/>
  <c r="J860" i="6"/>
  <c r="I860" i="6"/>
  <c r="H860" i="6"/>
  <c r="G860" i="6"/>
  <c r="F860" i="6"/>
  <c r="E860" i="6"/>
  <c r="D860" i="6"/>
  <c r="C860" i="6"/>
  <c r="C753" i="6"/>
  <c r="C643" i="6"/>
  <c r="C534" i="6"/>
  <c r="C425" i="6"/>
  <c r="C317" i="6"/>
  <c r="C208" i="6"/>
  <c r="C99" i="6"/>
  <c r="C85" i="7"/>
  <c r="P85" i="7"/>
  <c r="O85" i="7"/>
  <c r="N85" i="7"/>
  <c r="M85" i="7"/>
  <c r="L85" i="7"/>
  <c r="K85" i="7"/>
  <c r="J85" i="7"/>
  <c r="I85" i="7"/>
  <c r="H85" i="7"/>
  <c r="G85" i="7"/>
  <c r="F85" i="7"/>
  <c r="E85" i="7"/>
  <c r="D85" i="7"/>
  <c r="C752" i="6"/>
  <c r="C642" i="6"/>
  <c r="C533" i="6"/>
  <c r="C424" i="6"/>
  <c r="C316" i="6"/>
  <c r="C207" i="6"/>
  <c r="C98" i="6"/>
  <c r="C84" i="7"/>
  <c r="P84" i="7"/>
  <c r="O84" i="7"/>
  <c r="N84" i="7"/>
  <c r="M84" i="7"/>
  <c r="L84" i="7"/>
  <c r="K84" i="7"/>
  <c r="J84" i="7"/>
  <c r="I84" i="7"/>
  <c r="H84" i="7"/>
  <c r="G84" i="7"/>
  <c r="F84" i="7"/>
  <c r="E84" i="7"/>
  <c r="D84" i="7"/>
  <c r="C751" i="6"/>
  <c r="C641" i="6"/>
  <c r="C532" i="6"/>
  <c r="C423" i="6"/>
  <c r="C315" i="6"/>
  <c r="C206" i="6"/>
  <c r="C97" i="6"/>
  <c r="C83" i="7"/>
  <c r="P83" i="7"/>
  <c r="O83" i="7"/>
  <c r="N83" i="7"/>
  <c r="M83" i="7"/>
  <c r="L83" i="7"/>
  <c r="K83" i="7"/>
  <c r="J83" i="7"/>
  <c r="I83" i="7"/>
  <c r="H83" i="7"/>
  <c r="G83" i="7"/>
  <c r="F83" i="7"/>
  <c r="E83" i="7"/>
  <c r="D83" i="7"/>
  <c r="P968" i="6"/>
  <c r="O968" i="6"/>
  <c r="N968" i="6"/>
  <c r="M968" i="6"/>
  <c r="L968" i="6"/>
  <c r="K968" i="6"/>
  <c r="J968" i="6"/>
  <c r="I968" i="6"/>
  <c r="H968" i="6"/>
  <c r="G968" i="6"/>
  <c r="F968" i="6"/>
  <c r="E968" i="6"/>
  <c r="D968" i="6"/>
  <c r="C968" i="6"/>
  <c r="P859" i="6"/>
  <c r="O859" i="6"/>
  <c r="N859" i="6"/>
  <c r="M859" i="6"/>
  <c r="L859" i="6"/>
  <c r="K859" i="6"/>
  <c r="J859" i="6"/>
  <c r="I859" i="6"/>
  <c r="H859" i="6"/>
  <c r="G859" i="6"/>
  <c r="F859" i="6"/>
  <c r="E859" i="6"/>
  <c r="D859" i="6"/>
  <c r="C750" i="6"/>
  <c r="C640" i="6"/>
  <c r="C531" i="6"/>
  <c r="C422" i="6"/>
  <c r="C314" i="6"/>
  <c r="C205" i="6"/>
  <c r="C96" i="6"/>
  <c r="P752" i="6"/>
  <c r="O752" i="6"/>
  <c r="N752" i="6"/>
  <c r="M752" i="6"/>
  <c r="L752" i="6"/>
  <c r="K752" i="6"/>
  <c r="J752" i="6"/>
  <c r="I752" i="6"/>
  <c r="H752" i="6"/>
  <c r="G752" i="6"/>
  <c r="F752" i="6"/>
  <c r="E752" i="6"/>
  <c r="D752" i="6"/>
  <c r="P642" i="6"/>
  <c r="O642" i="6"/>
  <c r="N642" i="6"/>
  <c r="M642" i="6"/>
  <c r="L642" i="6"/>
  <c r="K642" i="6"/>
  <c r="J642" i="6"/>
  <c r="I642" i="6"/>
  <c r="H642" i="6"/>
  <c r="G642" i="6"/>
  <c r="F642" i="6"/>
  <c r="E642" i="6"/>
  <c r="D642" i="6"/>
  <c r="P533" i="6"/>
  <c r="O533" i="6"/>
  <c r="N533" i="6"/>
  <c r="M533" i="6"/>
  <c r="L533" i="6"/>
  <c r="K533" i="6"/>
  <c r="J533" i="6"/>
  <c r="I533" i="6"/>
  <c r="H533" i="6"/>
  <c r="G533" i="6"/>
  <c r="F533" i="6"/>
  <c r="E533" i="6"/>
  <c r="D533" i="6"/>
  <c r="P424" i="6"/>
  <c r="O424" i="6"/>
  <c r="N424" i="6"/>
  <c r="M424" i="6"/>
  <c r="L424" i="6"/>
  <c r="K424" i="6"/>
  <c r="J424" i="6"/>
  <c r="I424" i="6"/>
  <c r="H424" i="6"/>
  <c r="G424" i="6"/>
  <c r="F424" i="6"/>
  <c r="E424" i="6"/>
  <c r="D424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D316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P98" i="6"/>
  <c r="O98" i="6"/>
  <c r="N98" i="6"/>
  <c r="M98" i="6"/>
  <c r="L98" i="6"/>
  <c r="K98" i="6"/>
  <c r="J98" i="6"/>
  <c r="I98" i="6"/>
  <c r="H98" i="6"/>
  <c r="G98" i="6"/>
  <c r="F98" i="6"/>
  <c r="E98" i="6"/>
  <c r="D98" i="6"/>
  <c r="P751" i="6"/>
  <c r="O751" i="6"/>
  <c r="N751" i="6"/>
  <c r="M751" i="6"/>
  <c r="L751" i="6"/>
  <c r="K751" i="6"/>
  <c r="J751" i="6"/>
  <c r="I751" i="6"/>
  <c r="H751" i="6"/>
  <c r="G751" i="6"/>
  <c r="F751" i="6"/>
  <c r="E751" i="6"/>
  <c r="D751" i="6"/>
  <c r="P641" i="6"/>
  <c r="O641" i="6"/>
  <c r="N641" i="6"/>
  <c r="M641" i="6"/>
  <c r="L641" i="6"/>
  <c r="K641" i="6"/>
  <c r="J641" i="6"/>
  <c r="I641" i="6"/>
  <c r="H641" i="6"/>
  <c r="G641" i="6"/>
  <c r="F641" i="6"/>
  <c r="E641" i="6"/>
  <c r="D641" i="6"/>
  <c r="P532" i="6"/>
  <c r="O532" i="6"/>
  <c r="N532" i="6"/>
  <c r="M532" i="6"/>
  <c r="L532" i="6"/>
  <c r="K532" i="6"/>
  <c r="J532" i="6"/>
  <c r="I532" i="6"/>
  <c r="H532" i="6"/>
  <c r="G532" i="6"/>
  <c r="F532" i="6"/>
  <c r="E532" i="6"/>
  <c r="D532" i="6"/>
  <c r="P423" i="6"/>
  <c r="O423" i="6"/>
  <c r="N423" i="6"/>
  <c r="M423" i="6"/>
  <c r="L423" i="6"/>
  <c r="K423" i="6"/>
  <c r="J423" i="6"/>
  <c r="I423" i="6"/>
  <c r="H423" i="6"/>
  <c r="G423" i="6"/>
  <c r="F423" i="6"/>
  <c r="E423" i="6"/>
  <c r="D423" i="6"/>
  <c r="P315" i="6"/>
  <c r="O315" i="6"/>
  <c r="N315" i="6"/>
  <c r="M315" i="6"/>
  <c r="L315" i="6"/>
  <c r="K315" i="6"/>
  <c r="J315" i="6"/>
  <c r="I315" i="6"/>
  <c r="H315" i="6"/>
  <c r="G315" i="6"/>
  <c r="F315" i="6"/>
  <c r="E315" i="6"/>
  <c r="D315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P750" i="6"/>
  <c r="O750" i="6"/>
  <c r="N750" i="6"/>
  <c r="M750" i="6"/>
  <c r="L750" i="6"/>
  <c r="K750" i="6"/>
  <c r="J750" i="6"/>
  <c r="I750" i="6"/>
  <c r="H750" i="6"/>
  <c r="G750" i="6"/>
  <c r="F750" i="6"/>
  <c r="E750" i="6"/>
  <c r="D750" i="6"/>
  <c r="P640" i="6"/>
  <c r="O640" i="6"/>
  <c r="N640" i="6"/>
  <c r="M640" i="6"/>
  <c r="L640" i="6"/>
  <c r="K640" i="6"/>
  <c r="J640" i="6"/>
  <c r="I640" i="6"/>
  <c r="H640" i="6"/>
  <c r="G640" i="6"/>
  <c r="F640" i="6"/>
  <c r="E640" i="6"/>
  <c r="D640" i="6"/>
  <c r="P531" i="6"/>
  <c r="O531" i="6"/>
  <c r="N531" i="6"/>
  <c r="M531" i="6"/>
  <c r="L531" i="6"/>
  <c r="K531" i="6"/>
  <c r="J531" i="6"/>
  <c r="I531" i="6"/>
  <c r="H531" i="6"/>
  <c r="G531" i="6"/>
  <c r="F531" i="6"/>
  <c r="E531" i="6"/>
  <c r="D531" i="6"/>
  <c r="P422" i="6"/>
  <c r="O422" i="6"/>
  <c r="N422" i="6"/>
  <c r="M422" i="6"/>
  <c r="L422" i="6"/>
  <c r="K422" i="6"/>
  <c r="J422" i="6"/>
  <c r="I422" i="6"/>
  <c r="H422" i="6"/>
  <c r="G422" i="6"/>
  <c r="F422" i="6"/>
  <c r="E422" i="6"/>
  <c r="D422" i="6"/>
  <c r="P314" i="6"/>
  <c r="O314" i="6"/>
  <c r="N314" i="6"/>
  <c r="M314" i="6"/>
  <c r="L314" i="6"/>
  <c r="K314" i="6"/>
  <c r="J314" i="6"/>
  <c r="I314" i="6"/>
  <c r="H314" i="6"/>
  <c r="G314" i="6"/>
  <c r="F314" i="6"/>
  <c r="E314" i="6"/>
  <c r="D314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P96" i="6"/>
  <c r="O96" i="6"/>
  <c r="N96" i="6"/>
  <c r="M96" i="6"/>
  <c r="L96" i="6"/>
  <c r="K96" i="6"/>
  <c r="J96" i="6"/>
  <c r="I96" i="6"/>
  <c r="H96" i="6"/>
  <c r="G96" i="6"/>
  <c r="F96" i="6"/>
  <c r="E96" i="6"/>
  <c r="D96" i="6"/>
  <c r="P753" i="6"/>
  <c r="O753" i="6"/>
  <c r="N753" i="6"/>
  <c r="M753" i="6"/>
  <c r="L753" i="6"/>
  <c r="K753" i="6"/>
  <c r="J753" i="6"/>
  <c r="I753" i="6"/>
  <c r="H753" i="6"/>
  <c r="G753" i="6"/>
  <c r="F753" i="6"/>
  <c r="E753" i="6"/>
  <c r="D753" i="6"/>
  <c r="P643" i="6"/>
  <c r="O643" i="6"/>
  <c r="N643" i="6"/>
  <c r="M643" i="6"/>
  <c r="L643" i="6"/>
  <c r="K643" i="6"/>
  <c r="J643" i="6"/>
  <c r="I643" i="6"/>
  <c r="H643" i="6"/>
  <c r="G643" i="6"/>
  <c r="F643" i="6"/>
  <c r="E643" i="6"/>
  <c r="D643" i="6"/>
  <c r="P534" i="6"/>
  <c r="O534" i="6"/>
  <c r="N534" i="6"/>
  <c r="M534" i="6"/>
  <c r="L534" i="6"/>
  <c r="K534" i="6"/>
  <c r="J534" i="6"/>
  <c r="I534" i="6"/>
  <c r="H534" i="6"/>
  <c r="G534" i="6"/>
  <c r="F534" i="6"/>
  <c r="E534" i="6"/>
  <c r="D534" i="6"/>
  <c r="P425" i="6"/>
  <c r="O425" i="6"/>
  <c r="N425" i="6"/>
  <c r="M425" i="6"/>
  <c r="L425" i="6"/>
  <c r="K425" i="6"/>
  <c r="J425" i="6"/>
  <c r="I425" i="6"/>
  <c r="H425" i="6"/>
  <c r="G425" i="6"/>
  <c r="F425" i="6"/>
  <c r="E425" i="6"/>
  <c r="D425" i="6"/>
  <c r="P317" i="6"/>
  <c r="O317" i="6"/>
  <c r="N317" i="6"/>
  <c r="M317" i="6"/>
  <c r="L317" i="6"/>
  <c r="K317" i="6"/>
  <c r="J317" i="6"/>
  <c r="I317" i="6"/>
  <c r="H317" i="6"/>
  <c r="G317" i="6"/>
  <c r="F317" i="6"/>
  <c r="E317" i="6"/>
  <c r="D317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P754" i="6"/>
  <c r="O754" i="6"/>
  <c r="N754" i="6"/>
  <c r="M754" i="6"/>
  <c r="L754" i="6"/>
  <c r="K754" i="6"/>
  <c r="J754" i="6"/>
  <c r="I754" i="6"/>
  <c r="H754" i="6"/>
  <c r="G754" i="6"/>
  <c r="F754" i="6"/>
  <c r="E754" i="6"/>
  <c r="D754" i="6"/>
  <c r="P644" i="6"/>
  <c r="O644" i="6"/>
  <c r="N644" i="6"/>
  <c r="M644" i="6"/>
  <c r="L644" i="6"/>
  <c r="K644" i="6"/>
  <c r="J644" i="6"/>
  <c r="I644" i="6"/>
  <c r="H644" i="6"/>
  <c r="G644" i="6"/>
  <c r="F644" i="6"/>
  <c r="E644" i="6"/>
  <c r="D644" i="6"/>
  <c r="P535" i="6"/>
  <c r="O535" i="6"/>
  <c r="N535" i="6"/>
  <c r="M535" i="6"/>
  <c r="L535" i="6"/>
  <c r="K535" i="6"/>
  <c r="J535" i="6"/>
  <c r="I535" i="6"/>
  <c r="H535" i="6"/>
  <c r="G535" i="6"/>
  <c r="F535" i="6"/>
  <c r="E535" i="6"/>
  <c r="D535" i="6"/>
  <c r="P426" i="6"/>
  <c r="O426" i="6"/>
  <c r="N426" i="6"/>
  <c r="M426" i="6"/>
  <c r="L426" i="6"/>
  <c r="K426" i="6"/>
  <c r="J426" i="6"/>
  <c r="I426" i="6"/>
  <c r="H426" i="6"/>
  <c r="G426" i="6"/>
  <c r="F426" i="6"/>
  <c r="E426" i="6"/>
  <c r="D426" i="6"/>
  <c r="P318" i="6"/>
  <c r="O318" i="6"/>
  <c r="N318" i="6"/>
  <c r="M318" i="6"/>
  <c r="L318" i="6"/>
  <c r="K318" i="6"/>
  <c r="J318" i="6"/>
  <c r="I318" i="6"/>
  <c r="H318" i="6"/>
  <c r="G318" i="6"/>
  <c r="F318" i="6"/>
  <c r="E318" i="6"/>
  <c r="D318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P755" i="6"/>
  <c r="O755" i="6"/>
  <c r="N755" i="6"/>
  <c r="M755" i="6"/>
  <c r="L755" i="6"/>
  <c r="K755" i="6"/>
  <c r="J755" i="6"/>
  <c r="I755" i="6"/>
  <c r="H755" i="6"/>
  <c r="G755" i="6"/>
  <c r="F755" i="6"/>
  <c r="E755" i="6"/>
  <c r="D755" i="6"/>
  <c r="P645" i="6"/>
  <c r="O645" i="6"/>
  <c r="N645" i="6"/>
  <c r="M645" i="6"/>
  <c r="L645" i="6"/>
  <c r="K645" i="6"/>
  <c r="J645" i="6"/>
  <c r="I645" i="6"/>
  <c r="H645" i="6"/>
  <c r="G645" i="6"/>
  <c r="F645" i="6"/>
  <c r="E645" i="6"/>
  <c r="D645" i="6"/>
  <c r="P536" i="6"/>
  <c r="O536" i="6"/>
  <c r="N536" i="6"/>
  <c r="M536" i="6"/>
  <c r="L536" i="6"/>
  <c r="K536" i="6"/>
  <c r="J536" i="6"/>
  <c r="I536" i="6"/>
  <c r="H536" i="6"/>
  <c r="G536" i="6"/>
  <c r="F536" i="6"/>
  <c r="E536" i="6"/>
  <c r="D536" i="6"/>
  <c r="P427" i="6"/>
  <c r="O427" i="6"/>
  <c r="N427" i="6"/>
  <c r="M427" i="6"/>
  <c r="L427" i="6"/>
  <c r="K427" i="6"/>
  <c r="J427" i="6"/>
  <c r="I427" i="6"/>
  <c r="H427" i="6"/>
  <c r="G427" i="6"/>
  <c r="F427" i="6"/>
  <c r="E427" i="6"/>
  <c r="D427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D319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J756" i="6"/>
  <c r="O646" i="6"/>
  <c r="G646" i="6"/>
  <c r="L537" i="6"/>
  <c r="D537" i="6"/>
  <c r="I428" i="6"/>
  <c r="N320" i="6"/>
  <c r="F320" i="6"/>
  <c r="K211" i="6"/>
  <c r="P102" i="6"/>
  <c r="H102" i="6"/>
  <c r="J211" i="6"/>
  <c r="G102" i="6"/>
  <c r="E646" i="6"/>
  <c r="L320" i="6"/>
  <c r="N102" i="6"/>
  <c r="F756" i="6"/>
  <c r="E428" i="6"/>
  <c r="L102" i="6"/>
  <c r="I756" i="6"/>
  <c r="N646" i="6"/>
  <c r="F646" i="6"/>
  <c r="K537" i="6"/>
  <c r="P428" i="6"/>
  <c r="H428" i="6"/>
  <c r="M320" i="6"/>
  <c r="E320" i="6"/>
  <c r="O102" i="6"/>
  <c r="J537" i="6"/>
  <c r="D320" i="6"/>
  <c r="F102" i="6"/>
  <c r="N756" i="6"/>
  <c r="H537" i="6"/>
  <c r="J320" i="6"/>
  <c r="P756" i="6"/>
  <c r="H756" i="6"/>
  <c r="M646" i="6"/>
  <c r="O428" i="6"/>
  <c r="G428" i="6"/>
  <c r="I211" i="6"/>
  <c r="P537" i="6"/>
  <c r="O211" i="6"/>
  <c r="D102" i="6"/>
  <c r="O756" i="6"/>
  <c r="G756" i="6"/>
  <c r="L646" i="6"/>
  <c r="D646" i="6"/>
  <c r="I537" i="6"/>
  <c r="N428" i="6"/>
  <c r="F428" i="6"/>
  <c r="K320" i="6"/>
  <c r="P211" i="6"/>
  <c r="H211" i="6"/>
  <c r="M102" i="6"/>
  <c r="E102" i="6"/>
  <c r="K646" i="6"/>
  <c r="M428" i="6"/>
  <c r="G211" i="6"/>
  <c r="L756" i="6"/>
  <c r="D756" i="6"/>
  <c r="I646" i="6"/>
  <c r="N537" i="6"/>
  <c r="F537" i="6"/>
  <c r="K428" i="6"/>
  <c r="P320" i="6"/>
  <c r="H320" i="6"/>
  <c r="M211" i="6"/>
  <c r="E211" i="6"/>
  <c r="J102" i="6"/>
  <c r="E756" i="6"/>
  <c r="P646" i="6"/>
  <c r="J428" i="6"/>
  <c r="D211" i="6"/>
  <c r="J646" i="6"/>
  <c r="D428" i="6"/>
  <c r="K102" i="6"/>
  <c r="M537" i="6"/>
  <c r="H646" i="6"/>
  <c r="O320" i="6"/>
  <c r="I102" i="6"/>
  <c r="G320" i="6"/>
  <c r="M756" i="6"/>
  <c r="G537" i="6"/>
  <c r="N211" i="6"/>
  <c r="L428" i="6"/>
  <c r="I320" i="6"/>
  <c r="K756" i="6"/>
  <c r="E537" i="6"/>
  <c r="L211" i="6"/>
  <c r="F211" i="6"/>
  <c r="O537" i="6"/>
  <c r="P757" i="6"/>
  <c r="O757" i="6"/>
  <c r="M757" i="6"/>
  <c r="L757" i="6"/>
  <c r="K757" i="6"/>
  <c r="J757" i="6"/>
  <c r="I757" i="6"/>
  <c r="H757" i="6"/>
  <c r="G757" i="6"/>
  <c r="F757" i="6"/>
  <c r="E757" i="6"/>
  <c r="D757" i="6"/>
  <c r="P647" i="6"/>
  <c r="O647" i="6"/>
  <c r="M647" i="6"/>
  <c r="L647" i="6"/>
  <c r="K647" i="6"/>
  <c r="J647" i="6"/>
  <c r="I647" i="6"/>
  <c r="H647" i="6"/>
  <c r="G647" i="6"/>
  <c r="F647" i="6"/>
  <c r="E647" i="6"/>
  <c r="D647" i="6"/>
  <c r="P538" i="6"/>
  <c r="O538" i="6"/>
  <c r="M538" i="6"/>
  <c r="L538" i="6"/>
  <c r="K538" i="6"/>
  <c r="J538" i="6"/>
  <c r="I538" i="6"/>
  <c r="H538" i="6"/>
  <c r="G538" i="6"/>
  <c r="F538" i="6"/>
  <c r="E538" i="6"/>
  <c r="D538" i="6"/>
  <c r="P429" i="6"/>
  <c r="O429" i="6"/>
  <c r="M429" i="6"/>
  <c r="L429" i="6"/>
  <c r="K429" i="6"/>
  <c r="J429" i="6"/>
  <c r="I429" i="6"/>
  <c r="H429" i="6"/>
  <c r="G429" i="6"/>
  <c r="F429" i="6"/>
  <c r="E429" i="6"/>
  <c r="D429" i="6"/>
  <c r="P321" i="6"/>
  <c r="O321" i="6"/>
  <c r="M321" i="6"/>
  <c r="L321" i="6"/>
  <c r="K321" i="6"/>
  <c r="J321" i="6"/>
  <c r="I321" i="6"/>
  <c r="H321" i="6"/>
  <c r="G321" i="6"/>
  <c r="F321" i="6"/>
  <c r="E321" i="6"/>
  <c r="D321" i="6"/>
  <c r="P212" i="6"/>
  <c r="O212" i="6"/>
  <c r="M212" i="6"/>
  <c r="L212" i="6"/>
  <c r="K212" i="6"/>
  <c r="J212" i="6"/>
  <c r="I212" i="6"/>
  <c r="H212" i="6"/>
  <c r="G212" i="6"/>
  <c r="F212" i="6"/>
  <c r="E212" i="6"/>
  <c r="D212" i="6"/>
  <c r="P103" i="6"/>
  <c r="O103" i="6"/>
  <c r="M103" i="6"/>
  <c r="L103" i="6"/>
  <c r="K103" i="6"/>
  <c r="J103" i="6"/>
  <c r="I103" i="6"/>
  <c r="H103" i="6"/>
  <c r="G103" i="6"/>
  <c r="F103" i="6"/>
  <c r="E103" i="6"/>
  <c r="D103" i="6"/>
  <c r="P758" i="6"/>
  <c r="O758" i="6"/>
  <c r="N758" i="6"/>
  <c r="M758" i="6"/>
  <c r="L758" i="6"/>
  <c r="K758" i="6"/>
  <c r="J758" i="6"/>
  <c r="I758" i="6"/>
  <c r="H758" i="6"/>
  <c r="G758" i="6"/>
  <c r="F758" i="6"/>
  <c r="E758" i="6"/>
  <c r="D758" i="6"/>
  <c r="P648" i="6"/>
  <c r="O648" i="6"/>
  <c r="N648" i="6"/>
  <c r="M648" i="6"/>
  <c r="L648" i="6"/>
  <c r="K648" i="6"/>
  <c r="J648" i="6"/>
  <c r="I648" i="6"/>
  <c r="H648" i="6"/>
  <c r="G648" i="6"/>
  <c r="F648" i="6"/>
  <c r="E648" i="6"/>
  <c r="D648" i="6"/>
  <c r="P539" i="6"/>
  <c r="O539" i="6"/>
  <c r="N539" i="6"/>
  <c r="M539" i="6"/>
  <c r="L539" i="6"/>
  <c r="K539" i="6"/>
  <c r="J539" i="6"/>
  <c r="I539" i="6"/>
  <c r="H539" i="6"/>
  <c r="G539" i="6"/>
  <c r="F539" i="6"/>
  <c r="E539" i="6"/>
  <c r="D539" i="6"/>
  <c r="P430" i="6"/>
  <c r="O430" i="6"/>
  <c r="N430" i="6"/>
  <c r="M430" i="6"/>
  <c r="L430" i="6"/>
  <c r="K430" i="6"/>
  <c r="J430" i="6"/>
  <c r="I430" i="6"/>
  <c r="H430" i="6"/>
  <c r="G430" i="6"/>
  <c r="F430" i="6"/>
  <c r="E430" i="6"/>
  <c r="D430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D322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P759" i="6"/>
  <c r="O759" i="6"/>
  <c r="N759" i="6"/>
  <c r="M759" i="6"/>
  <c r="L759" i="6"/>
  <c r="K759" i="6"/>
  <c r="J759" i="6"/>
  <c r="I759" i="6"/>
  <c r="H759" i="6"/>
  <c r="G759" i="6"/>
  <c r="F759" i="6"/>
  <c r="E759" i="6"/>
  <c r="D759" i="6"/>
  <c r="P649" i="6"/>
  <c r="O649" i="6"/>
  <c r="N649" i="6"/>
  <c r="M649" i="6"/>
  <c r="L649" i="6"/>
  <c r="K649" i="6"/>
  <c r="J649" i="6"/>
  <c r="I649" i="6"/>
  <c r="H649" i="6"/>
  <c r="G649" i="6"/>
  <c r="F649" i="6"/>
  <c r="E649" i="6"/>
  <c r="D649" i="6"/>
  <c r="P540" i="6"/>
  <c r="O540" i="6"/>
  <c r="N540" i="6"/>
  <c r="M540" i="6"/>
  <c r="L540" i="6"/>
  <c r="K540" i="6"/>
  <c r="J540" i="6"/>
  <c r="I540" i="6"/>
  <c r="H540" i="6"/>
  <c r="G540" i="6"/>
  <c r="F540" i="6"/>
  <c r="E540" i="6"/>
  <c r="D540" i="6"/>
  <c r="P431" i="6"/>
  <c r="O431" i="6"/>
  <c r="N431" i="6"/>
  <c r="M431" i="6"/>
  <c r="L431" i="6"/>
  <c r="K431" i="6"/>
  <c r="J431" i="6"/>
  <c r="I431" i="6"/>
  <c r="H431" i="6"/>
  <c r="G431" i="6"/>
  <c r="F431" i="6"/>
  <c r="E431" i="6"/>
  <c r="D431" i="6"/>
  <c r="P323" i="6"/>
  <c r="O323" i="6"/>
  <c r="N323" i="6"/>
  <c r="M323" i="6"/>
  <c r="L323" i="6"/>
  <c r="K323" i="6"/>
  <c r="J323" i="6"/>
  <c r="I323" i="6"/>
  <c r="H323" i="6"/>
  <c r="G323" i="6"/>
  <c r="F323" i="6"/>
  <c r="E323" i="6"/>
  <c r="D323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792" i="7" l="1"/>
  <c r="C791" i="7"/>
  <c r="C794" i="7"/>
  <c r="C793" i="7"/>
  <c r="C689" i="7"/>
  <c r="C690" i="7"/>
  <c r="C691" i="7"/>
  <c r="C688" i="7"/>
  <c r="C693" i="7"/>
  <c r="C692" i="7"/>
  <c r="C587" i="7"/>
  <c r="C590" i="7"/>
  <c r="C589" i="7"/>
  <c r="C592" i="7"/>
  <c r="C591" i="7"/>
  <c r="C489" i="7"/>
  <c r="C490" i="7"/>
  <c r="C487" i="7"/>
  <c r="C492" i="7"/>
  <c r="C491" i="7"/>
  <c r="C387" i="7"/>
  <c r="C390" i="7"/>
  <c r="C389" i="7"/>
  <c r="C392" i="7"/>
  <c r="C391" i="7"/>
  <c r="C289" i="7"/>
  <c r="C293" i="7"/>
  <c r="C290" i="7"/>
  <c r="C287" i="7"/>
  <c r="C292" i="7"/>
  <c r="C291" i="7"/>
  <c r="C190" i="7"/>
  <c r="C189" i="7"/>
  <c r="C188" i="7"/>
  <c r="C187" i="7"/>
  <c r="C192" i="7"/>
  <c r="C191" i="7"/>
  <c r="C867" i="6"/>
  <c r="C866" i="6"/>
  <c r="I90" i="7"/>
  <c r="I89" i="7"/>
  <c r="K90" i="7"/>
  <c r="K89" i="7"/>
  <c r="C428" i="6"/>
  <c r="C211" i="6"/>
  <c r="J90" i="7"/>
  <c r="J89" i="7"/>
  <c r="C756" i="6"/>
  <c r="E90" i="7"/>
  <c r="E89" i="7"/>
  <c r="M90" i="7"/>
  <c r="M89" i="7"/>
  <c r="C646" i="6"/>
  <c r="D90" i="7"/>
  <c r="C102" i="6"/>
  <c r="D89" i="7"/>
  <c r="F90" i="7"/>
  <c r="F89" i="7"/>
  <c r="C320" i="6"/>
  <c r="O89" i="7"/>
  <c r="O90" i="7"/>
  <c r="L90" i="7"/>
  <c r="L89" i="7"/>
  <c r="N90" i="7"/>
  <c r="N89" i="7"/>
  <c r="G89" i="7"/>
  <c r="G90" i="7"/>
  <c r="H90" i="7"/>
  <c r="H89" i="7"/>
  <c r="P90" i="7"/>
  <c r="P89" i="7"/>
  <c r="C537" i="6"/>
  <c r="C859" i="6"/>
  <c r="C89" i="7" l="1"/>
  <c r="C90" i="7"/>
  <c r="G685" i="7"/>
  <c r="F685" i="7"/>
  <c r="E685" i="7"/>
  <c r="D685" i="7"/>
  <c r="C685" i="7" s="1"/>
  <c r="P885" i="7"/>
  <c r="P886" i="7"/>
  <c r="O885" i="7"/>
  <c r="O886" i="7"/>
  <c r="N885" i="7"/>
  <c r="M885" i="7"/>
  <c r="L885" i="7"/>
  <c r="K885" i="7"/>
  <c r="J885" i="7"/>
  <c r="P911" i="7"/>
  <c r="O911" i="7"/>
  <c r="N911" i="7"/>
  <c r="M911" i="7"/>
  <c r="L911" i="7"/>
  <c r="K911" i="7"/>
  <c r="J911" i="7"/>
  <c r="I911" i="7"/>
  <c r="H911" i="7"/>
  <c r="G911" i="7"/>
  <c r="F911" i="7"/>
  <c r="E911" i="7"/>
  <c r="D911" i="7"/>
  <c r="P907" i="7"/>
  <c r="O907" i="7"/>
  <c r="P906" i="7"/>
  <c r="O906" i="7"/>
  <c r="N906" i="7"/>
  <c r="M906" i="7"/>
  <c r="L906" i="7"/>
  <c r="K906" i="7"/>
  <c r="J906" i="7"/>
  <c r="I906" i="7"/>
  <c r="H906" i="7"/>
  <c r="G906" i="7"/>
  <c r="F906" i="7"/>
  <c r="E906" i="7"/>
  <c r="D906" i="7"/>
  <c r="P905" i="7"/>
  <c r="P908" i="7" s="1"/>
  <c r="O905" i="7"/>
  <c r="O908" i="7" s="1"/>
  <c r="P858" i="6" l="1"/>
  <c r="O858" i="6"/>
  <c r="N858" i="6"/>
  <c r="M858" i="6"/>
  <c r="L858" i="6"/>
  <c r="K858" i="6"/>
  <c r="J858" i="6"/>
  <c r="I858" i="6"/>
  <c r="H858" i="6"/>
  <c r="G858" i="6"/>
  <c r="C95" i="6"/>
  <c r="D82" i="7" l="1"/>
  <c r="P274" i="7" l="1"/>
  <c r="P275" i="7"/>
  <c r="P276" i="7"/>
  <c r="P277" i="7"/>
  <c r="P278" i="7"/>
  <c r="P279" i="7"/>
  <c r="P280" i="7"/>
  <c r="P281" i="7"/>
  <c r="P282" i="7"/>
  <c r="P283" i="7"/>
  <c r="P284" i="7"/>
  <c r="C94" i="6"/>
  <c r="H685" i="7"/>
  <c r="I685" i="7"/>
  <c r="J685" i="7"/>
  <c r="K685" i="7"/>
  <c r="L685" i="7"/>
  <c r="M685" i="7"/>
  <c r="N685" i="7"/>
  <c r="O685" i="7"/>
  <c r="P685" i="7"/>
  <c r="D584" i="7"/>
  <c r="E584" i="7"/>
  <c r="F584" i="7"/>
  <c r="G584" i="7"/>
  <c r="H584" i="7"/>
  <c r="I584" i="7"/>
  <c r="J584" i="7"/>
  <c r="K584" i="7"/>
  <c r="L584" i="7"/>
  <c r="M584" i="7"/>
  <c r="N584" i="7"/>
  <c r="O584" i="7"/>
  <c r="P584" i="7"/>
  <c r="D484" i="7"/>
  <c r="E484" i="7"/>
  <c r="F484" i="7"/>
  <c r="G484" i="7"/>
  <c r="H484" i="7"/>
  <c r="I484" i="7"/>
  <c r="J484" i="7"/>
  <c r="K484" i="7"/>
  <c r="L484" i="7"/>
  <c r="M484" i="7"/>
  <c r="N484" i="7"/>
  <c r="O484" i="7"/>
  <c r="P484" i="7"/>
  <c r="D384" i="7"/>
  <c r="E384" i="7"/>
  <c r="F384" i="7"/>
  <c r="G384" i="7"/>
  <c r="H384" i="7"/>
  <c r="I384" i="7"/>
  <c r="J384" i="7"/>
  <c r="K384" i="7"/>
  <c r="L384" i="7"/>
  <c r="M384" i="7"/>
  <c r="N384" i="7"/>
  <c r="O384" i="7"/>
  <c r="P384" i="7"/>
  <c r="D284" i="7"/>
  <c r="E284" i="7"/>
  <c r="F284" i="7"/>
  <c r="G284" i="7"/>
  <c r="H284" i="7"/>
  <c r="I284" i="7"/>
  <c r="J284" i="7"/>
  <c r="K284" i="7"/>
  <c r="L284" i="7"/>
  <c r="M284" i="7"/>
  <c r="N284" i="7"/>
  <c r="O284" i="7"/>
  <c r="D184" i="7"/>
  <c r="E184" i="7"/>
  <c r="F184" i="7"/>
  <c r="I184" i="7"/>
  <c r="J184" i="7"/>
  <c r="K184" i="7"/>
  <c r="L184" i="7"/>
  <c r="M184" i="7"/>
  <c r="N184" i="7"/>
  <c r="O184" i="7"/>
  <c r="P184" i="7"/>
  <c r="D858" i="6"/>
  <c r="E858" i="6"/>
  <c r="F858" i="6"/>
  <c r="C749" i="6"/>
  <c r="C639" i="6"/>
  <c r="C530" i="6"/>
  <c r="C421" i="6"/>
  <c r="C313" i="6"/>
  <c r="D684" i="7"/>
  <c r="E684" i="7"/>
  <c r="F684" i="7"/>
  <c r="G684" i="7"/>
  <c r="H684" i="7"/>
  <c r="I684" i="7"/>
  <c r="J684" i="7"/>
  <c r="K684" i="7"/>
  <c r="L684" i="7"/>
  <c r="M684" i="7"/>
  <c r="N684" i="7"/>
  <c r="O684" i="7"/>
  <c r="P684" i="7"/>
  <c r="D583" i="7"/>
  <c r="E583" i="7"/>
  <c r="F583" i="7"/>
  <c r="G583" i="7"/>
  <c r="H583" i="7"/>
  <c r="I583" i="7"/>
  <c r="J583" i="7"/>
  <c r="K583" i="7"/>
  <c r="L583" i="7"/>
  <c r="M583" i="7"/>
  <c r="N583" i="7"/>
  <c r="O583" i="7"/>
  <c r="P583" i="7"/>
  <c r="D483" i="7"/>
  <c r="E483" i="7"/>
  <c r="F483" i="7"/>
  <c r="G483" i="7"/>
  <c r="H483" i="7"/>
  <c r="I483" i="7"/>
  <c r="J483" i="7"/>
  <c r="K483" i="7"/>
  <c r="L483" i="7"/>
  <c r="M483" i="7"/>
  <c r="N483" i="7"/>
  <c r="O483" i="7"/>
  <c r="P483" i="7"/>
  <c r="D383" i="7"/>
  <c r="E383" i="7"/>
  <c r="F383" i="7"/>
  <c r="G383" i="7"/>
  <c r="H383" i="7"/>
  <c r="I383" i="7"/>
  <c r="J383" i="7"/>
  <c r="K383" i="7"/>
  <c r="L383" i="7"/>
  <c r="M383" i="7"/>
  <c r="N383" i="7"/>
  <c r="O383" i="7"/>
  <c r="P383" i="7"/>
  <c r="D283" i="7"/>
  <c r="E283" i="7"/>
  <c r="F283" i="7"/>
  <c r="G283" i="7"/>
  <c r="H283" i="7"/>
  <c r="I283" i="7"/>
  <c r="J283" i="7"/>
  <c r="K283" i="7"/>
  <c r="L283" i="7"/>
  <c r="M283" i="7"/>
  <c r="N283" i="7"/>
  <c r="O283" i="7"/>
  <c r="E183" i="7"/>
  <c r="F183" i="7"/>
  <c r="G183" i="7"/>
  <c r="H183" i="7"/>
  <c r="J183" i="7"/>
  <c r="K183" i="7"/>
  <c r="L183" i="7"/>
  <c r="M183" i="7"/>
  <c r="N183" i="7"/>
  <c r="O183" i="7"/>
  <c r="P183" i="7"/>
  <c r="D81" i="7"/>
  <c r="E81" i="7"/>
  <c r="F81" i="7"/>
  <c r="G81" i="7"/>
  <c r="H81" i="7"/>
  <c r="J81" i="7"/>
  <c r="K81" i="7"/>
  <c r="L81" i="7"/>
  <c r="M81" i="7"/>
  <c r="N81" i="7"/>
  <c r="O81" i="7"/>
  <c r="P81" i="7"/>
  <c r="D857" i="6"/>
  <c r="D966" i="6" s="1"/>
  <c r="E857" i="6"/>
  <c r="E966" i="6" s="1"/>
  <c r="F857" i="6"/>
  <c r="F966" i="6" s="1"/>
  <c r="G857" i="6"/>
  <c r="G966" i="6" s="1"/>
  <c r="H857" i="6"/>
  <c r="H966" i="6" s="1"/>
  <c r="I857" i="6"/>
  <c r="J857" i="6"/>
  <c r="J966" i="6" s="1"/>
  <c r="K857" i="6"/>
  <c r="K966" i="6" s="1"/>
  <c r="L857" i="6"/>
  <c r="L966" i="6" s="1"/>
  <c r="M857" i="6"/>
  <c r="M966" i="6" s="1"/>
  <c r="N857" i="6"/>
  <c r="N966" i="6" s="1"/>
  <c r="O857" i="6"/>
  <c r="O966" i="6" s="1"/>
  <c r="P857" i="6"/>
  <c r="P966" i="6" s="1"/>
  <c r="C748" i="6"/>
  <c r="C638" i="6"/>
  <c r="C529" i="6"/>
  <c r="C420" i="6"/>
  <c r="C312" i="6"/>
  <c r="C203" i="6"/>
  <c r="D683" i="7"/>
  <c r="E683" i="7"/>
  <c r="F683" i="7"/>
  <c r="G683" i="7"/>
  <c r="H683" i="7"/>
  <c r="I683" i="7"/>
  <c r="J683" i="7"/>
  <c r="K683" i="7"/>
  <c r="L683" i="7"/>
  <c r="M683" i="7"/>
  <c r="N683" i="7"/>
  <c r="O683" i="7"/>
  <c r="P683" i="7"/>
  <c r="D582" i="7"/>
  <c r="E582" i="7"/>
  <c r="F582" i="7"/>
  <c r="G582" i="7"/>
  <c r="H582" i="7"/>
  <c r="I582" i="7"/>
  <c r="J582" i="7"/>
  <c r="K582" i="7"/>
  <c r="L582" i="7"/>
  <c r="M582" i="7"/>
  <c r="N582" i="7"/>
  <c r="O582" i="7"/>
  <c r="P582" i="7"/>
  <c r="D482" i="7"/>
  <c r="E482" i="7"/>
  <c r="F482" i="7"/>
  <c r="G482" i="7"/>
  <c r="H482" i="7"/>
  <c r="I482" i="7"/>
  <c r="J482" i="7"/>
  <c r="K482" i="7"/>
  <c r="L482" i="7"/>
  <c r="M482" i="7"/>
  <c r="N482" i="7"/>
  <c r="O482" i="7"/>
  <c r="P482" i="7"/>
  <c r="D382" i="7"/>
  <c r="E382" i="7"/>
  <c r="F382" i="7"/>
  <c r="G382" i="7"/>
  <c r="H382" i="7"/>
  <c r="I382" i="7"/>
  <c r="J382" i="7"/>
  <c r="K382" i="7"/>
  <c r="L382" i="7"/>
  <c r="M382" i="7"/>
  <c r="N382" i="7"/>
  <c r="O382" i="7"/>
  <c r="P382" i="7"/>
  <c r="D282" i="7"/>
  <c r="E282" i="7"/>
  <c r="F282" i="7"/>
  <c r="G282" i="7"/>
  <c r="H282" i="7"/>
  <c r="I282" i="7"/>
  <c r="J282" i="7"/>
  <c r="K282" i="7"/>
  <c r="L282" i="7"/>
  <c r="M282" i="7"/>
  <c r="N282" i="7"/>
  <c r="O282" i="7"/>
  <c r="E182" i="7"/>
  <c r="F182" i="7"/>
  <c r="G182" i="7"/>
  <c r="H182" i="7"/>
  <c r="J182" i="7"/>
  <c r="K182" i="7"/>
  <c r="L182" i="7"/>
  <c r="M182" i="7"/>
  <c r="N182" i="7"/>
  <c r="O182" i="7"/>
  <c r="P182" i="7"/>
  <c r="D80" i="7"/>
  <c r="E80" i="7"/>
  <c r="F80" i="7"/>
  <c r="G80" i="7"/>
  <c r="H80" i="7"/>
  <c r="I80" i="7"/>
  <c r="J80" i="7"/>
  <c r="K80" i="7"/>
  <c r="L80" i="7"/>
  <c r="M80" i="7"/>
  <c r="N80" i="7"/>
  <c r="O80" i="7"/>
  <c r="P80" i="7"/>
  <c r="D856" i="6"/>
  <c r="D965" i="6" s="1"/>
  <c r="E856" i="6"/>
  <c r="E965" i="6" s="1"/>
  <c r="F856" i="6"/>
  <c r="F965" i="6" s="1"/>
  <c r="G856" i="6"/>
  <c r="G965" i="6" s="1"/>
  <c r="H856" i="6"/>
  <c r="H965" i="6" s="1"/>
  <c r="I856" i="6"/>
  <c r="I965" i="6" s="1"/>
  <c r="J856" i="6"/>
  <c r="J965" i="6" s="1"/>
  <c r="K856" i="6"/>
  <c r="K965" i="6" s="1"/>
  <c r="L856" i="6"/>
  <c r="L965" i="6" s="1"/>
  <c r="M856" i="6"/>
  <c r="M965" i="6" s="1"/>
  <c r="N856" i="6"/>
  <c r="N965" i="6" s="1"/>
  <c r="O856" i="6"/>
  <c r="O965" i="6" s="1"/>
  <c r="P856" i="6"/>
  <c r="P965" i="6" s="1"/>
  <c r="C747" i="6"/>
  <c r="C637" i="6"/>
  <c r="C528" i="6"/>
  <c r="C419" i="6"/>
  <c r="C311" i="6"/>
  <c r="C202" i="6"/>
  <c r="C93" i="6"/>
  <c r="D682" i="7"/>
  <c r="E682" i="7"/>
  <c r="F682" i="7"/>
  <c r="G682" i="7"/>
  <c r="H682" i="7"/>
  <c r="I682" i="7"/>
  <c r="J682" i="7"/>
  <c r="K682" i="7"/>
  <c r="L682" i="7"/>
  <c r="M682" i="7"/>
  <c r="N682" i="7"/>
  <c r="O682" i="7"/>
  <c r="P682" i="7"/>
  <c r="D581" i="7"/>
  <c r="E581" i="7"/>
  <c r="F581" i="7"/>
  <c r="G581" i="7"/>
  <c r="H581" i="7"/>
  <c r="I581" i="7"/>
  <c r="J581" i="7"/>
  <c r="K581" i="7"/>
  <c r="L581" i="7"/>
  <c r="M581" i="7"/>
  <c r="N581" i="7"/>
  <c r="O581" i="7"/>
  <c r="P581" i="7"/>
  <c r="D481" i="7"/>
  <c r="E481" i="7"/>
  <c r="F481" i="7"/>
  <c r="G481" i="7"/>
  <c r="H481" i="7"/>
  <c r="I481" i="7"/>
  <c r="J481" i="7"/>
  <c r="K481" i="7"/>
  <c r="L481" i="7"/>
  <c r="M481" i="7"/>
  <c r="N481" i="7"/>
  <c r="O481" i="7"/>
  <c r="P481" i="7"/>
  <c r="D381" i="7"/>
  <c r="E381" i="7"/>
  <c r="F381" i="7"/>
  <c r="G381" i="7"/>
  <c r="H381" i="7"/>
  <c r="I381" i="7"/>
  <c r="J381" i="7"/>
  <c r="K381" i="7"/>
  <c r="L381" i="7"/>
  <c r="M381" i="7"/>
  <c r="N381" i="7"/>
  <c r="O381" i="7"/>
  <c r="P381" i="7"/>
  <c r="D281" i="7"/>
  <c r="E281" i="7"/>
  <c r="F281" i="7"/>
  <c r="G281" i="7"/>
  <c r="H281" i="7"/>
  <c r="I281" i="7"/>
  <c r="J281" i="7"/>
  <c r="K281" i="7"/>
  <c r="L281" i="7"/>
  <c r="M281" i="7"/>
  <c r="N281" i="7"/>
  <c r="O281" i="7"/>
  <c r="E181" i="7"/>
  <c r="F181" i="7"/>
  <c r="G181" i="7"/>
  <c r="H181" i="7"/>
  <c r="J181" i="7"/>
  <c r="K181" i="7"/>
  <c r="L181" i="7"/>
  <c r="M181" i="7"/>
  <c r="N181" i="7"/>
  <c r="O181" i="7"/>
  <c r="P181" i="7"/>
  <c r="D79" i="7"/>
  <c r="E79" i="7"/>
  <c r="F79" i="7"/>
  <c r="G79" i="7"/>
  <c r="H79" i="7"/>
  <c r="I79" i="7"/>
  <c r="J79" i="7"/>
  <c r="K79" i="7"/>
  <c r="L79" i="7"/>
  <c r="M79" i="7"/>
  <c r="N79" i="7"/>
  <c r="O79" i="7"/>
  <c r="P79" i="7"/>
  <c r="D855" i="6"/>
  <c r="D964" i="6" s="1"/>
  <c r="E855" i="6"/>
  <c r="E964" i="6" s="1"/>
  <c r="F855" i="6"/>
  <c r="F964" i="6" s="1"/>
  <c r="G855" i="6"/>
  <c r="G964" i="6" s="1"/>
  <c r="H855" i="6"/>
  <c r="H964" i="6" s="1"/>
  <c r="I855" i="6"/>
  <c r="I964" i="6" s="1"/>
  <c r="J855" i="6"/>
  <c r="J964" i="6" s="1"/>
  <c r="K855" i="6"/>
  <c r="K964" i="6" s="1"/>
  <c r="L855" i="6"/>
  <c r="L964" i="6" s="1"/>
  <c r="M855" i="6"/>
  <c r="M964" i="6" s="1"/>
  <c r="N855" i="6"/>
  <c r="N964" i="6" s="1"/>
  <c r="O855" i="6"/>
  <c r="O964" i="6" s="1"/>
  <c r="P855" i="6"/>
  <c r="P964" i="6" s="1"/>
  <c r="C746" i="6"/>
  <c r="C636" i="6"/>
  <c r="C527" i="6"/>
  <c r="C418" i="6"/>
  <c r="C310" i="6"/>
  <c r="C201" i="6"/>
  <c r="C92" i="6"/>
  <c r="D681" i="7"/>
  <c r="E681" i="7"/>
  <c r="F681" i="7"/>
  <c r="G681" i="7"/>
  <c r="H681" i="7"/>
  <c r="I681" i="7"/>
  <c r="J681" i="7"/>
  <c r="K681" i="7"/>
  <c r="L681" i="7"/>
  <c r="M681" i="7"/>
  <c r="N681" i="7"/>
  <c r="O681" i="7"/>
  <c r="P681" i="7"/>
  <c r="D580" i="7"/>
  <c r="E580" i="7"/>
  <c r="F580" i="7"/>
  <c r="G580" i="7"/>
  <c r="H580" i="7"/>
  <c r="I580" i="7"/>
  <c r="J580" i="7"/>
  <c r="K580" i="7"/>
  <c r="L580" i="7"/>
  <c r="M580" i="7"/>
  <c r="N580" i="7"/>
  <c r="O580" i="7"/>
  <c r="P580" i="7"/>
  <c r="D480" i="7"/>
  <c r="E480" i="7"/>
  <c r="F480" i="7"/>
  <c r="G480" i="7"/>
  <c r="H480" i="7"/>
  <c r="I480" i="7"/>
  <c r="J480" i="7"/>
  <c r="K480" i="7"/>
  <c r="L480" i="7"/>
  <c r="M480" i="7"/>
  <c r="N480" i="7"/>
  <c r="O480" i="7"/>
  <c r="P480" i="7"/>
  <c r="D380" i="7"/>
  <c r="E380" i="7"/>
  <c r="F380" i="7"/>
  <c r="G380" i="7"/>
  <c r="H380" i="7"/>
  <c r="I380" i="7"/>
  <c r="J380" i="7"/>
  <c r="K380" i="7"/>
  <c r="L380" i="7"/>
  <c r="M380" i="7"/>
  <c r="N380" i="7"/>
  <c r="O380" i="7"/>
  <c r="P380" i="7"/>
  <c r="D280" i="7"/>
  <c r="E280" i="7"/>
  <c r="F280" i="7"/>
  <c r="G280" i="7"/>
  <c r="H280" i="7"/>
  <c r="I280" i="7"/>
  <c r="J280" i="7"/>
  <c r="K280" i="7"/>
  <c r="L280" i="7"/>
  <c r="M280" i="7"/>
  <c r="N280" i="7"/>
  <c r="O280" i="7"/>
  <c r="E180" i="7"/>
  <c r="F180" i="7"/>
  <c r="G180" i="7"/>
  <c r="H180" i="7"/>
  <c r="J180" i="7"/>
  <c r="K180" i="7"/>
  <c r="L180" i="7"/>
  <c r="M180" i="7"/>
  <c r="N180" i="7"/>
  <c r="O180" i="7"/>
  <c r="P180" i="7"/>
  <c r="D78" i="7"/>
  <c r="E78" i="7"/>
  <c r="F78" i="7"/>
  <c r="G78" i="7"/>
  <c r="H78" i="7"/>
  <c r="I78" i="7"/>
  <c r="J78" i="7"/>
  <c r="K78" i="7"/>
  <c r="L78" i="7"/>
  <c r="M78" i="7"/>
  <c r="N78" i="7"/>
  <c r="O78" i="7"/>
  <c r="P78" i="7"/>
  <c r="D854" i="6"/>
  <c r="D963" i="6" s="1"/>
  <c r="E854" i="6"/>
  <c r="E963" i="6" s="1"/>
  <c r="F854" i="6"/>
  <c r="F963" i="6" s="1"/>
  <c r="G854" i="6"/>
  <c r="G963" i="6" s="1"/>
  <c r="H854" i="6"/>
  <c r="H963" i="6" s="1"/>
  <c r="I854" i="6"/>
  <c r="I963" i="6" s="1"/>
  <c r="J854" i="6"/>
  <c r="J963" i="6" s="1"/>
  <c r="K854" i="6"/>
  <c r="K963" i="6" s="1"/>
  <c r="L854" i="6"/>
  <c r="L963" i="6" s="1"/>
  <c r="M854" i="6"/>
  <c r="M963" i="6" s="1"/>
  <c r="N854" i="6"/>
  <c r="N963" i="6" s="1"/>
  <c r="O854" i="6"/>
  <c r="O963" i="6" s="1"/>
  <c r="P854" i="6"/>
  <c r="P963" i="6" s="1"/>
  <c r="C745" i="6"/>
  <c r="C635" i="6"/>
  <c r="C526" i="6"/>
  <c r="C417" i="6"/>
  <c r="C309" i="6"/>
  <c r="C200" i="6"/>
  <c r="C91" i="6"/>
  <c r="D680" i="7"/>
  <c r="E680" i="7"/>
  <c r="F680" i="7"/>
  <c r="G680" i="7"/>
  <c r="H680" i="7"/>
  <c r="I680" i="7"/>
  <c r="J680" i="7"/>
  <c r="K680" i="7"/>
  <c r="L680" i="7"/>
  <c r="M680" i="7"/>
  <c r="N680" i="7"/>
  <c r="O680" i="7"/>
  <c r="P680" i="7"/>
  <c r="D579" i="7"/>
  <c r="E579" i="7"/>
  <c r="F579" i="7"/>
  <c r="G579" i="7"/>
  <c r="H579" i="7"/>
  <c r="I579" i="7"/>
  <c r="J579" i="7"/>
  <c r="K579" i="7"/>
  <c r="L579" i="7"/>
  <c r="M579" i="7"/>
  <c r="N579" i="7"/>
  <c r="O579" i="7"/>
  <c r="P579" i="7"/>
  <c r="D479" i="7"/>
  <c r="E479" i="7"/>
  <c r="F479" i="7"/>
  <c r="G479" i="7"/>
  <c r="H479" i="7"/>
  <c r="I479" i="7"/>
  <c r="J479" i="7"/>
  <c r="K479" i="7"/>
  <c r="L479" i="7"/>
  <c r="M479" i="7"/>
  <c r="N479" i="7"/>
  <c r="O479" i="7"/>
  <c r="P479" i="7"/>
  <c r="D379" i="7"/>
  <c r="E379" i="7"/>
  <c r="F379" i="7"/>
  <c r="G379" i="7"/>
  <c r="H379" i="7"/>
  <c r="I379" i="7"/>
  <c r="J379" i="7"/>
  <c r="K379" i="7"/>
  <c r="L379" i="7"/>
  <c r="M379" i="7"/>
  <c r="N379" i="7"/>
  <c r="O379" i="7"/>
  <c r="P379" i="7"/>
  <c r="D279" i="7"/>
  <c r="E279" i="7"/>
  <c r="F279" i="7"/>
  <c r="G279" i="7"/>
  <c r="H279" i="7"/>
  <c r="I279" i="7"/>
  <c r="J279" i="7"/>
  <c r="K279" i="7"/>
  <c r="L279" i="7"/>
  <c r="M279" i="7"/>
  <c r="N279" i="7"/>
  <c r="O279" i="7"/>
  <c r="E179" i="7"/>
  <c r="F179" i="7"/>
  <c r="G179" i="7"/>
  <c r="H179" i="7"/>
  <c r="J179" i="7"/>
  <c r="K179" i="7"/>
  <c r="L179" i="7"/>
  <c r="M179" i="7"/>
  <c r="N179" i="7"/>
  <c r="O179" i="7"/>
  <c r="P179" i="7"/>
  <c r="D77" i="7"/>
  <c r="E77" i="7"/>
  <c r="F77" i="7"/>
  <c r="G77" i="7"/>
  <c r="H77" i="7"/>
  <c r="I77" i="7"/>
  <c r="J77" i="7"/>
  <c r="K77" i="7"/>
  <c r="L77" i="7"/>
  <c r="M77" i="7"/>
  <c r="N77" i="7"/>
  <c r="O77" i="7"/>
  <c r="P77" i="7"/>
  <c r="D853" i="6"/>
  <c r="D962" i="6" s="1"/>
  <c r="E853" i="6"/>
  <c r="E962" i="6" s="1"/>
  <c r="F853" i="6"/>
  <c r="F962" i="6" s="1"/>
  <c r="G853" i="6"/>
  <c r="G962" i="6" s="1"/>
  <c r="H853" i="6"/>
  <c r="H962" i="6" s="1"/>
  <c r="I853" i="6"/>
  <c r="I962" i="6" s="1"/>
  <c r="J853" i="6"/>
  <c r="J962" i="6" s="1"/>
  <c r="K853" i="6"/>
  <c r="K962" i="6" s="1"/>
  <c r="L853" i="6"/>
  <c r="L962" i="6" s="1"/>
  <c r="M853" i="6"/>
  <c r="M962" i="6" s="1"/>
  <c r="N853" i="6"/>
  <c r="N962" i="6" s="1"/>
  <c r="O853" i="6"/>
  <c r="O962" i="6" s="1"/>
  <c r="P853" i="6"/>
  <c r="P962" i="6" s="1"/>
  <c r="C744" i="6"/>
  <c r="C634" i="6"/>
  <c r="C525" i="6"/>
  <c r="C416" i="6"/>
  <c r="C308" i="6"/>
  <c r="C199" i="6"/>
  <c r="C90" i="6"/>
  <c r="D679" i="7"/>
  <c r="E679" i="7"/>
  <c r="F679" i="7"/>
  <c r="G679" i="7"/>
  <c r="H679" i="7"/>
  <c r="I679" i="7"/>
  <c r="J679" i="7"/>
  <c r="K679" i="7"/>
  <c r="L679" i="7"/>
  <c r="M679" i="7"/>
  <c r="N679" i="7"/>
  <c r="O679" i="7"/>
  <c r="P679" i="7"/>
  <c r="D578" i="7"/>
  <c r="E578" i="7"/>
  <c r="F578" i="7"/>
  <c r="G578" i="7"/>
  <c r="H578" i="7"/>
  <c r="I578" i="7"/>
  <c r="J578" i="7"/>
  <c r="K578" i="7"/>
  <c r="L578" i="7"/>
  <c r="M578" i="7"/>
  <c r="N578" i="7"/>
  <c r="O578" i="7"/>
  <c r="P578" i="7"/>
  <c r="D478" i="7"/>
  <c r="E478" i="7"/>
  <c r="F478" i="7"/>
  <c r="G478" i="7"/>
  <c r="H478" i="7"/>
  <c r="I478" i="7"/>
  <c r="J478" i="7"/>
  <c r="K478" i="7"/>
  <c r="L478" i="7"/>
  <c r="M478" i="7"/>
  <c r="N478" i="7"/>
  <c r="O478" i="7"/>
  <c r="P478" i="7"/>
  <c r="D378" i="7"/>
  <c r="E378" i="7"/>
  <c r="F378" i="7"/>
  <c r="G378" i="7"/>
  <c r="H378" i="7"/>
  <c r="I378" i="7"/>
  <c r="J378" i="7"/>
  <c r="K378" i="7"/>
  <c r="L378" i="7"/>
  <c r="M378" i="7"/>
  <c r="N378" i="7"/>
  <c r="O378" i="7"/>
  <c r="P378" i="7"/>
  <c r="D278" i="7"/>
  <c r="E278" i="7"/>
  <c r="F278" i="7"/>
  <c r="G278" i="7"/>
  <c r="H278" i="7"/>
  <c r="I278" i="7"/>
  <c r="J278" i="7"/>
  <c r="K278" i="7"/>
  <c r="L278" i="7"/>
  <c r="M278" i="7"/>
  <c r="N278" i="7"/>
  <c r="O278" i="7"/>
  <c r="E178" i="7"/>
  <c r="F178" i="7"/>
  <c r="G178" i="7"/>
  <c r="H178" i="7"/>
  <c r="J178" i="7"/>
  <c r="K178" i="7"/>
  <c r="L178" i="7"/>
  <c r="M178" i="7"/>
  <c r="N178" i="7"/>
  <c r="O178" i="7"/>
  <c r="P178" i="7"/>
  <c r="D76" i="7"/>
  <c r="E76" i="7"/>
  <c r="F76" i="7"/>
  <c r="G76" i="7"/>
  <c r="H76" i="7"/>
  <c r="I76" i="7"/>
  <c r="J76" i="7"/>
  <c r="K76" i="7"/>
  <c r="L76" i="7"/>
  <c r="M76" i="7"/>
  <c r="N76" i="7"/>
  <c r="O76" i="7"/>
  <c r="P76" i="7"/>
  <c r="C743" i="6"/>
  <c r="D852" i="6"/>
  <c r="D961" i="6" s="1"/>
  <c r="E852" i="6"/>
  <c r="E961" i="6" s="1"/>
  <c r="F852" i="6"/>
  <c r="F961" i="6" s="1"/>
  <c r="G852" i="6"/>
  <c r="G961" i="6" s="1"/>
  <c r="H852" i="6"/>
  <c r="H961" i="6" s="1"/>
  <c r="I852" i="6"/>
  <c r="I961" i="6" s="1"/>
  <c r="J852" i="6"/>
  <c r="J961" i="6" s="1"/>
  <c r="K852" i="6"/>
  <c r="K961" i="6" s="1"/>
  <c r="L852" i="6"/>
  <c r="L961" i="6" s="1"/>
  <c r="M852" i="6"/>
  <c r="M961" i="6" s="1"/>
  <c r="N852" i="6"/>
  <c r="N961" i="6" s="1"/>
  <c r="O852" i="6"/>
  <c r="O961" i="6" s="1"/>
  <c r="P852" i="6"/>
  <c r="P961" i="6" s="1"/>
  <c r="C633" i="6"/>
  <c r="C524" i="6"/>
  <c r="C415" i="6"/>
  <c r="C307" i="6"/>
  <c r="C198" i="6"/>
  <c r="D678" i="7"/>
  <c r="E678" i="7"/>
  <c r="F678" i="7"/>
  <c r="G678" i="7"/>
  <c r="H678" i="7"/>
  <c r="I678" i="7"/>
  <c r="J678" i="7"/>
  <c r="K678" i="7"/>
  <c r="L678" i="7"/>
  <c r="M678" i="7"/>
  <c r="N678" i="7"/>
  <c r="O678" i="7"/>
  <c r="P678" i="7"/>
  <c r="D577" i="7"/>
  <c r="E577" i="7"/>
  <c r="F577" i="7"/>
  <c r="G577" i="7"/>
  <c r="H577" i="7"/>
  <c r="I577" i="7"/>
  <c r="J577" i="7"/>
  <c r="K577" i="7"/>
  <c r="L577" i="7"/>
  <c r="M577" i="7"/>
  <c r="N577" i="7"/>
  <c r="O577" i="7"/>
  <c r="P577" i="7"/>
  <c r="D477" i="7"/>
  <c r="E477" i="7"/>
  <c r="F477" i="7"/>
  <c r="G477" i="7"/>
  <c r="H477" i="7"/>
  <c r="I477" i="7"/>
  <c r="J477" i="7"/>
  <c r="K477" i="7"/>
  <c r="L477" i="7"/>
  <c r="M477" i="7"/>
  <c r="N477" i="7"/>
  <c r="O477" i="7"/>
  <c r="P477" i="7"/>
  <c r="D377" i="7"/>
  <c r="E377" i="7"/>
  <c r="F377" i="7"/>
  <c r="G377" i="7"/>
  <c r="H377" i="7"/>
  <c r="I377" i="7"/>
  <c r="J377" i="7"/>
  <c r="K377" i="7"/>
  <c r="L377" i="7"/>
  <c r="M377" i="7"/>
  <c r="N377" i="7"/>
  <c r="O377" i="7"/>
  <c r="P377" i="7"/>
  <c r="D277" i="7"/>
  <c r="E277" i="7"/>
  <c r="F277" i="7"/>
  <c r="G277" i="7"/>
  <c r="H277" i="7"/>
  <c r="I277" i="7"/>
  <c r="J277" i="7"/>
  <c r="K277" i="7"/>
  <c r="L277" i="7"/>
  <c r="M277" i="7"/>
  <c r="N277" i="7"/>
  <c r="O277" i="7"/>
  <c r="E177" i="7"/>
  <c r="F177" i="7"/>
  <c r="G177" i="7"/>
  <c r="H177" i="7"/>
  <c r="J177" i="7"/>
  <c r="K177" i="7"/>
  <c r="L177" i="7"/>
  <c r="M177" i="7"/>
  <c r="N177" i="7"/>
  <c r="O177" i="7"/>
  <c r="P177" i="7"/>
  <c r="D75" i="7"/>
  <c r="E75" i="7"/>
  <c r="F75" i="7"/>
  <c r="G75" i="7"/>
  <c r="H75" i="7"/>
  <c r="I75" i="7"/>
  <c r="J75" i="7"/>
  <c r="K75" i="7"/>
  <c r="L75" i="7"/>
  <c r="M75" i="7"/>
  <c r="N75" i="7"/>
  <c r="O75" i="7"/>
  <c r="P75" i="7"/>
  <c r="D851" i="6"/>
  <c r="D960" i="6" s="1"/>
  <c r="E851" i="6"/>
  <c r="E960" i="6" s="1"/>
  <c r="F851" i="6"/>
  <c r="F960" i="6" s="1"/>
  <c r="G851" i="6"/>
  <c r="G960" i="6" s="1"/>
  <c r="H851" i="6"/>
  <c r="H960" i="6" s="1"/>
  <c r="I851" i="6"/>
  <c r="I960" i="6" s="1"/>
  <c r="J851" i="6"/>
  <c r="J960" i="6" s="1"/>
  <c r="K851" i="6"/>
  <c r="K960" i="6" s="1"/>
  <c r="L851" i="6"/>
  <c r="L960" i="6" s="1"/>
  <c r="M851" i="6"/>
  <c r="M960" i="6" s="1"/>
  <c r="N851" i="6"/>
  <c r="N960" i="6" s="1"/>
  <c r="O851" i="6"/>
  <c r="O960" i="6" s="1"/>
  <c r="P851" i="6"/>
  <c r="P960" i="6" s="1"/>
  <c r="C742" i="6"/>
  <c r="C632" i="6"/>
  <c r="C523" i="6"/>
  <c r="C414" i="6"/>
  <c r="C306" i="6"/>
  <c r="C88" i="6"/>
  <c r="D676" i="7"/>
  <c r="E676" i="7"/>
  <c r="F676" i="7"/>
  <c r="G676" i="7"/>
  <c r="H676" i="7"/>
  <c r="I676" i="7"/>
  <c r="J676" i="7"/>
  <c r="K676" i="7"/>
  <c r="L676" i="7"/>
  <c r="M676" i="7"/>
  <c r="N676" i="7"/>
  <c r="O676" i="7"/>
  <c r="P676" i="7"/>
  <c r="D677" i="7"/>
  <c r="E677" i="7"/>
  <c r="F677" i="7"/>
  <c r="G677" i="7"/>
  <c r="H677" i="7"/>
  <c r="I677" i="7"/>
  <c r="J677" i="7"/>
  <c r="K677" i="7"/>
  <c r="L677" i="7"/>
  <c r="M677" i="7"/>
  <c r="N677" i="7"/>
  <c r="O677" i="7"/>
  <c r="P677" i="7"/>
  <c r="D575" i="7"/>
  <c r="E575" i="7"/>
  <c r="F575" i="7"/>
  <c r="G575" i="7"/>
  <c r="H575" i="7"/>
  <c r="I575" i="7"/>
  <c r="J575" i="7"/>
  <c r="K575" i="7"/>
  <c r="L575" i="7"/>
  <c r="M575" i="7"/>
  <c r="N575" i="7"/>
  <c r="O575" i="7"/>
  <c r="P575" i="7"/>
  <c r="D576" i="7"/>
  <c r="E576" i="7"/>
  <c r="F576" i="7"/>
  <c r="G576" i="7"/>
  <c r="H576" i="7"/>
  <c r="I576" i="7"/>
  <c r="J576" i="7"/>
  <c r="K576" i="7"/>
  <c r="L576" i="7"/>
  <c r="M576" i="7"/>
  <c r="N576" i="7"/>
  <c r="O576" i="7"/>
  <c r="P576" i="7"/>
  <c r="D475" i="7"/>
  <c r="E475" i="7"/>
  <c r="F475" i="7"/>
  <c r="G475" i="7"/>
  <c r="H475" i="7"/>
  <c r="I475" i="7"/>
  <c r="J475" i="7"/>
  <c r="K475" i="7"/>
  <c r="L475" i="7"/>
  <c r="M475" i="7"/>
  <c r="N475" i="7"/>
  <c r="O475" i="7"/>
  <c r="P475" i="7"/>
  <c r="D476" i="7"/>
  <c r="E476" i="7"/>
  <c r="F476" i="7"/>
  <c r="G476" i="7"/>
  <c r="H476" i="7"/>
  <c r="I476" i="7"/>
  <c r="J476" i="7"/>
  <c r="K476" i="7"/>
  <c r="L476" i="7"/>
  <c r="M476" i="7"/>
  <c r="N476" i="7"/>
  <c r="O476" i="7"/>
  <c r="P476" i="7"/>
  <c r="D375" i="7"/>
  <c r="E375" i="7"/>
  <c r="F375" i="7"/>
  <c r="G375" i="7"/>
  <c r="H375" i="7"/>
  <c r="I375" i="7"/>
  <c r="J375" i="7"/>
  <c r="K375" i="7"/>
  <c r="L375" i="7"/>
  <c r="M375" i="7"/>
  <c r="N375" i="7"/>
  <c r="O375" i="7"/>
  <c r="P375" i="7"/>
  <c r="D376" i="7"/>
  <c r="E376" i="7"/>
  <c r="F376" i="7"/>
  <c r="G376" i="7"/>
  <c r="H376" i="7"/>
  <c r="I376" i="7"/>
  <c r="J376" i="7"/>
  <c r="K376" i="7"/>
  <c r="L376" i="7"/>
  <c r="M376" i="7"/>
  <c r="N376" i="7"/>
  <c r="O376" i="7"/>
  <c r="P376" i="7"/>
  <c r="D275" i="7"/>
  <c r="E275" i="7"/>
  <c r="F275" i="7"/>
  <c r="G275" i="7"/>
  <c r="H275" i="7"/>
  <c r="I275" i="7"/>
  <c r="J275" i="7"/>
  <c r="K275" i="7"/>
  <c r="L275" i="7"/>
  <c r="M275" i="7"/>
  <c r="N275" i="7"/>
  <c r="O275" i="7"/>
  <c r="D276" i="7"/>
  <c r="E276" i="7"/>
  <c r="F276" i="7"/>
  <c r="G276" i="7"/>
  <c r="H276" i="7"/>
  <c r="I276" i="7"/>
  <c r="J276" i="7"/>
  <c r="K276" i="7"/>
  <c r="L276" i="7"/>
  <c r="M276" i="7"/>
  <c r="N276" i="7"/>
  <c r="O276" i="7"/>
  <c r="E175" i="7"/>
  <c r="F175" i="7"/>
  <c r="G175" i="7"/>
  <c r="H175" i="7"/>
  <c r="J175" i="7"/>
  <c r="K175" i="7"/>
  <c r="L175" i="7"/>
  <c r="M175" i="7"/>
  <c r="N175" i="7"/>
  <c r="O175" i="7"/>
  <c r="P175" i="7"/>
  <c r="E176" i="7"/>
  <c r="F176" i="7"/>
  <c r="G176" i="7"/>
  <c r="H176" i="7"/>
  <c r="J176" i="7"/>
  <c r="K176" i="7"/>
  <c r="L176" i="7"/>
  <c r="M176" i="7"/>
  <c r="N176" i="7"/>
  <c r="O176" i="7"/>
  <c r="P176" i="7"/>
  <c r="D73" i="7"/>
  <c r="E73" i="7"/>
  <c r="F73" i="7"/>
  <c r="G73" i="7"/>
  <c r="H73" i="7"/>
  <c r="I73" i="7"/>
  <c r="J73" i="7"/>
  <c r="K73" i="7"/>
  <c r="L73" i="7"/>
  <c r="M73" i="7"/>
  <c r="N73" i="7"/>
  <c r="O73" i="7"/>
  <c r="P73" i="7"/>
  <c r="D74" i="7"/>
  <c r="E74" i="7"/>
  <c r="F74" i="7"/>
  <c r="G74" i="7"/>
  <c r="H74" i="7"/>
  <c r="I74" i="7"/>
  <c r="J74" i="7"/>
  <c r="K74" i="7"/>
  <c r="L74" i="7"/>
  <c r="M74" i="7"/>
  <c r="N74" i="7"/>
  <c r="O74" i="7"/>
  <c r="P74" i="7"/>
  <c r="D850" i="6"/>
  <c r="D849" i="6"/>
  <c r="D958" i="6" s="1"/>
  <c r="E849" i="6"/>
  <c r="E958" i="6" s="1"/>
  <c r="F849" i="6"/>
  <c r="F958" i="6" s="1"/>
  <c r="G849" i="6"/>
  <c r="H849" i="6"/>
  <c r="H958" i="6" s="1"/>
  <c r="I849" i="6"/>
  <c r="I958" i="6" s="1"/>
  <c r="J849" i="6"/>
  <c r="J958" i="6" s="1"/>
  <c r="K849" i="6"/>
  <c r="K958" i="6" s="1"/>
  <c r="L849" i="6"/>
  <c r="L958" i="6" s="1"/>
  <c r="M849" i="6"/>
  <c r="M958" i="6" s="1"/>
  <c r="N849" i="6"/>
  <c r="N958" i="6" s="1"/>
  <c r="O849" i="6"/>
  <c r="O958" i="6" s="1"/>
  <c r="P849" i="6"/>
  <c r="P958" i="6" s="1"/>
  <c r="C740" i="6"/>
  <c r="C195" i="6"/>
  <c r="E850" i="6"/>
  <c r="F850" i="6"/>
  <c r="F959" i="6" s="1"/>
  <c r="G850" i="6"/>
  <c r="G959" i="6" s="1"/>
  <c r="H850" i="6"/>
  <c r="H959" i="6" s="1"/>
  <c r="I850" i="6"/>
  <c r="J850" i="6"/>
  <c r="J959" i="6" s="1"/>
  <c r="K850" i="6"/>
  <c r="K959" i="6" s="1"/>
  <c r="L850" i="6"/>
  <c r="M850" i="6"/>
  <c r="N850" i="6"/>
  <c r="N959" i="6" s="1"/>
  <c r="O850" i="6"/>
  <c r="O959" i="6" s="1"/>
  <c r="P850" i="6"/>
  <c r="P959" i="6" s="1"/>
  <c r="C630" i="6"/>
  <c r="C631" i="6"/>
  <c r="C413" i="6"/>
  <c r="E967" i="6" l="1"/>
  <c r="D967" i="6"/>
  <c r="D786" i="7"/>
  <c r="M959" i="6"/>
  <c r="E959" i="6"/>
  <c r="D959" i="6"/>
  <c r="I959" i="6"/>
  <c r="L959" i="6"/>
  <c r="N967" i="6"/>
  <c r="I967" i="6"/>
  <c r="J967" i="6"/>
  <c r="K967" i="6"/>
  <c r="F967" i="6"/>
  <c r="L967" i="6"/>
  <c r="M967" i="6"/>
  <c r="G967" i="6"/>
  <c r="O967" i="6"/>
  <c r="H967" i="6"/>
  <c r="P967" i="6"/>
  <c r="I81" i="7"/>
  <c r="C81" i="7" s="1"/>
  <c r="I966" i="6"/>
  <c r="P82" i="7"/>
  <c r="O82" i="7"/>
  <c r="N82" i="7"/>
  <c r="M82" i="7"/>
  <c r="L82" i="7"/>
  <c r="K82" i="7"/>
  <c r="J82" i="7"/>
  <c r="I82" i="7"/>
  <c r="H82" i="7"/>
  <c r="G82" i="7"/>
  <c r="F82" i="7"/>
  <c r="E82" i="7"/>
  <c r="G184" i="7"/>
  <c r="C204" i="6"/>
  <c r="H184" i="7"/>
  <c r="C856" i="6"/>
  <c r="C965" i="6" s="1"/>
  <c r="C853" i="6"/>
  <c r="C962" i="6" s="1"/>
  <c r="C584" i="7"/>
  <c r="C854" i="6"/>
  <c r="C963" i="6" s="1"/>
  <c r="C855" i="6"/>
  <c r="C964" i="6" s="1"/>
  <c r="C858" i="6"/>
  <c r="C857" i="6"/>
  <c r="C966" i="6" s="1"/>
  <c r="C284" i="7"/>
  <c r="C484" i="7"/>
  <c r="C384" i="7"/>
  <c r="C283" i="7"/>
  <c r="C483" i="7"/>
  <c r="C383" i="7"/>
  <c r="C684" i="7"/>
  <c r="C583" i="7"/>
  <c r="C480" i="7"/>
  <c r="C681" i="7"/>
  <c r="C482" i="7"/>
  <c r="C481" i="7"/>
  <c r="C683" i="7"/>
  <c r="C281" i="7"/>
  <c r="C380" i="7"/>
  <c r="C682" i="7"/>
  <c r="C382" i="7"/>
  <c r="C381" i="7"/>
  <c r="C78" i="7"/>
  <c r="C580" i="7"/>
  <c r="C581" i="7"/>
  <c r="C80" i="7"/>
  <c r="C282" i="7"/>
  <c r="C582" i="7"/>
  <c r="C280" i="7"/>
  <c r="C79" i="7"/>
  <c r="C479" i="7"/>
  <c r="C279" i="7"/>
  <c r="C680" i="7"/>
  <c r="C379" i="7"/>
  <c r="C77" i="7"/>
  <c r="C579" i="7"/>
  <c r="C679" i="7"/>
  <c r="C378" i="7"/>
  <c r="C478" i="7"/>
  <c r="C76" i="7"/>
  <c r="C578" i="7"/>
  <c r="C278" i="7"/>
  <c r="C852" i="6"/>
  <c r="C849" i="6"/>
  <c r="C851" i="6"/>
  <c r="C678" i="7"/>
  <c r="C577" i="7"/>
  <c r="C477" i="7"/>
  <c r="C377" i="7"/>
  <c r="C277" i="7"/>
  <c r="C75" i="7"/>
  <c r="C676" i="7"/>
  <c r="C276" i="7"/>
  <c r="C73" i="7"/>
  <c r="C476" i="7"/>
  <c r="C275" i="7"/>
  <c r="C576" i="7"/>
  <c r="C375" i="7"/>
  <c r="C677" i="7"/>
  <c r="C475" i="7"/>
  <c r="C376" i="7"/>
  <c r="C575" i="7"/>
  <c r="C74" i="7"/>
  <c r="G958" i="6"/>
  <c r="C850" i="6"/>
  <c r="D675" i="7"/>
  <c r="E675" i="7"/>
  <c r="F675" i="7"/>
  <c r="G675" i="7"/>
  <c r="H675" i="7"/>
  <c r="I675" i="7"/>
  <c r="J675" i="7"/>
  <c r="K675" i="7"/>
  <c r="L675" i="7"/>
  <c r="M675" i="7"/>
  <c r="N675" i="7"/>
  <c r="O675" i="7"/>
  <c r="P675" i="7"/>
  <c r="D574" i="7"/>
  <c r="E574" i="7"/>
  <c r="F574" i="7"/>
  <c r="G574" i="7"/>
  <c r="H574" i="7"/>
  <c r="I574" i="7"/>
  <c r="J574" i="7"/>
  <c r="K574" i="7"/>
  <c r="L574" i="7"/>
  <c r="M574" i="7"/>
  <c r="N574" i="7"/>
  <c r="O574" i="7"/>
  <c r="P574" i="7"/>
  <c r="D474" i="7"/>
  <c r="E474" i="7"/>
  <c r="F474" i="7"/>
  <c r="G474" i="7"/>
  <c r="H474" i="7"/>
  <c r="I474" i="7"/>
  <c r="J474" i="7"/>
  <c r="K474" i="7"/>
  <c r="L474" i="7"/>
  <c r="M474" i="7"/>
  <c r="N474" i="7"/>
  <c r="O474" i="7"/>
  <c r="P474" i="7"/>
  <c r="D374" i="7"/>
  <c r="E374" i="7"/>
  <c r="F374" i="7"/>
  <c r="G374" i="7"/>
  <c r="H374" i="7"/>
  <c r="I374" i="7"/>
  <c r="J374" i="7"/>
  <c r="K374" i="7"/>
  <c r="L374" i="7"/>
  <c r="M374" i="7"/>
  <c r="N374" i="7"/>
  <c r="O374" i="7"/>
  <c r="P374" i="7"/>
  <c r="D274" i="7"/>
  <c r="E274" i="7"/>
  <c r="F274" i="7"/>
  <c r="G274" i="7"/>
  <c r="H274" i="7"/>
  <c r="I274" i="7"/>
  <c r="J274" i="7"/>
  <c r="K274" i="7"/>
  <c r="L274" i="7"/>
  <c r="M274" i="7"/>
  <c r="N274" i="7"/>
  <c r="O274" i="7"/>
  <c r="E174" i="7"/>
  <c r="F174" i="7"/>
  <c r="G174" i="7"/>
  <c r="H174" i="7"/>
  <c r="J174" i="7"/>
  <c r="K174" i="7"/>
  <c r="L174" i="7"/>
  <c r="M174" i="7"/>
  <c r="N174" i="7"/>
  <c r="O174" i="7"/>
  <c r="P174" i="7"/>
  <c r="D72" i="7"/>
  <c r="E72" i="7"/>
  <c r="F72" i="7"/>
  <c r="G72" i="7"/>
  <c r="H72" i="7"/>
  <c r="I72" i="7"/>
  <c r="J72" i="7"/>
  <c r="K72" i="7"/>
  <c r="L72" i="7"/>
  <c r="M72" i="7"/>
  <c r="N72" i="7"/>
  <c r="O72" i="7"/>
  <c r="P72" i="7"/>
  <c r="D848" i="6"/>
  <c r="E848" i="6"/>
  <c r="F848" i="6"/>
  <c r="G848" i="6"/>
  <c r="H848" i="6"/>
  <c r="I848" i="6"/>
  <c r="J848" i="6"/>
  <c r="K848" i="6"/>
  <c r="L848" i="6"/>
  <c r="M848" i="6"/>
  <c r="N848" i="6"/>
  <c r="O848" i="6"/>
  <c r="P848" i="6"/>
  <c r="C739" i="6"/>
  <c r="C629" i="6"/>
  <c r="C520" i="6"/>
  <c r="C411" i="6"/>
  <c r="C303" i="6"/>
  <c r="C194" i="6"/>
  <c r="N957" i="6" l="1"/>
  <c r="E957" i="6"/>
  <c r="D957" i="6"/>
  <c r="I957" i="6"/>
  <c r="L957" i="6"/>
  <c r="J957" i="6"/>
  <c r="P957" i="6"/>
  <c r="F957" i="6"/>
  <c r="M957" i="6"/>
  <c r="K957" i="6"/>
  <c r="H957" i="6"/>
  <c r="O957" i="6"/>
  <c r="G957" i="6"/>
  <c r="C967" i="6"/>
  <c r="C184" i="7"/>
  <c r="C82" i="7"/>
  <c r="C848" i="6"/>
  <c r="C274" i="7"/>
  <c r="C574" i="7"/>
  <c r="C474" i="7"/>
  <c r="C72" i="7"/>
  <c r="C675" i="7"/>
  <c r="C374" i="7"/>
  <c r="N256" i="7"/>
  <c r="D674" i="7"/>
  <c r="E674" i="7"/>
  <c r="F674" i="7"/>
  <c r="G674" i="7"/>
  <c r="H674" i="7"/>
  <c r="I674" i="7"/>
  <c r="J674" i="7"/>
  <c r="K674" i="7"/>
  <c r="L674" i="7"/>
  <c r="M674" i="7"/>
  <c r="N674" i="7"/>
  <c r="O674" i="7"/>
  <c r="P674" i="7"/>
  <c r="D573" i="7"/>
  <c r="E573" i="7"/>
  <c r="F573" i="7"/>
  <c r="G573" i="7"/>
  <c r="H573" i="7"/>
  <c r="I573" i="7"/>
  <c r="J573" i="7"/>
  <c r="K573" i="7"/>
  <c r="L573" i="7"/>
  <c r="M573" i="7"/>
  <c r="N573" i="7"/>
  <c r="O573" i="7"/>
  <c r="P573" i="7"/>
  <c r="D473" i="7"/>
  <c r="E473" i="7"/>
  <c r="F473" i="7"/>
  <c r="G473" i="7"/>
  <c r="H473" i="7"/>
  <c r="I473" i="7"/>
  <c r="J473" i="7"/>
  <c r="K473" i="7"/>
  <c r="L473" i="7"/>
  <c r="M473" i="7"/>
  <c r="N473" i="7"/>
  <c r="O473" i="7"/>
  <c r="P473" i="7"/>
  <c r="P373" i="7"/>
  <c r="O373" i="7"/>
  <c r="N373" i="7"/>
  <c r="M373" i="7"/>
  <c r="L373" i="7"/>
  <c r="K373" i="7"/>
  <c r="J373" i="7"/>
  <c r="I373" i="7"/>
  <c r="H373" i="7"/>
  <c r="G373" i="7"/>
  <c r="F373" i="7"/>
  <c r="E373" i="7"/>
  <c r="D373" i="7"/>
  <c r="D273" i="7"/>
  <c r="E273" i="7"/>
  <c r="F273" i="7"/>
  <c r="G273" i="7"/>
  <c r="H273" i="7"/>
  <c r="I273" i="7"/>
  <c r="J273" i="7"/>
  <c r="K273" i="7"/>
  <c r="L273" i="7"/>
  <c r="M273" i="7"/>
  <c r="N273" i="7"/>
  <c r="O273" i="7"/>
  <c r="P273" i="7"/>
  <c r="E173" i="7"/>
  <c r="F173" i="7"/>
  <c r="G173" i="7"/>
  <c r="H173" i="7"/>
  <c r="J173" i="7"/>
  <c r="K173" i="7"/>
  <c r="L173" i="7"/>
  <c r="M173" i="7"/>
  <c r="N173" i="7"/>
  <c r="O173" i="7"/>
  <c r="P173" i="7"/>
  <c r="D71" i="7"/>
  <c r="E71" i="7"/>
  <c r="F71" i="7"/>
  <c r="G71" i="7"/>
  <c r="H71" i="7"/>
  <c r="I71" i="7"/>
  <c r="J71" i="7"/>
  <c r="K71" i="7"/>
  <c r="L71" i="7"/>
  <c r="M71" i="7"/>
  <c r="N71" i="7"/>
  <c r="O71" i="7"/>
  <c r="P71" i="7"/>
  <c r="D847" i="6"/>
  <c r="E847" i="6"/>
  <c r="F847" i="6"/>
  <c r="G847" i="6"/>
  <c r="H847" i="6"/>
  <c r="I847" i="6"/>
  <c r="J847" i="6"/>
  <c r="K847" i="6"/>
  <c r="L847" i="6"/>
  <c r="M847" i="6"/>
  <c r="N847" i="6"/>
  <c r="O847" i="6"/>
  <c r="P847" i="6"/>
  <c r="C628" i="6"/>
  <c r="C519" i="6"/>
  <c r="C410" i="6"/>
  <c r="C302" i="6"/>
  <c r="C193" i="6"/>
  <c r="L956" i="6" l="1"/>
  <c r="L786" i="7"/>
  <c r="L886" i="7" s="1"/>
  <c r="D956" i="6"/>
  <c r="K956" i="6"/>
  <c r="K786" i="7"/>
  <c r="K886" i="7" s="1"/>
  <c r="I956" i="6"/>
  <c r="I786" i="7"/>
  <c r="I886" i="7" s="1"/>
  <c r="J956" i="6"/>
  <c r="J786" i="7"/>
  <c r="J886" i="7" s="1"/>
  <c r="P956" i="6"/>
  <c r="P786" i="7"/>
  <c r="H956" i="6"/>
  <c r="H786" i="7"/>
  <c r="H886" i="7" s="1"/>
  <c r="O956" i="6"/>
  <c r="O786" i="7"/>
  <c r="N956" i="6"/>
  <c r="N786" i="7"/>
  <c r="N886" i="7" s="1"/>
  <c r="F956" i="6"/>
  <c r="F786" i="7"/>
  <c r="F886" i="7" s="1"/>
  <c r="G956" i="6"/>
  <c r="G786" i="7"/>
  <c r="G886" i="7" s="1"/>
  <c r="M956" i="6"/>
  <c r="M786" i="7"/>
  <c r="M886" i="7" s="1"/>
  <c r="E956" i="6"/>
  <c r="E786" i="7"/>
  <c r="E886" i="7" s="1"/>
  <c r="C847" i="6"/>
  <c r="C71" i="7"/>
  <c r="C473" i="7"/>
  <c r="C373" i="7"/>
  <c r="C674" i="7"/>
  <c r="C573" i="7"/>
  <c r="C273" i="7"/>
  <c r="D189" i="6"/>
  <c r="I189" i="6"/>
  <c r="D188" i="6"/>
  <c r="D168" i="7" s="1"/>
  <c r="D190" i="6"/>
  <c r="I190" i="6"/>
  <c r="D191" i="6"/>
  <c r="I191" i="6"/>
  <c r="D192" i="6"/>
  <c r="D183" i="7" s="1"/>
  <c r="I192" i="6"/>
  <c r="I183" i="7" s="1"/>
  <c r="D673" i="7"/>
  <c r="E673" i="7"/>
  <c r="F673" i="7"/>
  <c r="G673" i="7"/>
  <c r="H673" i="7"/>
  <c r="I673" i="7"/>
  <c r="J673" i="7"/>
  <c r="K673" i="7"/>
  <c r="L673" i="7"/>
  <c r="M673" i="7"/>
  <c r="N673" i="7"/>
  <c r="O673" i="7"/>
  <c r="P673" i="7"/>
  <c r="D572" i="7"/>
  <c r="E572" i="7"/>
  <c r="F572" i="7"/>
  <c r="G572" i="7"/>
  <c r="H572" i="7"/>
  <c r="I572" i="7"/>
  <c r="J572" i="7"/>
  <c r="K572" i="7"/>
  <c r="L572" i="7"/>
  <c r="M572" i="7"/>
  <c r="N572" i="7"/>
  <c r="O572" i="7"/>
  <c r="P572" i="7"/>
  <c r="D472" i="7"/>
  <c r="E472" i="7"/>
  <c r="F472" i="7"/>
  <c r="G472" i="7"/>
  <c r="H472" i="7"/>
  <c r="I472" i="7"/>
  <c r="J472" i="7"/>
  <c r="K472" i="7"/>
  <c r="L472" i="7"/>
  <c r="M472" i="7"/>
  <c r="N472" i="7"/>
  <c r="O472" i="7"/>
  <c r="P472" i="7"/>
  <c r="D372" i="7"/>
  <c r="E372" i="7"/>
  <c r="F372" i="7"/>
  <c r="G372" i="7"/>
  <c r="H372" i="7"/>
  <c r="I372" i="7"/>
  <c r="J372" i="7"/>
  <c r="K372" i="7"/>
  <c r="L372" i="7"/>
  <c r="M372" i="7"/>
  <c r="N372" i="7"/>
  <c r="O372" i="7"/>
  <c r="P372" i="7"/>
  <c r="D272" i="7"/>
  <c r="E272" i="7"/>
  <c r="F272" i="7"/>
  <c r="G272" i="7"/>
  <c r="H272" i="7"/>
  <c r="I272" i="7"/>
  <c r="J272" i="7"/>
  <c r="K272" i="7"/>
  <c r="L272" i="7"/>
  <c r="M272" i="7"/>
  <c r="N272" i="7"/>
  <c r="O272" i="7"/>
  <c r="P272" i="7"/>
  <c r="E172" i="7"/>
  <c r="F172" i="7"/>
  <c r="G172" i="7"/>
  <c r="H172" i="7"/>
  <c r="J172" i="7"/>
  <c r="K172" i="7"/>
  <c r="L172" i="7"/>
  <c r="M172" i="7"/>
  <c r="N172" i="7"/>
  <c r="O172" i="7"/>
  <c r="P172" i="7"/>
  <c r="D70" i="7"/>
  <c r="E70" i="7"/>
  <c r="F70" i="7"/>
  <c r="G70" i="7"/>
  <c r="H70" i="7"/>
  <c r="I70" i="7"/>
  <c r="J70" i="7"/>
  <c r="K70" i="7"/>
  <c r="L70" i="7"/>
  <c r="M70" i="7"/>
  <c r="N70" i="7"/>
  <c r="O70" i="7"/>
  <c r="P70" i="7"/>
  <c r="D846" i="6"/>
  <c r="D785" i="7" s="1"/>
  <c r="E846" i="6"/>
  <c r="F846" i="6"/>
  <c r="G846" i="6"/>
  <c r="H846" i="6"/>
  <c r="I846" i="6"/>
  <c r="I785" i="7" s="1"/>
  <c r="J846" i="6"/>
  <c r="J785" i="7" s="1"/>
  <c r="K846" i="6"/>
  <c r="L846" i="6"/>
  <c r="M846" i="6"/>
  <c r="N846" i="6"/>
  <c r="O846" i="6"/>
  <c r="P846" i="6"/>
  <c r="H57" i="7"/>
  <c r="H159" i="7"/>
  <c r="H259" i="7"/>
  <c r="H359" i="7"/>
  <c r="H459" i="7"/>
  <c r="D57" i="7"/>
  <c r="E57" i="7"/>
  <c r="F57" i="7"/>
  <c r="G57" i="7"/>
  <c r="I57" i="7"/>
  <c r="J57" i="7"/>
  <c r="K57" i="7"/>
  <c r="L57" i="7"/>
  <c r="M57" i="7"/>
  <c r="N57" i="7"/>
  <c r="O57" i="7"/>
  <c r="P57" i="7"/>
  <c r="D159" i="7"/>
  <c r="E159" i="7"/>
  <c r="F159" i="7"/>
  <c r="G159" i="7"/>
  <c r="I159" i="7"/>
  <c r="J159" i="7"/>
  <c r="K159" i="7"/>
  <c r="L159" i="7"/>
  <c r="M159" i="7"/>
  <c r="N159" i="7"/>
  <c r="O159" i="7"/>
  <c r="P159" i="7"/>
  <c r="D259" i="7"/>
  <c r="E259" i="7"/>
  <c r="F259" i="7"/>
  <c r="G259" i="7"/>
  <c r="I259" i="7"/>
  <c r="J259" i="7"/>
  <c r="K259" i="7"/>
  <c r="L259" i="7"/>
  <c r="M259" i="7"/>
  <c r="N259" i="7"/>
  <c r="O259" i="7"/>
  <c r="P259" i="7"/>
  <c r="D359" i="7"/>
  <c r="E359" i="7"/>
  <c r="F359" i="7"/>
  <c r="G359" i="7"/>
  <c r="I359" i="7"/>
  <c r="J359" i="7"/>
  <c r="K359" i="7"/>
  <c r="L359" i="7"/>
  <c r="M359" i="7"/>
  <c r="N359" i="7"/>
  <c r="O359" i="7"/>
  <c r="P359" i="7"/>
  <c r="D459" i="7"/>
  <c r="E459" i="7"/>
  <c r="F459" i="7"/>
  <c r="G459" i="7"/>
  <c r="I459" i="7"/>
  <c r="J459" i="7"/>
  <c r="K459" i="7"/>
  <c r="L459" i="7"/>
  <c r="M459" i="7"/>
  <c r="N459" i="7"/>
  <c r="O459" i="7"/>
  <c r="P459" i="7"/>
  <c r="G69" i="7"/>
  <c r="G171" i="7"/>
  <c r="G271" i="7"/>
  <c r="G371" i="7"/>
  <c r="G471" i="7"/>
  <c r="D69" i="7"/>
  <c r="E69" i="7"/>
  <c r="F69" i="7"/>
  <c r="H69" i="7"/>
  <c r="I69" i="7"/>
  <c r="J69" i="7"/>
  <c r="K69" i="7"/>
  <c r="L69" i="7"/>
  <c r="M69" i="7"/>
  <c r="N69" i="7"/>
  <c r="O69" i="7"/>
  <c r="P69" i="7"/>
  <c r="E171" i="7"/>
  <c r="F171" i="7"/>
  <c r="H171" i="7"/>
  <c r="J171" i="7"/>
  <c r="K171" i="7"/>
  <c r="L171" i="7"/>
  <c r="M171" i="7"/>
  <c r="N171" i="7"/>
  <c r="O171" i="7"/>
  <c r="P171" i="7"/>
  <c r="D271" i="7"/>
  <c r="E271" i="7"/>
  <c r="F271" i="7"/>
  <c r="H271" i="7"/>
  <c r="I271" i="7"/>
  <c r="J271" i="7"/>
  <c r="K271" i="7"/>
  <c r="L271" i="7"/>
  <c r="M271" i="7"/>
  <c r="N271" i="7"/>
  <c r="O271" i="7"/>
  <c r="P271" i="7"/>
  <c r="D371" i="7"/>
  <c r="E371" i="7"/>
  <c r="F371" i="7"/>
  <c r="H371" i="7"/>
  <c r="I371" i="7"/>
  <c r="J371" i="7"/>
  <c r="K371" i="7"/>
  <c r="L371" i="7"/>
  <c r="M371" i="7"/>
  <c r="N371" i="7"/>
  <c r="O371" i="7"/>
  <c r="P371" i="7"/>
  <c r="D471" i="7"/>
  <c r="E471" i="7"/>
  <c r="F471" i="7"/>
  <c r="H471" i="7"/>
  <c r="I471" i="7"/>
  <c r="J471" i="7"/>
  <c r="K471" i="7"/>
  <c r="L471" i="7"/>
  <c r="M471" i="7"/>
  <c r="N471" i="7"/>
  <c r="O471" i="7"/>
  <c r="P471" i="7"/>
  <c r="D672" i="7"/>
  <c r="E672" i="7"/>
  <c r="F672" i="7"/>
  <c r="G672" i="7"/>
  <c r="H672" i="7"/>
  <c r="I672" i="7"/>
  <c r="J672" i="7"/>
  <c r="K672" i="7"/>
  <c r="L672" i="7"/>
  <c r="M672" i="7"/>
  <c r="N672" i="7"/>
  <c r="O672" i="7"/>
  <c r="P672" i="7"/>
  <c r="D571" i="7"/>
  <c r="E571" i="7"/>
  <c r="F571" i="7"/>
  <c r="G571" i="7"/>
  <c r="H571" i="7"/>
  <c r="I571" i="7"/>
  <c r="J571" i="7"/>
  <c r="K571" i="7"/>
  <c r="L571" i="7"/>
  <c r="M571" i="7"/>
  <c r="N571" i="7"/>
  <c r="O571" i="7"/>
  <c r="P571" i="7"/>
  <c r="C83" i="6"/>
  <c r="C301" i="6"/>
  <c r="C409" i="6"/>
  <c r="C518" i="6"/>
  <c r="D845" i="6"/>
  <c r="E845" i="6"/>
  <c r="F845" i="6"/>
  <c r="G845" i="6"/>
  <c r="H845" i="6"/>
  <c r="I845" i="6"/>
  <c r="J845" i="6"/>
  <c r="K845" i="6"/>
  <c r="L845" i="6"/>
  <c r="M845" i="6"/>
  <c r="N845" i="6"/>
  <c r="O845" i="6"/>
  <c r="P845" i="6"/>
  <c r="C517" i="6"/>
  <c r="C408" i="6"/>
  <c r="C300" i="6"/>
  <c r="D68" i="7"/>
  <c r="E68" i="7"/>
  <c r="F68" i="7"/>
  <c r="G68" i="7"/>
  <c r="H68" i="7"/>
  <c r="I68" i="7"/>
  <c r="J68" i="7"/>
  <c r="K68" i="7"/>
  <c r="L68" i="7"/>
  <c r="M68" i="7"/>
  <c r="N68" i="7"/>
  <c r="O68" i="7"/>
  <c r="P68" i="7"/>
  <c r="E170" i="7"/>
  <c r="F170" i="7"/>
  <c r="G170" i="7"/>
  <c r="H170" i="7"/>
  <c r="J170" i="7"/>
  <c r="K170" i="7"/>
  <c r="L170" i="7"/>
  <c r="M170" i="7"/>
  <c r="N170" i="7"/>
  <c r="O170" i="7"/>
  <c r="P170" i="7"/>
  <c r="D270" i="7"/>
  <c r="E270" i="7"/>
  <c r="F270" i="7"/>
  <c r="G270" i="7"/>
  <c r="H270" i="7"/>
  <c r="I270" i="7"/>
  <c r="J270" i="7"/>
  <c r="K270" i="7"/>
  <c r="L270" i="7"/>
  <c r="M270" i="7"/>
  <c r="N270" i="7"/>
  <c r="O270" i="7"/>
  <c r="P270" i="7"/>
  <c r="D370" i="7"/>
  <c r="E370" i="7"/>
  <c r="F370" i="7"/>
  <c r="G370" i="7"/>
  <c r="H370" i="7"/>
  <c r="I370" i="7"/>
  <c r="J370" i="7"/>
  <c r="K370" i="7"/>
  <c r="L370" i="7"/>
  <c r="M370" i="7"/>
  <c r="N370" i="7"/>
  <c r="O370" i="7"/>
  <c r="P370" i="7"/>
  <c r="D470" i="7"/>
  <c r="E470" i="7"/>
  <c r="F470" i="7"/>
  <c r="G470" i="7"/>
  <c r="H470" i="7"/>
  <c r="I470" i="7"/>
  <c r="J470" i="7"/>
  <c r="K470" i="7"/>
  <c r="L470" i="7"/>
  <c r="M470" i="7"/>
  <c r="N470" i="7"/>
  <c r="O470" i="7"/>
  <c r="P470" i="7"/>
  <c r="D570" i="7"/>
  <c r="E570" i="7"/>
  <c r="F570" i="7"/>
  <c r="G570" i="7"/>
  <c r="H570" i="7"/>
  <c r="I570" i="7"/>
  <c r="J570" i="7"/>
  <c r="K570" i="7"/>
  <c r="L570" i="7"/>
  <c r="M570" i="7"/>
  <c r="N570" i="7"/>
  <c r="O570" i="7"/>
  <c r="P570" i="7"/>
  <c r="D671" i="7"/>
  <c r="E671" i="7"/>
  <c r="F671" i="7"/>
  <c r="G671" i="7"/>
  <c r="H671" i="7"/>
  <c r="I671" i="7"/>
  <c r="J671" i="7"/>
  <c r="K671" i="7"/>
  <c r="L671" i="7"/>
  <c r="M671" i="7"/>
  <c r="N671" i="7"/>
  <c r="O671" i="7"/>
  <c r="P671" i="7"/>
  <c r="D844" i="6"/>
  <c r="E844" i="6"/>
  <c r="F844" i="6"/>
  <c r="G844" i="6"/>
  <c r="H844" i="6"/>
  <c r="I844" i="6"/>
  <c r="J844" i="6"/>
  <c r="K844" i="6"/>
  <c r="L844" i="6"/>
  <c r="M844" i="6"/>
  <c r="N844" i="6"/>
  <c r="O844" i="6"/>
  <c r="P844" i="6"/>
  <c r="D67" i="7"/>
  <c r="E67" i="7"/>
  <c r="F67" i="7"/>
  <c r="G67" i="7"/>
  <c r="H67" i="7"/>
  <c r="I67" i="7"/>
  <c r="J67" i="7"/>
  <c r="K67" i="7"/>
  <c r="L67" i="7"/>
  <c r="M67" i="7"/>
  <c r="N67" i="7"/>
  <c r="O67" i="7"/>
  <c r="P67" i="7"/>
  <c r="E169" i="7"/>
  <c r="F169" i="7"/>
  <c r="G169" i="7"/>
  <c r="H169" i="7"/>
  <c r="J169" i="7"/>
  <c r="K169" i="7"/>
  <c r="L169" i="7"/>
  <c r="M169" i="7"/>
  <c r="N169" i="7"/>
  <c r="O169" i="7"/>
  <c r="P169" i="7"/>
  <c r="D269" i="7"/>
  <c r="E269" i="7"/>
  <c r="F269" i="7"/>
  <c r="G269" i="7"/>
  <c r="H269" i="7"/>
  <c r="I269" i="7"/>
  <c r="J269" i="7"/>
  <c r="K269" i="7"/>
  <c r="L269" i="7"/>
  <c r="M269" i="7"/>
  <c r="N269" i="7"/>
  <c r="O269" i="7"/>
  <c r="P269" i="7"/>
  <c r="D369" i="7"/>
  <c r="E369" i="7"/>
  <c r="F369" i="7"/>
  <c r="G369" i="7"/>
  <c r="H369" i="7"/>
  <c r="I369" i="7"/>
  <c r="J369" i="7"/>
  <c r="K369" i="7"/>
  <c r="L369" i="7"/>
  <c r="M369" i="7"/>
  <c r="N369" i="7"/>
  <c r="O369" i="7"/>
  <c r="P369" i="7"/>
  <c r="D469" i="7"/>
  <c r="E469" i="7"/>
  <c r="F469" i="7"/>
  <c r="G469" i="7"/>
  <c r="H469" i="7"/>
  <c r="I469" i="7"/>
  <c r="J469" i="7"/>
  <c r="K469" i="7"/>
  <c r="L469" i="7"/>
  <c r="M469" i="7"/>
  <c r="N469" i="7"/>
  <c r="O469" i="7"/>
  <c r="P469" i="7"/>
  <c r="D569" i="7"/>
  <c r="E569" i="7"/>
  <c r="F569" i="7"/>
  <c r="G569" i="7"/>
  <c r="H569" i="7"/>
  <c r="I569" i="7"/>
  <c r="J569" i="7"/>
  <c r="K569" i="7"/>
  <c r="L569" i="7"/>
  <c r="M569" i="7"/>
  <c r="N569" i="7"/>
  <c r="O569" i="7"/>
  <c r="P569" i="7"/>
  <c r="D670" i="7"/>
  <c r="E670" i="7"/>
  <c r="F670" i="7"/>
  <c r="G670" i="7"/>
  <c r="H670" i="7"/>
  <c r="I670" i="7"/>
  <c r="J670" i="7"/>
  <c r="K670" i="7"/>
  <c r="L670" i="7"/>
  <c r="M670" i="7"/>
  <c r="N670" i="7"/>
  <c r="O670" i="7"/>
  <c r="P670" i="7"/>
  <c r="D843" i="6"/>
  <c r="E843" i="6"/>
  <c r="F843" i="6"/>
  <c r="G843" i="6"/>
  <c r="H843" i="6"/>
  <c r="I843" i="6"/>
  <c r="J843" i="6"/>
  <c r="K843" i="6"/>
  <c r="L843" i="6"/>
  <c r="M843" i="6"/>
  <c r="N843" i="6"/>
  <c r="O843" i="6"/>
  <c r="P843" i="6"/>
  <c r="C298" i="6"/>
  <c r="D668" i="7"/>
  <c r="E668" i="7"/>
  <c r="F668" i="7"/>
  <c r="G668" i="7"/>
  <c r="H668" i="7"/>
  <c r="I668" i="7"/>
  <c r="J668" i="7"/>
  <c r="K668" i="7"/>
  <c r="L668" i="7"/>
  <c r="M668" i="7"/>
  <c r="N668" i="7"/>
  <c r="O668" i="7"/>
  <c r="P668" i="7"/>
  <c r="D669" i="7"/>
  <c r="E669" i="7"/>
  <c r="F669" i="7"/>
  <c r="G669" i="7"/>
  <c r="H669" i="7"/>
  <c r="I669" i="7"/>
  <c r="J669" i="7"/>
  <c r="K669" i="7"/>
  <c r="L669" i="7"/>
  <c r="M669" i="7"/>
  <c r="N669" i="7"/>
  <c r="O669" i="7"/>
  <c r="P669" i="7"/>
  <c r="D567" i="7"/>
  <c r="E567" i="7"/>
  <c r="F567" i="7"/>
  <c r="G567" i="7"/>
  <c r="H567" i="7"/>
  <c r="I567" i="7"/>
  <c r="J567" i="7"/>
  <c r="K567" i="7"/>
  <c r="L567" i="7"/>
  <c r="M567" i="7"/>
  <c r="N567" i="7"/>
  <c r="O567" i="7"/>
  <c r="P567" i="7"/>
  <c r="D568" i="7"/>
  <c r="E568" i="7"/>
  <c r="F568" i="7"/>
  <c r="G568" i="7"/>
  <c r="H568" i="7"/>
  <c r="I568" i="7"/>
  <c r="J568" i="7"/>
  <c r="K568" i="7"/>
  <c r="L568" i="7"/>
  <c r="M568" i="7"/>
  <c r="N568" i="7"/>
  <c r="O568" i="7"/>
  <c r="P568" i="7"/>
  <c r="D467" i="7"/>
  <c r="E467" i="7"/>
  <c r="F467" i="7"/>
  <c r="G467" i="7"/>
  <c r="H467" i="7"/>
  <c r="I467" i="7"/>
  <c r="J467" i="7"/>
  <c r="K467" i="7"/>
  <c r="L467" i="7"/>
  <c r="M467" i="7"/>
  <c r="N467" i="7"/>
  <c r="O467" i="7"/>
  <c r="P467" i="7"/>
  <c r="D468" i="7"/>
  <c r="E468" i="7"/>
  <c r="F468" i="7"/>
  <c r="G468" i="7"/>
  <c r="H468" i="7"/>
  <c r="I468" i="7"/>
  <c r="J468" i="7"/>
  <c r="K468" i="7"/>
  <c r="L468" i="7"/>
  <c r="M468" i="7"/>
  <c r="N468" i="7"/>
  <c r="O468" i="7"/>
  <c r="P468" i="7"/>
  <c r="D367" i="7"/>
  <c r="E367" i="7"/>
  <c r="F367" i="7"/>
  <c r="G367" i="7"/>
  <c r="H367" i="7"/>
  <c r="I367" i="7"/>
  <c r="J367" i="7"/>
  <c r="K367" i="7"/>
  <c r="L367" i="7"/>
  <c r="M367" i="7"/>
  <c r="N367" i="7"/>
  <c r="O367" i="7"/>
  <c r="P367" i="7"/>
  <c r="D368" i="7"/>
  <c r="E368" i="7"/>
  <c r="F368" i="7"/>
  <c r="G368" i="7"/>
  <c r="H368" i="7"/>
  <c r="I368" i="7"/>
  <c r="J368" i="7"/>
  <c r="K368" i="7"/>
  <c r="L368" i="7"/>
  <c r="M368" i="7"/>
  <c r="N368" i="7"/>
  <c r="O368" i="7"/>
  <c r="P368" i="7"/>
  <c r="D267" i="7"/>
  <c r="E267" i="7"/>
  <c r="F267" i="7"/>
  <c r="G267" i="7"/>
  <c r="H267" i="7"/>
  <c r="I267" i="7"/>
  <c r="J267" i="7"/>
  <c r="K267" i="7"/>
  <c r="L267" i="7"/>
  <c r="M267" i="7"/>
  <c r="N267" i="7"/>
  <c r="O267" i="7"/>
  <c r="P267" i="7"/>
  <c r="D268" i="7"/>
  <c r="E268" i="7"/>
  <c r="F268" i="7"/>
  <c r="G268" i="7"/>
  <c r="H268" i="7"/>
  <c r="I268" i="7"/>
  <c r="J268" i="7"/>
  <c r="K268" i="7"/>
  <c r="L268" i="7"/>
  <c r="M268" i="7"/>
  <c r="N268" i="7"/>
  <c r="O268" i="7"/>
  <c r="P268" i="7"/>
  <c r="D167" i="7"/>
  <c r="E167" i="7"/>
  <c r="F167" i="7"/>
  <c r="G167" i="7"/>
  <c r="H167" i="7"/>
  <c r="I167" i="7"/>
  <c r="J167" i="7"/>
  <c r="K167" i="7"/>
  <c r="L167" i="7"/>
  <c r="M167" i="7"/>
  <c r="N167" i="7"/>
  <c r="O167" i="7"/>
  <c r="P167" i="7"/>
  <c r="E168" i="7"/>
  <c r="F168" i="7"/>
  <c r="G168" i="7"/>
  <c r="H168" i="7"/>
  <c r="I168" i="7"/>
  <c r="J168" i="7"/>
  <c r="K168" i="7"/>
  <c r="L168" i="7"/>
  <c r="M168" i="7"/>
  <c r="N168" i="7"/>
  <c r="O168" i="7"/>
  <c r="P168" i="7"/>
  <c r="D65" i="7"/>
  <c r="E65" i="7"/>
  <c r="F65" i="7"/>
  <c r="G65" i="7"/>
  <c r="H65" i="7"/>
  <c r="I65" i="7"/>
  <c r="J65" i="7"/>
  <c r="K65" i="7"/>
  <c r="L65" i="7"/>
  <c r="M65" i="7"/>
  <c r="N65" i="7"/>
  <c r="O65" i="7"/>
  <c r="P65" i="7"/>
  <c r="D66" i="7"/>
  <c r="E66" i="7"/>
  <c r="F66" i="7"/>
  <c r="G66" i="7"/>
  <c r="H66" i="7"/>
  <c r="I66" i="7"/>
  <c r="J66" i="7"/>
  <c r="K66" i="7"/>
  <c r="L66" i="7"/>
  <c r="M66" i="7"/>
  <c r="N66" i="7"/>
  <c r="O66" i="7"/>
  <c r="P66" i="7"/>
  <c r="D841" i="6"/>
  <c r="E841" i="6"/>
  <c r="F841" i="6"/>
  <c r="G841" i="6"/>
  <c r="H841" i="6"/>
  <c r="I841" i="6"/>
  <c r="J841" i="6"/>
  <c r="K841" i="6"/>
  <c r="L841" i="6"/>
  <c r="M841" i="6"/>
  <c r="N841" i="6"/>
  <c r="O841" i="6"/>
  <c r="P841" i="6"/>
  <c r="D842" i="6"/>
  <c r="E842" i="6"/>
  <c r="F842" i="6"/>
  <c r="G842" i="6"/>
  <c r="H842" i="6"/>
  <c r="I842" i="6"/>
  <c r="J842" i="6"/>
  <c r="K842" i="6"/>
  <c r="L842" i="6"/>
  <c r="M842" i="6"/>
  <c r="N842" i="6"/>
  <c r="O842" i="6"/>
  <c r="P842" i="6"/>
  <c r="D667" i="7"/>
  <c r="E667" i="7"/>
  <c r="F667" i="7"/>
  <c r="G667" i="7"/>
  <c r="H667" i="7"/>
  <c r="I667" i="7"/>
  <c r="J667" i="7"/>
  <c r="K667" i="7"/>
  <c r="L667" i="7"/>
  <c r="M667" i="7"/>
  <c r="N667" i="7"/>
  <c r="O667" i="7"/>
  <c r="P667" i="7"/>
  <c r="D566" i="7"/>
  <c r="E566" i="7"/>
  <c r="F566" i="7"/>
  <c r="G566" i="7"/>
  <c r="H566" i="7"/>
  <c r="I566" i="7"/>
  <c r="J566" i="7"/>
  <c r="K566" i="7"/>
  <c r="L566" i="7"/>
  <c r="M566" i="7"/>
  <c r="N566" i="7"/>
  <c r="O566" i="7"/>
  <c r="P566" i="7"/>
  <c r="D466" i="7"/>
  <c r="E466" i="7"/>
  <c r="F466" i="7"/>
  <c r="G466" i="7"/>
  <c r="H466" i="7"/>
  <c r="I466" i="7"/>
  <c r="J466" i="7"/>
  <c r="K466" i="7"/>
  <c r="L466" i="7"/>
  <c r="M466" i="7"/>
  <c r="N466" i="7"/>
  <c r="O466" i="7"/>
  <c r="P466" i="7"/>
  <c r="D366" i="7"/>
  <c r="E366" i="7"/>
  <c r="F366" i="7"/>
  <c r="G366" i="7"/>
  <c r="H366" i="7"/>
  <c r="I366" i="7"/>
  <c r="J366" i="7"/>
  <c r="K366" i="7"/>
  <c r="L366" i="7"/>
  <c r="M366" i="7"/>
  <c r="N366" i="7"/>
  <c r="O366" i="7"/>
  <c r="P366" i="7"/>
  <c r="D266" i="7"/>
  <c r="E266" i="7"/>
  <c r="F266" i="7"/>
  <c r="G266" i="7"/>
  <c r="H266" i="7"/>
  <c r="I266" i="7"/>
  <c r="J266" i="7"/>
  <c r="K266" i="7"/>
  <c r="L266" i="7"/>
  <c r="M266" i="7"/>
  <c r="N266" i="7"/>
  <c r="O266" i="7"/>
  <c r="P266" i="7"/>
  <c r="D166" i="7"/>
  <c r="E166" i="7"/>
  <c r="F166" i="7"/>
  <c r="G166" i="7"/>
  <c r="H166" i="7"/>
  <c r="I166" i="7"/>
  <c r="J166" i="7"/>
  <c r="K166" i="7"/>
  <c r="L166" i="7"/>
  <c r="M166" i="7"/>
  <c r="N166" i="7"/>
  <c r="O166" i="7"/>
  <c r="P166" i="7"/>
  <c r="D64" i="7"/>
  <c r="E64" i="7"/>
  <c r="F64" i="7"/>
  <c r="G64" i="7"/>
  <c r="H64" i="7"/>
  <c r="I64" i="7"/>
  <c r="J64" i="7"/>
  <c r="K64" i="7"/>
  <c r="L64" i="7"/>
  <c r="M64" i="7"/>
  <c r="N64" i="7"/>
  <c r="O64" i="7"/>
  <c r="P64" i="7"/>
  <c r="D840" i="6"/>
  <c r="E840" i="6"/>
  <c r="F840" i="6"/>
  <c r="G840" i="6"/>
  <c r="H840" i="6"/>
  <c r="I840" i="6"/>
  <c r="J840" i="6"/>
  <c r="K840" i="6"/>
  <c r="L840" i="6"/>
  <c r="M840" i="6"/>
  <c r="N840" i="6"/>
  <c r="O840" i="6"/>
  <c r="O949" i="6" s="1"/>
  <c r="P840" i="6"/>
  <c r="D666" i="7"/>
  <c r="E666" i="7"/>
  <c r="F666" i="7"/>
  <c r="G666" i="7"/>
  <c r="H666" i="7"/>
  <c r="I666" i="7"/>
  <c r="J666" i="7"/>
  <c r="K666" i="7"/>
  <c r="L666" i="7"/>
  <c r="M666" i="7"/>
  <c r="N666" i="7"/>
  <c r="O666" i="7"/>
  <c r="P666" i="7"/>
  <c r="D565" i="7"/>
  <c r="E565" i="7"/>
  <c r="F565" i="7"/>
  <c r="G565" i="7"/>
  <c r="H565" i="7"/>
  <c r="I565" i="7"/>
  <c r="J565" i="7"/>
  <c r="K565" i="7"/>
  <c r="L565" i="7"/>
  <c r="M565" i="7"/>
  <c r="N565" i="7"/>
  <c r="O565" i="7"/>
  <c r="P565" i="7"/>
  <c r="D465" i="7"/>
  <c r="E465" i="7"/>
  <c r="F465" i="7"/>
  <c r="G465" i="7"/>
  <c r="H465" i="7"/>
  <c r="I465" i="7"/>
  <c r="J465" i="7"/>
  <c r="K465" i="7"/>
  <c r="L465" i="7"/>
  <c r="M465" i="7"/>
  <c r="N465" i="7"/>
  <c r="O465" i="7"/>
  <c r="P465" i="7"/>
  <c r="D365" i="7"/>
  <c r="E365" i="7"/>
  <c r="F365" i="7"/>
  <c r="G365" i="7"/>
  <c r="H365" i="7"/>
  <c r="I365" i="7"/>
  <c r="J365" i="7"/>
  <c r="K365" i="7"/>
  <c r="L365" i="7"/>
  <c r="M365" i="7"/>
  <c r="N365" i="7"/>
  <c r="O365" i="7"/>
  <c r="P365" i="7"/>
  <c r="D265" i="7"/>
  <c r="E265" i="7"/>
  <c r="F265" i="7"/>
  <c r="G265" i="7"/>
  <c r="H265" i="7"/>
  <c r="I265" i="7"/>
  <c r="J265" i="7"/>
  <c r="K265" i="7"/>
  <c r="L265" i="7"/>
  <c r="M265" i="7"/>
  <c r="N265" i="7"/>
  <c r="O265" i="7"/>
  <c r="P265" i="7"/>
  <c r="D165" i="7"/>
  <c r="E165" i="7"/>
  <c r="F165" i="7"/>
  <c r="G165" i="7"/>
  <c r="H165" i="7"/>
  <c r="I165" i="7"/>
  <c r="J165" i="7"/>
  <c r="K165" i="7"/>
  <c r="L165" i="7"/>
  <c r="M165" i="7"/>
  <c r="N165" i="7"/>
  <c r="O165" i="7"/>
  <c r="P165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D839" i="6"/>
  <c r="D948" i="6" s="1"/>
  <c r="E839" i="6"/>
  <c r="F839" i="6"/>
  <c r="G839" i="6"/>
  <c r="G948" i="6" s="1"/>
  <c r="H839" i="6"/>
  <c r="I839" i="6"/>
  <c r="I948" i="6" s="1"/>
  <c r="J839" i="6"/>
  <c r="K839" i="6"/>
  <c r="L839" i="6"/>
  <c r="M839" i="6"/>
  <c r="N839" i="6"/>
  <c r="O839" i="6"/>
  <c r="P839" i="6"/>
  <c r="C730" i="6"/>
  <c r="C731" i="6"/>
  <c r="C732" i="6"/>
  <c r="C733" i="6"/>
  <c r="C734" i="6"/>
  <c r="C735" i="6"/>
  <c r="C736" i="6"/>
  <c r="C737" i="6"/>
  <c r="C738" i="6"/>
  <c r="C741" i="6"/>
  <c r="C620" i="6"/>
  <c r="C621" i="6"/>
  <c r="C622" i="6"/>
  <c r="C623" i="6"/>
  <c r="C624" i="6"/>
  <c r="C625" i="6"/>
  <c r="C626" i="6"/>
  <c r="C627" i="6"/>
  <c r="C511" i="6"/>
  <c r="C512" i="6"/>
  <c r="C513" i="6"/>
  <c r="C514" i="6"/>
  <c r="C515" i="6"/>
  <c r="C516" i="6"/>
  <c r="C521" i="6"/>
  <c r="C522" i="6"/>
  <c r="C402" i="6"/>
  <c r="C403" i="6"/>
  <c r="C404" i="6"/>
  <c r="C405" i="6"/>
  <c r="C406" i="6"/>
  <c r="C407" i="6"/>
  <c r="C412" i="6"/>
  <c r="C294" i="6"/>
  <c r="C295" i="6"/>
  <c r="C296" i="6"/>
  <c r="C297" i="6"/>
  <c r="C299" i="6"/>
  <c r="C304" i="6"/>
  <c r="C305" i="6"/>
  <c r="C185" i="6"/>
  <c r="C186" i="6"/>
  <c r="C187" i="6"/>
  <c r="C196" i="6"/>
  <c r="C197" i="6"/>
  <c r="C960" i="6" s="1"/>
  <c r="C77" i="6"/>
  <c r="C78" i="6"/>
  <c r="C79" i="6"/>
  <c r="C80" i="6"/>
  <c r="C81" i="6"/>
  <c r="C82" i="6"/>
  <c r="C84" i="6"/>
  <c r="C85" i="6"/>
  <c r="C957" i="6" s="1"/>
  <c r="C86" i="6"/>
  <c r="C87" i="6"/>
  <c r="C89" i="6"/>
  <c r="C961" i="6" s="1"/>
  <c r="C76" i="6"/>
  <c r="D665" i="7"/>
  <c r="E665" i="7"/>
  <c r="F665" i="7"/>
  <c r="G665" i="7"/>
  <c r="H665" i="7"/>
  <c r="I665" i="7"/>
  <c r="J665" i="7"/>
  <c r="K665" i="7"/>
  <c r="L665" i="7"/>
  <c r="M665" i="7"/>
  <c r="N665" i="7"/>
  <c r="O665" i="7"/>
  <c r="P665" i="7"/>
  <c r="D564" i="7"/>
  <c r="E564" i="7"/>
  <c r="F564" i="7"/>
  <c r="G564" i="7"/>
  <c r="H564" i="7"/>
  <c r="I564" i="7"/>
  <c r="J564" i="7"/>
  <c r="K564" i="7"/>
  <c r="L564" i="7"/>
  <c r="M564" i="7"/>
  <c r="N564" i="7"/>
  <c r="O564" i="7"/>
  <c r="P564" i="7"/>
  <c r="D464" i="7"/>
  <c r="E464" i="7"/>
  <c r="F464" i="7"/>
  <c r="G464" i="7"/>
  <c r="H464" i="7"/>
  <c r="I464" i="7"/>
  <c r="J464" i="7"/>
  <c r="K464" i="7"/>
  <c r="L464" i="7"/>
  <c r="M464" i="7"/>
  <c r="N464" i="7"/>
  <c r="O464" i="7"/>
  <c r="P464" i="7"/>
  <c r="D364" i="7"/>
  <c r="E364" i="7"/>
  <c r="F364" i="7"/>
  <c r="G364" i="7"/>
  <c r="H364" i="7"/>
  <c r="I364" i="7"/>
  <c r="J364" i="7"/>
  <c r="K364" i="7"/>
  <c r="L364" i="7"/>
  <c r="M364" i="7"/>
  <c r="N364" i="7"/>
  <c r="O364" i="7"/>
  <c r="P364" i="7"/>
  <c r="D264" i="7"/>
  <c r="E264" i="7"/>
  <c r="F264" i="7"/>
  <c r="G264" i="7"/>
  <c r="H264" i="7"/>
  <c r="I264" i="7"/>
  <c r="J264" i="7"/>
  <c r="K264" i="7"/>
  <c r="L264" i="7"/>
  <c r="M264" i="7"/>
  <c r="N264" i="7"/>
  <c r="O264" i="7"/>
  <c r="P264" i="7"/>
  <c r="D164" i="7"/>
  <c r="E164" i="7"/>
  <c r="F164" i="7"/>
  <c r="G164" i="7"/>
  <c r="H164" i="7"/>
  <c r="I164" i="7"/>
  <c r="J164" i="7"/>
  <c r="K164" i="7"/>
  <c r="L164" i="7"/>
  <c r="M164" i="7"/>
  <c r="N164" i="7"/>
  <c r="O164" i="7"/>
  <c r="P164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D838" i="6"/>
  <c r="E838" i="6"/>
  <c r="F838" i="6"/>
  <c r="F947" i="6" s="1"/>
  <c r="G838" i="6"/>
  <c r="H838" i="6"/>
  <c r="I838" i="6"/>
  <c r="J838" i="6"/>
  <c r="J947" i="6" s="1"/>
  <c r="K838" i="6"/>
  <c r="L838" i="6"/>
  <c r="L947" i="6" s="1"/>
  <c r="M838" i="6"/>
  <c r="N838" i="6"/>
  <c r="N947" i="6" s="1"/>
  <c r="O838" i="6"/>
  <c r="P838" i="6"/>
  <c r="P947" i="6" s="1"/>
  <c r="O837" i="6"/>
  <c r="O800" i="6"/>
  <c r="O801" i="6"/>
  <c r="O802" i="6"/>
  <c r="O803" i="6"/>
  <c r="O804" i="6"/>
  <c r="O805" i="6"/>
  <c r="O806" i="6"/>
  <c r="O807" i="6"/>
  <c r="O808" i="6"/>
  <c r="O809" i="6"/>
  <c r="O810" i="6"/>
  <c r="O811" i="6"/>
  <c r="O812" i="6"/>
  <c r="O813" i="6"/>
  <c r="O814" i="6"/>
  <c r="O815" i="6"/>
  <c r="O816" i="6"/>
  <c r="O817" i="6"/>
  <c r="O818" i="6"/>
  <c r="O819" i="6"/>
  <c r="O820" i="6"/>
  <c r="O821" i="6"/>
  <c r="O822" i="6"/>
  <c r="O823" i="6"/>
  <c r="O824" i="6"/>
  <c r="O825" i="6"/>
  <c r="O826" i="6"/>
  <c r="O935" i="6" s="1"/>
  <c r="O827" i="6"/>
  <c r="O936" i="6" s="1"/>
  <c r="O828" i="6"/>
  <c r="O937" i="6" s="1"/>
  <c r="O829" i="6"/>
  <c r="O938" i="6" s="1"/>
  <c r="O830" i="6"/>
  <c r="O831" i="6"/>
  <c r="O832" i="6"/>
  <c r="O941" i="6" s="1"/>
  <c r="O833" i="6"/>
  <c r="O834" i="6"/>
  <c r="O943" i="6" s="1"/>
  <c r="O835" i="6"/>
  <c r="O836" i="6"/>
  <c r="O945" i="6" s="1"/>
  <c r="O799" i="6"/>
  <c r="O727" i="7" s="1"/>
  <c r="O605" i="7"/>
  <c r="O706" i="7"/>
  <c r="O404" i="7"/>
  <c r="O405" i="7"/>
  <c r="O406" i="7"/>
  <c r="O407" i="7"/>
  <c r="O408" i="7"/>
  <c r="O409" i="7"/>
  <c r="O410" i="7"/>
  <c r="O411" i="7"/>
  <c r="O412" i="7"/>
  <c r="O413" i="7"/>
  <c r="O414" i="7"/>
  <c r="O415" i="7"/>
  <c r="O416" i="7"/>
  <c r="O417" i="7"/>
  <c r="O418" i="7"/>
  <c r="O419" i="7"/>
  <c r="O420" i="7"/>
  <c r="O421" i="7"/>
  <c r="O422" i="7"/>
  <c r="O423" i="7"/>
  <c r="O424" i="7"/>
  <c r="O425" i="7"/>
  <c r="O426" i="7"/>
  <c r="O427" i="7"/>
  <c r="O428" i="7"/>
  <c r="O429" i="7"/>
  <c r="O430" i="7"/>
  <c r="O431" i="7"/>
  <c r="O432" i="7"/>
  <c r="O433" i="7"/>
  <c r="O434" i="7"/>
  <c r="O435" i="7"/>
  <c r="O436" i="7"/>
  <c r="O437" i="7"/>
  <c r="O438" i="7"/>
  <c r="O439" i="7"/>
  <c r="O440" i="7"/>
  <c r="O441" i="7"/>
  <c r="O442" i="7"/>
  <c r="O443" i="7"/>
  <c r="O444" i="7"/>
  <c r="O445" i="7"/>
  <c r="O446" i="7"/>
  <c r="O447" i="7"/>
  <c r="O448" i="7"/>
  <c r="O449" i="7"/>
  <c r="O450" i="7"/>
  <c r="O451" i="7"/>
  <c r="O304" i="7"/>
  <c r="O305" i="7"/>
  <c r="O306" i="7"/>
  <c r="O307" i="7"/>
  <c r="O308" i="7"/>
  <c r="O309" i="7"/>
  <c r="O310" i="7"/>
  <c r="O311" i="7"/>
  <c r="O312" i="7"/>
  <c r="O313" i="7"/>
  <c r="O314" i="7"/>
  <c r="O315" i="7"/>
  <c r="O316" i="7"/>
  <c r="O317" i="7"/>
  <c r="O318" i="7"/>
  <c r="O319" i="7"/>
  <c r="O320" i="7"/>
  <c r="O321" i="7"/>
  <c r="O322" i="7"/>
  <c r="O323" i="7"/>
  <c r="O324" i="7"/>
  <c r="O325" i="7"/>
  <c r="O326" i="7"/>
  <c r="O327" i="7"/>
  <c r="O328" i="7"/>
  <c r="O329" i="7"/>
  <c r="O330" i="7"/>
  <c r="O331" i="7"/>
  <c r="O332" i="7"/>
  <c r="O333" i="7"/>
  <c r="O334" i="7"/>
  <c r="O335" i="7"/>
  <c r="O336" i="7"/>
  <c r="O337" i="7"/>
  <c r="O338" i="7"/>
  <c r="O339" i="7"/>
  <c r="O340" i="7"/>
  <c r="O341" i="7"/>
  <c r="O342" i="7"/>
  <c r="O343" i="7"/>
  <c r="O344" i="7"/>
  <c r="O345" i="7"/>
  <c r="O346" i="7"/>
  <c r="O347" i="7"/>
  <c r="O348" i="7"/>
  <c r="O349" i="7"/>
  <c r="O350" i="7"/>
  <c r="O204" i="7"/>
  <c r="O2" i="7"/>
  <c r="O3" i="7"/>
  <c r="O4" i="7"/>
  <c r="O5" i="7"/>
  <c r="O6" i="7"/>
  <c r="O7" i="7"/>
  <c r="O8" i="7"/>
  <c r="O9" i="7"/>
  <c r="O10" i="7"/>
  <c r="O11" i="7"/>
  <c r="O12" i="7"/>
  <c r="O13" i="7"/>
  <c r="O14" i="7"/>
  <c r="O15" i="7"/>
  <c r="O16" i="7"/>
  <c r="O708" i="7"/>
  <c r="O709" i="7"/>
  <c r="O710" i="7"/>
  <c r="O711" i="7"/>
  <c r="O712" i="7"/>
  <c r="O713" i="7"/>
  <c r="O714" i="7"/>
  <c r="O715" i="7"/>
  <c r="O716" i="7"/>
  <c r="O717" i="7"/>
  <c r="O718" i="7"/>
  <c r="O719" i="7"/>
  <c r="O720" i="7"/>
  <c r="O721" i="7"/>
  <c r="O722" i="7"/>
  <c r="O723" i="7"/>
  <c r="O724" i="7"/>
  <c r="O725" i="7"/>
  <c r="O726" i="7"/>
  <c r="O707" i="7"/>
  <c r="O607" i="7"/>
  <c r="O608" i="7"/>
  <c r="O609" i="7"/>
  <c r="O610" i="7"/>
  <c r="O611" i="7"/>
  <c r="O612" i="7"/>
  <c r="O613" i="7"/>
  <c r="O614" i="7"/>
  <c r="O615" i="7"/>
  <c r="O616" i="7"/>
  <c r="O617" i="7"/>
  <c r="O618" i="7"/>
  <c r="O619" i="7"/>
  <c r="O620" i="7"/>
  <c r="O621" i="7"/>
  <c r="O622" i="7"/>
  <c r="O623" i="7"/>
  <c r="O624" i="7"/>
  <c r="O625" i="7"/>
  <c r="O626" i="7"/>
  <c r="O627" i="7"/>
  <c r="O628" i="7"/>
  <c r="O629" i="7"/>
  <c r="O630" i="7"/>
  <c r="O631" i="7"/>
  <c r="O632" i="7"/>
  <c r="O633" i="7"/>
  <c r="O634" i="7"/>
  <c r="O635" i="7"/>
  <c r="O636" i="7"/>
  <c r="O637" i="7"/>
  <c r="O638" i="7"/>
  <c r="O639" i="7"/>
  <c r="O640" i="7"/>
  <c r="O641" i="7"/>
  <c r="O642" i="7"/>
  <c r="O643" i="7"/>
  <c r="O644" i="7"/>
  <c r="O645" i="7"/>
  <c r="O646" i="7"/>
  <c r="O647" i="7"/>
  <c r="O648" i="7"/>
  <c r="O649" i="7"/>
  <c r="O650" i="7"/>
  <c r="O651" i="7"/>
  <c r="O652" i="7"/>
  <c r="O653" i="7"/>
  <c r="O654" i="7"/>
  <c r="O655" i="7"/>
  <c r="O656" i="7"/>
  <c r="O657" i="7"/>
  <c r="O658" i="7"/>
  <c r="O659" i="7"/>
  <c r="O660" i="7"/>
  <c r="O661" i="7"/>
  <c r="O662" i="7"/>
  <c r="O663" i="7"/>
  <c r="O664" i="7"/>
  <c r="O606" i="7"/>
  <c r="O506" i="7"/>
  <c r="O507" i="7"/>
  <c r="O508" i="7"/>
  <c r="O509" i="7"/>
  <c r="O510" i="7"/>
  <c r="O511" i="7"/>
  <c r="O512" i="7"/>
  <c r="O513" i="7"/>
  <c r="O514" i="7"/>
  <c r="O515" i="7"/>
  <c r="O516" i="7"/>
  <c r="O517" i="7"/>
  <c r="O518" i="7"/>
  <c r="O519" i="7"/>
  <c r="O520" i="7"/>
  <c r="O521" i="7"/>
  <c r="O522" i="7"/>
  <c r="O523" i="7"/>
  <c r="O524" i="7"/>
  <c r="O525" i="7"/>
  <c r="O526" i="7"/>
  <c r="O527" i="7"/>
  <c r="O528" i="7"/>
  <c r="O529" i="7"/>
  <c r="O530" i="7"/>
  <c r="O531" i="7"/>
  <c r="O532" i="7"/>
  <c r="O533" i="7"/>
  <c r="O534" i="7"/>
  <c r="O535" i="7"/>
  <c r="O536" i="7"/>
  <c r="O537" i="7"/>
  <c r="O538" i="7"/>
  <c r="O539" i="7"/>
  <c r="O540" i="7"/>
  <c r="O541" i="7"/>
  <c r="O542" i="7"/>
  <c r="O543" i="7"/>
  <c r="O544" i="7"/>
  <c r="O545" i="7"/>
  <c r="O546" i="7"/>
  <c r="O547" i="7"/>
  <c r="O548" i="7"/>
  <c r="O549" i="7"/>
  <c r="O550" i="7"/>
  <c r="O551" i="7"/>
  <c r="O552" i="7"/>
  <c r="O553" i="7"/>
  <c r="O554" i="7"/>
  <c r="O555" i="7"/>
  <c r="O556" i="7"/>
  <c r="O557" i="7"/>
  <c r="O558" i="7"/>
  <c r="O559" i="7"/>
  <c r="O560" i="7"/>
  <c r="O561" i="7"/>
  <c r="O562" i="7"/>
  <c r="O563" i="7"/>
  <c r="O505" i="7"/>
  <c r="O504" i="7"/>
  <c r="D664" i="7"/>
  <c r="E664" i="7"/>
  <c r="F664" i="7"/>
  <c r="G664" i="7"/>
  <c r="H664" i="7"/>
  <c r="I664" i="7"/>
  <c r="J664" i="7"/>
  <c r="K664" i="7"/>
  <c r="L664" i="7"/>
  <c r="M664" i="7"/>
  <c r="N664" i="7"/>
  <c r="P664" i="7"/>
  <c r="D563" i="7"/>
  <c r="E563" i="7"/>
  <c r="F563" i="7"/>
  <c r="G563" i="7"/>
  <c r="H563" i="7"/>
  <c r="I563" i="7"/>
  <c r="J563" i="7"/>
  <c r="K563" i="7"/>
  <c r="L563" i="7"/>
  <c r="M563" i="7"/>
  <c r="N563" i="7"/>
  <c r="P563" i="7"/>
  <c r="D463" i="7"/>
  <c r="E463" i="7"/>
  <c r="F463" i="7"/>
  <c r="G463" i="7"/>
  <c r="H463" i="7"/>
  <c r="I463" i="7"/>
  <c r="J463" i="7"/>
  <c r="K463" i="7"/>
  <c r="L463" i="7"/>
  <c r="M463" i="7"/>
  <c r="N463" i="7"/>
  <c r="O463" i="7"/>
  <c r="P463" i="7"/>
  <c r="D363" i="7"/>
  <c r="E363" i="7"/>
  <c r="F363" i="7"/>
  <c r="G363" i="7"/>
  <c r="H363" i="7"/>
  <c r="I363" i="7"/>
  <c r="J363" i="7"/>
  <c r="K363" i="7"/>
  <c r="L363" i="7"/>
  <c r="M363" i="7"/>
  <c r="N363" i="7"/>
  <c r="O363" i="7"/>
  <c r="P363" i="7"/>
  <c r="D263" i="7"/>
  <c r="E263" i="7"/>
  <c r="F263" i="7"/>
  <c r="G263" i="7"/>
  <c r="H263" i="7"/>
  <c r="I263" i="7"/>
  <c r="J263" i="7"/>
  <c r="K263" i="7"/>
  <c r="L263" i="7"/>
  <c r="M263" i="7"/>
  <c r="N263" i="7"/>
  <c r="O263" i="7"/>
  <c r="P263" i="7"/>
  <c r="D163" i="7"/>
  <c r="E163" i="7"/>
  <c r="F163" i="7"/>
  <c r="G163" i="7"/>
  <c r="H163" i="7"/>
  <c r="I163" i="7"/>
  <c r="J163" i="7"/>
  <c r="K163" i="7"/>
  <c r="L163" i="7"/>
  <c r="M163" i="7"/>
  <c r="N163" i="7"/>
  <c r="O163" i="7"/>
  <c r="P163" i="7"/>
  <c r="D61" i="7"/>
  <c r="E61" i="7"/>
  <c r="F61" i="7"/>
  <c r="G61" i="7"/>
  <c r="H61" i="7"/>
  <c r="I61" i="7"/>
  <c r="J61" i="7"/>
  <c r="K61" i="7"/>
  <c r="L61" i="7"/>
  <c r="M61" i="7"/>
  <c r="N61" i="7"/>
  <c r="O61" i="7"/>
  <c r="P61" i="7"/>
  <c r="D837" i="6"/>
  <c r="D946" i="6" s="1"/>
  <c r="E837" i="6"/>
  <c r="E946" i="6" s="1"/>
  <c r="F837" i="6"/>
  <c r="F946" i="6" s="1"/>
  <c r="G837" i="6"/>
  <c r="G946" i="6" s="1"/>
  <c r="H837" i="6"/>
  <c r="H946" i="6" s="1"/>
  <c r="I837" i="6"/>
  <c r="I946" i="6" s="1"/>
  <c r="J837" i="6"/>
  <c r="J946" i="6" s="1"/>
  <c r="K837" i="6"/>
  <c r="K946" i="6" s="1"/>
  <c r="L837" i="6"/>
  <c r="L946" i="6" s="1"/>
  <c r="M837" i="6"/>
  <c r="M946" i="6" s="1"/>
  <c r="N837" i="6"/>
  <c r="N946" i="6" s="1"/>
  <c r="P837" i="6"/>
  <c r="D662" i="7"/>
  <c r="E662" i="7"/>
  <c r="F662" i="7"/>
  <c r="G662" i="7"/>
  <c r="H662" i="7"/>
  <c r="I662" i="7"/>
  <c r="J662" i="7"/>
  <c r="K662" i="7"/>
  <c r="L662" i="7"/>
  <c r="M662" i="7"/>
  <c r="N662" i="7"/>
  <c r="P662" i="7"/>
  <c r="D663" i="7"/>
  <c r="E663" i="7"/>
  <c r="F663" i="7"/>
  <c r="G663" i="7"/>
  <c r="H663" i="7"/>
  <c r="I663" i="7"/>
  <c r="J663" i="7"/>
  <c r="K663" i="7"/>
  <c r="L663" i="7"/>
  <c r="M663" i="7"/>
  <c r="N663" i="7"/>
  <c r="P663" i="7"/>
  <c r="D561" i="7"/>
  <c r="E561" i="7"/>
  <c r="F561" i="7"/>
  <c r="G561" i="7"/>
  <c r="H561" i="7"/>
  <c r="I561" i="7"/>
  <c r="J561" i="7"/>
  <c r="K561" i="7"/>
  <c r="L561" i="7"/>
  <c r="M561" i="7"/>
  <c r="N561" i="7"/>
  <c r="P561" i="7"/>
  <c r="D562" i="7"/>
  <c r="E562" i="7"/>
  <c r="F562" i="7"/>
  <c r="G562" i="7"/>
  <c r="H562" i="7"/>
  <c r="I562" i="7"/>
  <c r="J562" i="7"/>
  <c r="K562" i="7"/>
  <c r="L562" i="7"/>
  <c r="M562" i="7"/>
  <c r="N562" i="7"/>
  <c r="P562" i="7"/>
  <c r="D461" i="7"/>
  <c r="E461" i="7"/>
  <c r="F461" i="7"/>
  <c r="G461" i="7"/>
  <c r="H461" i="7"/>
  <c r="I461" i="7"/>
  <c r="J461" i="7"/>
  <c r="K461" i="7"/>
  <c r="L461" i="7"/>
  <c r="M461" i="7"/>
  <c r="N461" i="7"/>
  <c r="O461" i="7"/>
  <c r="P461" i="7"/>
  <c r="D462" i="7"/>
  <c r="E462" i="7"/>
  <c r="F462" i="7"/>
  <c r="G462" i="7"/>
  <c r="H462" i="7"/>
  <c r="I462" i="7"/>
  <c r="J462" i="7"/>
  <c r="K462" i="7"/>
  <c r="L462" i="7"/>
  <c r="M462" i="7"/>
  <c r="N462" i="7"/>
  <c r="O462" i="7"/>
  <c r="P462" i="7"/>
  <c r="O453" i="7"/>
  <c r="O454" i="7"/>
  <c r="O455" i="7"/>
  <c r="O456" i="7"/>
  <c r="O457" i="7"/>
  <c r="O458" i="7"/>
  <c r="O460" i="7"/>
  <c r="O452" i="7"/>
  <c r="D261" i="7"/>
  <c r="E261" i="7"/>
  <c r="F261" i="7"/>
  <c r="G261" i="7"/>
  <c r="H261" i="7"/>
  <c r="I261" i="7"/>
  <c r="J261" i="7"/>
  <c r="K261" i="7"/>
  <c r="L261" i="7"/>
  <c r="M261" i="7"/>
  <c r="N261" i="7"/>
  <c r="O261" i="7"/>
  <c r="P261" i="7"/>
  <c r="D262" i="7"/>
  <c r="E262" i="7"/>
  <c r="F262" i="7"/>
  <c r="G262" i="7"/>
  <c r="H262" i="7"/>
  <c r="I262" i="7"/>
  <c r="J262" i="7"/>
  <c r="K262" i="7"/>
  <c r="L262" i="7"/>
  <c r="M262" i="7"/>
  <c r="N262" i="7"/>
  <c r="O262" i="7"/>
  <c r="P262" i="7"/>
  <c r="D59" i="7"/>
  <c r="E59" i="7"/>
  <c r="F59" i="7"/>
  <c r="G59" i="7"/>
  <c r="H59" i="7"/>
  <c r="I59" i="7"/>
  <c r="J59" i="7"/>
  <c r="K59" i="7"/>
  <c r="L59" i="7"/>
  <c r="M59" i="7"/>
  <c r="N59" i="7"/>
  <c r="O59" i="7"/>
  <c r="P59" i="7"/>
  <c r="D60" i="7"/>
  <c r="E60" i="7"/>
  <c r="F60" i="7"/>
  <c r="G60" i="7"/>
  <c r="H60" i="7"/>
  <c r="I60" i="7"/>
  <c r="J60" i="7"/>
  <c r="K60" i="7"/>
  <c r="L60" i="7"/>
  <c r="M60" i="7"/>
  <c r="N60" i="7"/>
  <c r="O60" i="7"/>
  <c r="P60" i="7"/>
  <c r="D361" i="7"/>
  <c r="E361" i="7"/>
  <c r="F361" i="7"/>
  <c r="G361" i="7"/>
  <c r="H361" i="7"/>
  <c r="I361" i="7"/>
  <c r="J361" i="7"/>
  <c r="K361" i="7"/>
  <c r="L361" i="7"/>
  <c r="M361" i="7"/>
  <c r="N361" i="7"/>
  <c r="O361" i="7"/>
  <c r="P361" i="7"/>
  <c r="D362" i="7"/>
  <c r="E362" i="7"/>
  <c r="F362" i="7"/>
  <c r="G362" i="7"/>
  <c r="H362" i="7"/>
  <c r="I362" i="7"/>
  <c r="J362" i="7"/>
  <c r="K362" i="7"/>
  <c r="L362" i="7"/>
  <c r="M362" i="7"/>
  <c r="N362" i="7"/>
  <c r="O362" i="7"/>
  <c r="P362" i="7"/>
  <c r="O352" i="7"/>
  <c r="O353" i="7"/>
  <c r="O354" i="7"/>
  <c r="O355" i="7"/>
  <c r="O356" i="7"/>
  <c r="O357" i="7"/>
  <c r="O358" i="7"/>
  <c r="O360" i="7"/>
  <c r="O351" i="7"/>
  <c r="O206" i="7"/>
  <c r="O207" i="7"/>
  <c r="O208" i="7"/>
  <c r="O209" i="7"/>
  <c r="O210" i="7"/>
  <c r="O211" i="7"/>
  <c r="O212" i="7"/>
  <c r="O213" i="7"/>
  <c r="O214" i="7"/>
  <c r="O215" i="7"/>
  <c r="O216" i="7"/>
  <c r="O217" i="7"/>
  <c r="O218" i="7"/>
  <c r="O219" i="7"/>
  <c r="O220" i="7"/>
  <c r="O221" i="7"/>
  <c r="O222" i="7"/>
  <c r="O223" i="7"/>
  <c r="O224" i="7"/>
  <c r="O225" i="7"/>
  <c r="O226" i="7"/>
  <c r="O227" i="7"/>
  <c r="O228" i="7"/>
  <c r="O229" i="7"/>
  <c r="O230" i="7"/>
  <c r="O231" i="7"/>
  <c r="O232" i="7"/>
  <c r="O233" i="7"/>
  <c r="O234" i="7"/>
  <c r="O235" i="7"/>
  <c r="O236" i="7"/>
  <c r="O237" i="7"/>
  <c r="O238" i="7"/>
  <c r="O239" i="7"/>
  <c r="O240" i="7"/>
  <c r="O241" i="7"/>
  <c r="O242" i="7"/>
  <c r="O243" i="7"/>
  <c r="O244" i="7"/>
  <c r="O245" i="7"/>
  <c r="O246" i="7"/>
  <c r="O247" i="7"/>
  <c r="O248" i="7"/>
  <c r="O249" i="7"/>
  <c r="O250" i="7"/>
  <c r="O251" i="7"/>
  <c r="O252" i="7"/>
  <c r="O253" i="7"/>
  <c r="O254" i="7"/>
  <c r="O255" i="7"/>
  <c r="O256" i="7"/>
  <c r="O257" i="7"/>
  <c r="O258" i="7"/>
  <c r="O260" i="7"/>
  <c r="O205" i="7"/>
  <c r="D161" i="7"/>
  <c r="E161" i="7"/>
  <c r="F161" i="7"/>
  <c r="G161" i="7"/>
  <c r="H161" i="7"/>
  <c r="I161" i="7"/>
  <c r="J161" i="7"/>
  <c r="K161" i="7"/>
  <c r="L161" i="7"/>
  <c r="M161" i="7"/>
  <c r="N161" i="7"/>
  <c r="O161" i="7"/>
  <c r="P161" i="7"/>
  <c r="D162" i="7"/>
  <c r="E162" i="7"/>
  <c r="F162" i="7"/>
  <c r="G162" i="7"/>
  <c r="H162" i="7"/>
  <c r="I162" i="7"/>
  <c r="J162" i="7"/>
  <c r="K162" i="7"/>
  <c r="L162" i="7"/>
  <c r="M162" i="7"/>
  <c r="N162" i="7"/>
  <c r="O162" i="7"/>
  <c r="P162" i="7"/>
  <c r="O105" i="7"/>
  <c r="O106" i="7"/>
  <c r="O107" i="7"/>
  <c r="O108" i="7"/>
  <c r="O109" i="7"/>
  <c r="O110" i="7"/>
  <c r="O111" i="7"/>
  <c r="O112" i="7"/>
  <c r="O113" i="7"/>
  <c r="O114" i="7"/>
  <c r="O115" i="7"/>
  <c r="O116" i="7"/>
  <c r="O117" i="7"/>
  <c r="O118" i="7"/>
  <c r="O119" i="7"/>
  <c r="O120" i="7"/>
  <c r="O121" i="7"/>
  <c r="O122" i="7"/>
  <c r="O123" i="7"/>
  <c r="O124" i="7"/>
  <c r="O125" i="7"/>
  <c r="O126" i="7"/>
  <c r="O127" i="7"/>
  <c r="O128" i="7"/>
  <c r="O129" i="7"/>
  <c r="O130" i="7"/>
  <c r="O131" i="7"/>
  <c r="O132" i="7"/>
  <c r="O133" i="7"/>
  <c r="O134" i="7"/>
  <c r="O135" i="7"/>
  <c r="O136" i="7"/>
  <c r="O137" i="7"/>
  <c r="O138" i="7"/>
  <c r="O139" i="7"/>
  <c r="O140" i="7"/>
  <c r="O141" i="7"/>
  <c r="O142" i="7"/>
  <c r="O143" i="7"/>
  <c r="O144" i="7"/>
  <c r="O145" i="7"/>
  <c r="O146" i="7"/>
  <c r="O147" i="7"/>
  <c r="O148" i="7"/>
  <c r="O149" i="7"/>
  <c r="O150" i="7"/>
  <c r="O151" i="7"/>
  <c r="O152" i="7"/>
  <c r="O153" i="7"/>
  <c r="O154" i="7"/>
  <c r="O155" i="7"/>
  <c r="O156" i="7"/>
  <c r="O157" i="7"/>
  <c r="O158" i="7"/>
  <c r="O160" i="7"/>
  <c r="O104" i="7"/>
  <c r="O18" i="7"/>
  <c r="O19" i="7"/>
  <c r="O20" i="7"/>
  <c r="O21" i="7"/>
  <c r="O22" i="7"/>
  <c r="O23" i="7"/>
  <c r="O24" i="7"/>
  <c r="O25" i="7"/>
  <c r="O26" i="7"/>
  <c r="O27" i="7"/>
  <c r="O28" i="7"/>
  <c r="O29" i="7"/>
  <c r="O30" i="7"/>
  <c r="O31" i="7"/>
  <c r="O32" i="7"/>
  <c r="O33" i="7"/>
  <c r="O34" i="7"/>
  <c r="O35" i="7"/>
  <c r="O36" i="7"/>
  <c r="O37" i="7"/>
  <c r="O38" i="7"/>
  <c r="O39" i="7"/>
  <c r="O40" i="7"/>
  <c r="O41" i="7"/>
  <c r="O42" i="7"/>
  <c r="O43" i="7"/>
  <c r="O44" i="7"/>
  <c r="O45" i="7"/>
  <c r="O46" i="7"/>
  <c r="O47" i="7"/>
  <c r="O48" i="7"/>
  <c r="O49" i="7"/>
  <c r="O50" i="7"/>
  <c r="O51" i="7"/>
  <c r="O52" i="7"/>
  <c r="O53" i="7"/>
  <c r="O54" i="7"/>
  <c r="O55" i="7"/>
  <c r="O56" i="7"/>
  <c r="O58" i="7"/>
  <c r="O17" i="7"/>
  <c r="D51" i="7"/>
  <c r="E51" i="7"/>
  <c r="F51" i="7"/>
  <c r="G51" i="7"/>
  <c r="H51" i="7"/>
  <c r="I51" i="7"/>
  <c r="J51" i="7"/>
  <c r="K51" i="7"/>
  <c r="L51" i="7"/>
  <c r="M51" i="7"/>
  <c r="N51" i="7"/>
  <c r="P51" i="7"/>
  <c r="D52" i="7"/>
  <c r="E52" i="7"/>
  <c r="F52" i="7"/>
  <c r="G52" i="7"/>
  <c r="H52" i="7"/>
  <c r="I52" i="7"/>
  <c r="J52" i="7"/>
  <c r="K52" i="7"/>
  <c r="L52" i="7"/>
  <c r="M52" i="7"/>
  <c r="N52" i="7"/>
  <c r="P52" i="7"/>
  <c r="D53" i="7"/>
  <c r="E53" i="7"/>
  <c r="F53" i="7"/>
  <c r="G53" i="7"/>
  <c r="H53" i="7"/>
  <c r="I53" i="7"/>
  <c r="J53" i="7"/>
  <c r="K53" i="7"/>
  <c r="L53" i="7"/>
  <c r="M53" i="7"/>
  <c r="N53" i="7"/>
  <c r="P53" i="7"/>
  <c r="D54" i="7"/>
  <c r="E54" i="7"/>
  <c r="F54" i="7"/>
  <c r="G54" i="7"/>
  <c r="H54" i="7"/>
  <c r="I54" i="7"/>
  <c r="J54" i="7"/>
  <c r="K54" i="7"/>
  <c r="L54" i="7"/>
  <c r="M54" i="7"/>
  <c r="N54" i="7"/>
  <c r="P54" i="7"/>
  <c r="D55" i="7"/>
  <c r="E55" i="7"/>
  <c r="F55" i="7"/>
  <c r="G55" i="7"/>
  <c r="H55" i="7"/>
  <c r="I55" i="7"/>
  <c r="J55" i="7"/>
  <c r="K55" i="7"/>
  <c r="L55" i="7"/>
  <c r="M55" i="7"/>
  <c r="N55" i="7"/>
  <c r="P55" i="7"/>
  <c r="D56" i="7"/>
  <c r="E56" i="7"/>
  <c r="F56" i="7"/>
  <c r="G56" i="7"/>
  <c r="H56" i="7"/>
  <c r="I56" i="7"/>
  <c r="J56" i="7"/>
  <c r="K56" i="7"/>
  <c r="L56" i="7"/>
  <c r="M56" i="7"/>
  <c r="N56" i="7"/>
  <c r="P56" i="7"/>
  <c r="D58" i="7"/>
  <c r="E58" i="7"/>
  <c r="F58" i="7"/>
  <c r="G58" i="7"/>
  <c r="H58" i="7"/>
  <c r="I58" i="7"/>
  <c r="J58" i="7"/>
  <c r="K58" i="7"/>
  <c r="L58" i="7"/>
  <c r="M58" i="7"/>
  <c r="N58" i="7"/>
  <c r="P58" i="7"/>
  <c r="D835" i="6"/>
  <c r="D944" i="6" s="1"/>
  <c r="E835" i="6"/>
  <c r="E944" i="6" s="1"/>
  <c r="F835" i="6"/>
  <c r="F944" i="6" s="1"/>
  <c r="G835" i="6"/>
  <c r="G944" i="6" s="1"/>
  <c r="H835" i="6"/>
  <c r="H944" i="6" s="1"/>
  <c r="I835" i="6"/>
  <c r="I944" i="6" s="1"/>
  <c r="J835" i="6"/>
  <c r="K835" i="6"/>
  <c r="L835" i="6"/>
  <c r="M835" i="6"/>
  <c r="M944" i="6" s="1"/>
  <c r="N835" i="6"/>
  <c r="N944" i="6" s="1"/>
  <c r="P835" i="6"/>
  <c r="P944" i="6" s="1"/>
  <c r="D836" i="6"/>
  <c r="D945" i="6" s="1"/>
  <c r="E836" i="6"/>
  <c r="E945" i="6" s="1"/>
  <c r="F836" i="6"/>
  <c r="G836" i="6"/>
  <c r="G945" i="6" s="1"/>
  <c r="H836" i="6"/>
  <c r="H945" i="6" s="1"/>
  <c r="I836" i="6"/>
  <c r="I945" i="6" s="1"/>
  <c r="J836" i="6"/>
  <c r="K836" i="6"/>
  <c r="K945" i="6" s="1"/>
  <c r="L836" i="6"/>
  <c r="L945" i="6" s="1"/>
  <c r="M836" i="6"/>
  <c r="M945" i="6" s="1"/>
  <c r="N836" i="6"/>
  <c r="P836" i="6"/>
  <c r="P945" i="6" s="1"/>
  <c r="D661" i="7"/>
  <c r="E661" i="7"/>
  <c r="F661" i="7"/>
  <c r="G661" i="7"/>
  <c r="H661" i="7"/>
  <c r="I661" i="7"/>
  <c r="J661" i="7"/>
  <c r="K661" i="7"/>
  <c r="L661" i="7"/>
  <c r="M661" i="7"/>
  <c r="N661" i="7"/>
  <c r="P661" i="7"/>
  <c r="D560" i="7"/>
  <c r="E560" i="7"/>
  <c r="F560" i="7"/>
  <c r="G560" i="7"/>
  <c r="H560" i="7"/>
  <c r="I560" i="7"/>
  <c r="J560" i="7"/>
  <c r="K560" i="7"/>
  <c r="L560" i="7"/>
  <c r="M560" i="7"/>
  <c r="N560" i="7"/>
  <c r="P560" i="7"/>
  <c r="D460" i="7"/>
  <c r="E460" i="7"/>
  <c r="F460" i="7"/>
  <c r="G460" i="7"/>
  <c r="H460" i="7"/>
  <c r="I460" i="7"/>
  <c r="J460" i="7"/>
  <c r="K460" i="7"/>
  <c r="L460" i="7"/>
  <c r="M460" i="7"/>
  <c r="N460" i="7"/>
  <c r="P460" i="7"/>
  <c r="D360" i="7"/>
  <c r="E360" i="7"/>
  <c r="F360" i="7"/>
  <c r="G360" i="7"/>
  <c r="H360" i="7"/>
  <c r="I360" i="7"/>
  <c r="J360" i="7"/>
  <c r="K360" i="7"/>
  <c r="L360" i="7"/>
  <c r="M360" i="7"/>
  <c r="N360" i="7"/>
  <c r="P360" i="7"/>
  <c r="D260" i="7"/>
  <c r="E260" i="7"/>
  <c r="F260" i="7"/>
  <c r="G260" i="7"/>
  <c r="H260" i="7"/>
  <c r="I260" i="7"/>
  <c r="J260" i="7"/>
  <c r="K260" i="7"/>
  <c r="L260" i="7"/>
  <c r="M260" i="7"/>
  <c r="N260" i="7"/>
  <c r="P260" i="7"/>
  <c r="D160" i="7"/>
  <c r="E160" i="7"/>
  <c r="F160" i="7"/>
  <c r="G160" i="7"/>
  <c r="H160" i="7"/>
  <c r="I160" i="7"/>
  <c r="J160" i="7"/>
  <c r="K160" i="7"/>
  <c r="L160" i="7"/>
  <c r="M160" i="7"/>
  <c r="N160" i="7"/>
  <c r="P160" i="7"/>
  <c r="P834" i="6"/>
  <c r="N834" i="6"/>
  <c r="N943" i="6" s="1"/>
  <c r="M834" i="6"/>
  <c r="M943" i="6" s="1"/>
  <c r="L834" i="6"/>
  <c r="K834" i="6"/>
  <c r="J834" i="6"/>
  <c r="J943" i="6" s="1"/>
  <c r="I834" i="6"/>
  <c r="I943" i="6" s="1"/>
  <c r="H834" i="6"/>
  <c r="G834" i="6"/>
  <c r="G943" i="6" s="1"/>
  <c r="F834" i="6"/>
  <c r="F943" i="6" s="1"/>
  <c r="E834" i="6"/>
  <c r="D834" i="6"/>
  <c r="D943" i="6" s="1"/>
  <c r="C615" i="6"/>
  <c r="D833" i="6"/>
  <c r="D942" i="6" s="1"/>
  <c r="E833" i="6"/>
  <c r="F833" i="6"/>
  <c r="F942" i="6" s="1"/>
  <c r="G833" i="6"/>
  <c r="G942" i="6" s="1"/>
  <c r="H833" i="6"/>
  <c r="I833" i="6"/>
  <c r="J833" i="6"/>
  <c r="J942" i="6" s="1"/>
  <c r="K833" i="6"/>
  <c r="K942" i="6" s="1"/>
  <c r="L833" i="6"/>
  <c r="L942" i="6" s="1"/>
  <c r="M833" i="6"/>
  <c r="M942" i="6" s="1"/>
  <c r="N833" i="6"/>
  <c r="P833" i="6"/>
  <c r="P942" i="6" s="1"/>
  <c r="D832" i="6"/>
  <c r="D941" i="6" s="1"/>
  <c r="E832" i="6"/>
  <c r="E941" i="6" s="1"/>
  <c r="F832" i="6"/>
  <c r="F941" i="6" s="1"/>
  <c r="G832" i="6"/>
  <c r="G941" i="6" s="1"/>
  <c r="H832" i="6"/>
  <c r="H941" i="6" s="1"/>
  <c r="I832" i="6"/>
  <c r="J832" i="6"/>
  <c r="J941" i="6" s="1"/>
  <c r="K832" i="6"/>
  <c r="K941" i="6" s="1"/>
  <c r="L832" i="6"/>
  <c r="M832" i="6"/>
  <c r="M941" i="6" s="1"/>
  <c r="N832" i="6"/>
  <c r="N941" i="6" s="1"/>
  <c r="P832" i="6"/>
  <c r="P941" i="6" s="1"/>
  <c r="D831" i="6"/>
  <c r="D940" i="6" s="1"/>
  <c r="E831" i="6"/>
  <c r="F831" i="6"/>
  <c r="G831" i="6"/>
  <c r="H831" i="6"/>
  <c r="H940" i="6" s="1"/>
  <c r="I831" i="6"/>
  <c r="I940" i="6" s="1"/>
  <c r="J831" i="6"/>
  <c r="J940" i="6" s="1"/>
  <c r="K831" i="6"/>
  <c r="K940" i="6" s="1"/>
  <c r="L831" i="6"/>
  <c r="L940" i="6" s="1"/>
  <c r="M831" i="6"/>
  <c r="N831" i="6"/>
  <c r="P831" i="6"/>
  <c r="P940" i="6" s="1"/>
  <c r="D830" i="6"/>
  <c r="D939" i="6" s="1"/>
  <c r="E830" i="6"/>
  <c r="E939" i="6" s="1"/>
  <c r="F830" i="6"/>
  <c r="F939" i="6" s="1"/>
  <c r="G830" i="6"/>
  <c r="G939" i="6" s="1"/>
  <c r="H830" i="6"/>
  <c r="H939" i="6" s="1"/>
  <c r="I830" i="6"/>
  <c r="I939" i="6" s="1"/>
  <c r="J830" i="6"/>
  <c r="J939" i="6" s="1"/>
  <c r="K830" i="6"/>
  <c r="K939" i="6" s="1"/>
  <c r="L830" i="6"/>
  <c r="L939" i="6" s="1"/>
  <c r="M830" i="6"/>
  <c r="M939" i="6" s="1"/>
  <c r="N830" i="6"/>
  <c r="N939" i="6" s="1"/>
  <c r="P830" i="6"/>
  <c r="P939" i="6" s="1"/>
  <c r="D829" i="6"/>
  <c r="D938" i="6" s="1"/>
  <c r="E829" i="6"/>
  <c r="F829" i="6"/>
  <c r="F938" i="6" s="1"/>
  <c r="G829" i="6"/>
  <c r="G938" i="6" s="1"/>
  <c r="H829" i="6"/>
  <c r="H938" i="6" s="1"/>
  <c r="I829" i="6"/>
  <c r="J829" i="6"/>
  <c r="J938" i="6" s="1"/>
  <c r="K829" i="6"/>
  <c r="K938" i="6" s="1"/>
  <c r="L829" i="6"/>
  <c r="L938" i="6" s="1"/>
  <c r="M829" i="6"/>
  <c r="N829" i="6"/>
  <c r="N938" i="6" s="1"/>
  <c r="P829" i="6"/>
  <c r="P938" i="6" s="1"/>
  <c r="L941" i="6"/>
  <c r="D658" i="7"/>
  <c r="E658" i="7"/>
  <c r="F658" i="7"/>
  <c r="G658" i="7"/>
  <c r="H658" i="7"/>
  <c r="I658" i="7"/>
  <c r="J658" i="7"/>
  <c r="K658" i="7"/>
  <c r="L658" i="7"/>
  <c r="M658" i="7"/>
  <c r="N658" i="7"/>
  <c r="P658" i="7"/>
  <c r="D659" i="7"/>
  <c r="E659" i="7"/>
  <c r="F659" i="7"/>
  <c r="G659" i="7"/>
  <c r="H659" i="7"/>
  <c r="I659" i="7"/>
  <c r="J659" i="7"/>
  <c r="K659" i="7"/>
  <c r="L659" i="7"/>
  <c r="M659" i="7"/>
  <c r="N659" i="7"/>
  <c r="P659" i="7"/>
  <c r="D660" i="7"/>
  <c r="E660" i="7"/>
  <c r="F660" i="7"/>
  <c r="G660" i="7"/>
  <c r="H660" i="7"/>
  <c r="I660" i="7"/>
  <c r="J660" i="7"/>
  <c r="K660" i="7"/>
  <c r="L660" i="7"/>
  <c r="M660" i="7"/>
  <c r="N660" i="7"/>
  <c r="P660" i="7"/>
  <c r="D557" i="7"/>
  <c r="E557" i="7"/>
  <c r="F557" i="7"/>
  <c r="G557" i="7"/>
  <c r="H557" i="7"/>
  <c r="I557" i="7"/>
  <c r="J557" i="7"/>
  <c r="K557" i="7"/>
  <c r="L557" i="7"/>
  <c r="M557" i="7"/>
  <c r="N557" i="7"/>
  <c r="P557" i="7"/>
  <c r="D558" i="7"/>
  <c r="E558" i="7"/>
  <c r="F558" i="7"/>
  <c r="G558" i="7"/>
  <c r="H558" i="7"/>
  <c r="I558" i="7"/>
  <c r="J558" i="7"/>
  <c r="K558" i="7"/>
  <c r="L558" i="7"/>
  <c r="M558" i="7"/>
  <c r="N558" i="7"/>
  <c r="P558" i="7"/>
  <c r="D559" i="7"/>
  <c r="E559" i="7"/>
  <c r="F559" i="7"/>
  <c r="G559" i="7"/>
  <c r="H559" i="7"/>
  <c r="I559" i="7"/>
  <c r="J559" i="7"/>
  <c r="K559" i="7"/>
  <c r="L559" i="7"/>
  <c r="M559" i="7"/>
  <c r="N559" i="7"/>
  <c r="P559" i="7"/>
  <c r="D457" i="7"/>
  <c r="E457" i="7"/>
  <c r="F457" i="7"/>
  <c r="G457" i="7"/>
  <c r="H457" i="7"/>
  <c r="I457" i="7"/>
  <c r="J457" i="7"/>
  <c r="K457" i="7"/>
  <c r="L457" i="7"/>
  <c r="M457" i="7"/>
  <c r="N457" i="7"/>
  <c r="P457" i="7"/>
  <c r="D458" i="7"/>
  <c r="E458" i="7"/>
  <c r="F458" i="7"/>
  <c r="G458" i="7"/>
  <c r="H458" i="7"/>
  <c r="I458" i="7"/>
  <c r="J458" i="7"/>
  <c r="K458" i="7"/>
  <c r="L458" i="7"/>
  <c r="M458" i="7"/>
  <c r="N458" i="7"/>
  <c r="P458" i="7"/>
  <c r="D357" i="7"/>
  <c r="E357" i="7"/>
  <c r="F357" i="7"/>
  <c r="G357" i="7"/>
  <c r="H357" i="7"/>
  <c r="I357" i="7"/>
  <c r="J357" i="7"/>
  <c r="K357" i="7"/>
  <c r="L357" i="7"/>
  <c r="M357" i="7"/>
  <c r="N357" i="7"/>
  <c r="P357" i="7"/>
  <c r="D358" i="7"/>
  <c r="E358" i="7"/>
  <c r="F358" i="7"/>
  <c r="G358" i="7"/>
  <c r="H358" i="7"/>
  <c r="I358" i="7"/>
  <c r="J358" i="7"/>
  <c r="K358" i="7"/>
  <c r="L358" i="7"/>
  <c r="M358" i="7"/>
  <c r="N358" i="7"/>
  <c r="P358" i="7"/>
  <c r="D257" i="7"/>
  <c r="E257" i="7"/>
  <c r="F257" i="7"/>
  <c r="G257" i="7"/>
  <c r="H257" i="7"/>
  <c r="I257" i="7"/>
  <c r="J257" i="7"/>
  <c r="K257" i="7"/>
  <c r="L257" i="7"/>
  <c r="M257" i="7"/>
  <c r="N257" i="7"/>
  <c r="P257" i="7"/>
  <c r="D258" i="7"/>
  <c r="E258" i="7"/>
  <c r="F258" i="7"/>
  <c r="G258" i="7"/>
  <c r="H258" i="7"/>
  <c r="I258" i="7"/>
  <c r="J258" i="7"/>
  <c r="K258" i="7"/>
  <c r="L258" i="7"/>
  <c r="M258" i="7"/>
  <c r="N258" i="7"/>
  <c r="P258" i="7"/>
  <c r="D157" i="7"/>
  <c r="E157" i="7"/>
  <c r="F157" i="7"/>
  <c r="G157" i="7"/>
  <c r="H157" i="7"/>
  <c r="I157" i="7"/>
  <c r="J157" i="7"/>
  <c r="K157" i="7"/>
  <c r="L157" i="7"/>
  <c r="M157" i="7"/>
  <c r="N157" i="7"/>
  <c r="P157" i="7"/>
  <c r="D158" i="7"/>
  <c r="E158" i="7"/>
  <c r="F158" i="7"/>
  <c r="G158" i="7"/>
  <c r="H158" i="7"/>
  <c r="I158" i="7"/>
  <c r="J158" i="7"/>
  <c r="K158" i="7"/>
  <c r="L158" i="7"/>
  <c r="M158" i="7"/>
  <c r="N158" i="7"/>
  <c r="P158" i="7"/>
  <c r="P556" i="7"/>
  <c r="N556" i="7"/>
  <c r="M556" i="7"/>
  <c r="L556" i="7"/>
  <c r="K556" i="7"/>
  <c r="J556" i="7"/>
  <c r="I556" i="7"/>
  <c r="H556" i="7"/>
  <c r="G556" i="7"/>
  <c r="F556" i="7"/>
  <c r="E556" i="7"/>
  <c r="D556" i="7"/>
  <c r="P555" i="7"/>
  <c r="N555" i="7"/>
  <c r="M555" i="7"/>
  <c r="L555" i="7"/>
  <c r="K555" i="7"/>
  <c r="J555" i="7"/>
  <c r="I555" i="7"/>
  <c r="H555" i="7"/>
  <c r="G555" i="7"/>
  <c r="F555" i="7"/>
  <c r="E555" i="7"/>
  <c r="D555" i="7"/>
  <c r="P554" i="7"/>
  <c r="N554" i="7"/>
  <c r="M554" i="7"/>
  <c r="L554" i="7"/>
  <c r="K554" i="7"/>
  <c r="J554" i="7"/>
  <c r="I554" i="7"/>
  <c r="H554" i="7"/>
  <c r="G554" i="7"/>
  <c r="F554" i="7"/>
  <c r="E554" i="7"/>
  <c r="D554" i="7"/>
  <c r="P553" i="7"/>
  <c r="N553" i="7"/>
  <c r="M553" i="7"/>
  <c r="L553" i="7"/>
  <c r="K553" i="7"/>
  <c r="J553" i="7"/>
  <c r="I553" i="7"/>
  <c r="H553" i="7"/>
  <c r="G553" i="7"/>
  <c r="F553" i="7"/>
  <c r="E553" i="7"/>
  <c r="D553" i="7"/>
  <c r="P552" i="7"/>
  <c r="N552" i="7"/>
  <c r="M552" i="7"/>
  <c r="L552" i="7"/>
  <c r="K552" i="7"/>
  <c r="J552" i="7"/>
  <c r="I552" i="7"/>
  <c r="H552" i="7"/>
  <c r="G552" i="7"/>
  <c r="F552" i="7"/>
  <c r="E552" i="7"/>
  <c r="D552" i="7"/>
  <c r="D828" i="6"/>
  <c r="D937" i="6" s="1"/>
  <c r="E828" i="6"/>
  <c r="E937" i="6" s="1"/>
  <c r="F828" i="6"/>
  <c r="F937" i="6" s="1"/>
  <c r="G828" i="6"/>
  <c r="H828" i="6"/>
  <c r="H937" i="6" s="1"/>
  <c r="I828" i="6"/>
  <c r="I937" i="6" s="1"/>
  <c r="J828" i="6"/>
  <c r="K828" i="6"/>
  <c r="K937" i="6" s="1"/>
  <c r="L828" i="6"/>
  <c r="L937" i="6" s="1"/>
  <c r="M828" i="6"/>
  <c r="M937" i="6" s="1"/>
  <c r="N828" i="6"/>
  <c r="N937" i="6" s="1"/>
  <c r="P828" i="6"/>
  <c r="D827" i="6"/>
  <c r="D936" i="6" s="1"/>
  <c r="E827" i="6"/>
  <c r="E936" i="6" s="1"/>
  <c r="F827" i="6"/>
  <c r="G827" i="6"/>
  <c r="H827" i="6"/>
  <c r="H936" i="6" s="1"/>
  <c r="I827" i="6"/>
  <c r="I936" i="6" s="1"/>
  <c r="J827" i="6"/>
  <c r="K827" i="6"/>
  <c r="L827" i="6"/>
  <c r="L936" i="6" s="1"/>
  <c r="M827" i="6"/>
  <c r="M936" i="6" s="1"/>
  <c r="N827" i="6"/>
  <c r="P827" i="6"/>
  <c r="P936" i="6" s="1"/>
  <c r="C607" i="6"/>
  <c r="C608" i="6"/>
  <c r="C609" i="6"/>
  <c r="C610" i="6"/>
  <c r="C611" i="6"/>
  <c r="D657" i="7"/>
  <c r="E657" i="7"/>
  <c r="F657" i="7"/>
  <c r="G657" i="7"/>
  <c r="H657" i="7"/>
  <c r="I657" i="7"/>
  <c r="J657" i="7"/>
  <c r="K657" i="7"/>
  <c r="L657" i="7"/>
  <c r="M657" i="7"/>
  <c r="N657" i="7"/>
  <c r="P657" i="7"/>
  <c r="D456" i="7"/>
  <c r="E456" i="7"/>
  <c r="F456" i="7"/>
  <c r="G456" i="7"/>
  <c r="H456" i="7"/>
  <c r="I456" i="7"/>
  <c r="J456" i="7"/>
  <c r="K456" i="7"/>
  <c r="L456" i="7"/>
  <c r="M456" i="7"/>
  <c r="N456" i="7"/>
  <c r="P456" i="7"/>
  <c r="D356" i="7"/>
  <c r="E356" i="7"/>
  <c r="F356" i="7"/>
  <c r="G356" i="7"/>
  <c r="H356" i="7"/>
  <c r="I356" i="7"/>
  <c r="J356" i="7"/>
  <c r="K356" i="7"/>
  <c r="L356" i="7"/>
  <c r="M356" i="7"/>
  <c r="N356" i="7"/>
  <c r="P356" i="7"/>
  <c r="D256" i="7"/>
  <c r="E256" i="7"/>
  <c r="F256" i="7"/>
  <c r="G256" i="7"/>
  <c r="H256" i="7"/>
  <c r="I256" i="7"/>
  <c r="J256" i="7"/>
  <c r="K256" i="7"/>
  <c r="L256" i="7"/>
  <c r="M256" i="7"/>
  <c r="P256" i="7"/>
  <c r="D156" i="7"/>
  <c r="E156" i="7"/>
  <c r="F156" i="7"/>
  <c r="G156" i="7"/>
  <c r="H156" i="7"/>
  <c r="I156" i="7"/>
  <c r="J156" i="7"/>
  <c r="K156" i="7"/>
  <c r="L156" i="7"/>
  <c r="M156" i="7"/>
  <c r="N156" i="7"/>
  <c r="P156" i="7"/>
  <c r="D656" i="7"/>
  <c r="E656" i="7"/>
  <c r="F656" i="7"/>
  <c r="G656" i="7"/>
  <c r="H656" i="7"/>
  <c r="I656" i="7"/>
  <c r="J656" i="7"/>
  <c r="K656" i="7"/>
  <c r="L656" i="7"/>
  <c r="M656" i="7"/>
  <c r="N656" i="7"/>
  <c r="P656" i="7"/>
  <c r="D455" i="7"/>
  <c r="E455" i="7"/>
  <c r="F455" i="7"/>
  <c r="G455" i="7"/>
  <c r="H455" i="7"/>
  <c r="I455" i="7"/>
  <c r="J455" i="7"/>
  <c r="K455" i="7"/>
  <c r="L455" i="7"/>
  <c r="M455" i="7"/>
  <c r="N455" i="7"/>
  <c r="P455" i="7"/>
  <c r="D355" i="7"/>
  <c r="E355" i="7"/>
  <c r="F355" i="7"/>
  <c r="G355" i="7"/>
  <c r="H355" i="7"/>
  <c r="I355" i="7"/>
  <c r="J355" i="7"/>
  <c r="K355" i="7"/>
  <c r="L355" i="7"/>
  <c r="M355" i="7"/>
  <c r="N355" i="7"/>
  <c r="P355" i="7"/>
  <c r="D255" i="7"/>
  <c r="E255" i="7"/>
  <c r="F255" i="7"/>
  <c r="G255" i="7"/>
  <c r="H255" i="7"/>
  <c r="I255" i="7"/>
  <c r="J255" i="7"/>
  <c r="K255" i="7"/>
  <c r="L255" i="7"/>
  <c r="M255" i="7"/>
  <c r="N255" i="7"/>
  <c r="P255" i="7"/>
  <c r="D155" i="7"/>
  <c r="E155" i="7"/>
  <c r="F155" i="7"/>
  <c r="G155" i="7"/>
  <c r="H155" i="7"/>
  <c r="I155" i="7"/>
  <c r="J155" i="7"/>
  <c r="K155" i="7"/>
  <c r="L155" i="7"/>
  <c r="M155" i="7"/>
  <c r="N155" i="7"/>
  <c r="P155" i="7"/>
  <c r="D655" i="7"/>
  <c r="E655" i="7"/>
  <c r="F655" i="7"/>
  <c r="G655" i="7"/>
  <c r="H655" i="7"/>
  <c r="I655" i="7"/>
  <c r="J655" i="7"/>
  <c r="K655" i="7"/>
  <c r="L655" i="7"/>
  <c r="M655" i="7"/>
  <c r="N655" i="7"/>
  <c r="P655" i="7"/>
  <c r="D454" i="7"/>
  <c r="E454" i="7"/>
  <c r="F454" i="7"/>
  <c r="G454" i="7"/>
  <c r="H454" i="7"/>
  <c r="I454" i="7"/>
  <c r="J454" i="7"/>
  <c r="K454" i="7"/>
  <c r="L454" i="7"/>
  <c r="M454" i="7"/>
  <c r="N454" i="7"/>
  <c r="P454" i="7"/>
  <c r="D354" i="7"/>
  <c r="E354" i="7"/>
  <c r="F354" i="7"/>
  <c r="G354" i="7"/>
  <c r="H354" i="7"/>
  <c r="I354" i="7"/>
  <c r="J354" i="7"/>
  <c r="K354" i="7"/>
  <c r="L354" i="7"/>
  <c r="M354" i="7"/>
  <c r="N354" i="7"/>
  <c r="P354" i="7"/>
  <c r="D254" i="7"/>
  <c r="E254" i="7"/>
  <c r="F254" i="7"/>
  <c r="G254" i="7"/>
  <c r="H254" i="7"/>
  <c r="I254" i="7"/>
  <c r="J254" i="7"/>
  <c r="K254" i="7"/>
  <c r="L254" i="7"/>
  <c r="M254" i="7"/>
  <c r="N254" i="7"/>
  <c r="P254" i="7"/>
  <c r="D154" i="7"/>
  <c r="E154" i="7"/>
  <c r="F154" i="7"/>
  <c r="G154" i="7"/>
  <c r="H154" i="7"/>
  <c r="I154" i="7"/>
  <c r="J154" i="7"/>
  <c r="K154" i="7"/>
  <c r="L154" i="7"/>
  <c r="M154" i="7"/>
  <c r="N154" i="7"/>
  <c r="P154" i="7"/>
  <c r="D654" i="7"/>
  <c r="E654" i="7"/>
  <c r="F654" i="7"/>
  <c r="G654" i="7"/>
  <c r="H654" i="7"/>
  <c r="I654" i="7"/>
  <c r="J654" i="7"/>
  <c r="K654" i="7"/>
  <c r="L654" i="7"/>
  <c r="M654" i="7"/>
  <c r="N654" i="7"/>
  <c r="P654" i="7"/>
  <c r="D453" i="7"/>
  <c r="E453" i="7"/>
  <c r="F453" i="7"/>
  <c r="G453" i="7"/>
  <c r="H453" i="7"/>
  <c r="I453" i="7"/>
  <c r="J453" i="7"/>
  <c r="K453" i="7"/>
  <c r="L453" i="7"/>
  <c r="M453" i="7"/>
  <c r="N453" i="7"/>
  <c r="P453" i="7"/>
  <c r="D353" i="7"/>
  <c r="E353" i="7"/>
  <c r="F353" i="7"/>
  <c r="G353" i="7"/>
  <c r="H353" i="7"/>
  <c r="I353" i="7"/>
  <c r="J353" i="7"/>
  <c r="K353" i="7"/>
  <c r="L353" i="7"/>
  <c r="M353" i="7"/>
  <c r="N353" i="7"/>
  <c r="P353" i="7"/>
  <c r="D253" i="7"/>
  <c r="E253" i="7"/>
  <c r="F253" i="7"/>
  <c r="G253" i="7"/>
  <c r="H253" i="7"/>
  <c r="I253" i="7"/>
  <c r="J253" i="7"/>
  <c r="K253" i="7"/>
  <c r="L253" i="7"/>
  <c r="M253" i="7"/>
  <c r="N253" i="7"/>
  <c r="P253" i="7"/>
  <c r="D153" i="7"/>
  <c r="E153" i="7"/>
  <c r="F153" i="7"/>
  <c r="G153" i="7"/>
  <c r="H153" i="7"/>
  <c r="I153" i="7"/>
  <c r="J153" i="7"/>
  <c r="K153" i="7"/>
  <c r="L153" i="7"/>
  <c r="M153" i="7"/>
  <c r="N153" i="7"/>
  <c r="P153" i="7"/>
  <c r="C729" i="6"/>
  <c r="C728" i="6"/>
  <c r="C727" i="6"/>
  <c r="C726" i="6"/>
  <c r="C725" i="6"/>
  <c r="C724" i="6"/>
  <c r="C619" i="6"/>
  <c r="C618" i="6"/>
  <c r="C617" i="6"/>
  <c r="C616" i="6"/>
  <c r="C614" i="6"/>
  <c r="C510" i="6"/>
  <c r="C509" i="6"/>
  <c r="C508" i="6"/>
  <c r="C507" i="6"/>
  <c r="C506" i="6"/>
  <c r="C505" i="6"/>
  <c r="C401" i="6"/>
  <c r="C400" i="6"/>
  <c r="C399" i="6"/>
  <c r="C398" i="6"/>
  <c r="C397" i="6"/>
  <c r="C396" i="6"/>
  <c r="C287" i="6"/>
  <c r="C286" i="6"/>
  <c r="C285" i="6"/>
  <c r="C284" i="6"/>
  <c r="C283" i="6"/>
  <c r="C282" i="6"/>
  <c r="C184" i="6"/>
  <c r="C183" i="6"/>
  <c r="C182" i="6"/>
  <c r="C181" i="6"/>
  <c r="C180" i="6"/>
  <c r="C179" i="6"/>
  <c r="C75" i="6"/>
  <c r="C74" i="6"/>
  <c r="C73" i="6"/>
  <c r="C72" i="6"/>
  <c r="C71" i="6"/>
  <c r="C70" i="6"/>
  <c r="C723" i="6"/>
  <c r="C722" i="6"/>
  <c r="C721" i="6"/>
  <c r="C720" i="6"/>
  <c r="C719" i="6"/>
  <c r="C718" i="6"/>
  <c r="C613" i="6"/>
  <c r="C612" i="6"/>
  <c r="C504" i="6"/>
  <c r="C503" i="6"/>
  <c r="C502" i="6"/>
  <c r="C501" i="6"/>
  <c r="C500" i="6"/>
  <c r="C499" i="6"/>
  <c r="C395" i="6"/>
  <c r="C394" i="6"/>
  <c r="C393" i="6"/>
  <c r="C392" i="6"/>
  <c r="C391" i="6"/>
  <c r="C390" i="6"/>
  <c r="C293" i="6"/>
  <c r="C292" i="6"/>
  <c r="C291" i="6"/>
  <c r="C290" i="6"/>
  <c r="C289" i="6"/>
  <c r="C288" i="6"/>
  <c r="C178" i="6"/>
  <c r="C177" i="6"/>
  <c r="C176" i="6"/>
  <c r="C175" i="6"/>
  <c r="C174" i="6"/>
  <c r="C173" i="6"/>
  <c r="C64" i="6"/>
  <c r="C65" i="6"/>
  <c r="C66" i="6"/>
  <c r="C67" i="6"/>
  <c r="C68" i="6"/>
  <c r="C69" i="6"/>
  <c r="D641" i="7"/>
  <c r="D653" i="7"/>
  <c r="E653" i="7"/>
  <c r="F653" i="7"/>
  <c r="G653" i="7"/>
  <c r="H653" i="7"/>
  <c r="I653" i="7"/>
  <c r="J653" i="7"/>
  <c r="K653" i="7"/>
  <c r="L653" i="7"/>
  <c r="M653" i="7"/>
  <c r="N653" i="7"/>
  <c r="P653" i="7"/>
  <c r="D452" i="7"/>
  <c r="E452" i="7"/>
  <c r="F452" i="7"/>
  <c r="G452" i="7"/>
  <c r="H452" i="7"/>
  <c r="I452" i="7"/>
  <c r="J452" i="7"/>
  <c r="K452" i="7"/>
  <c r="L452" i="7"/>
  <c r="M452" i="7"/>
  <c r="N452" i="7"/>
  <c r="P452" i="7"/>
  <c r="D352" i="7"/>
  <c r="E352" i="7"/>
  <c r="F352" i="7"/>
  <c r="G352" i="7"/>
  <c r="H352" i="7"/>
  <c r="I352" i="7"/>
  <c r="J352" i="7"/>
  <c r="K352" i="7"/>
  <c r="L352" i="7"/>
  <c r="M352" i="7"/>
  <c r="N352" i="7"/>
  <c r="P352" i="7"/>
  <c r="D252" i="7"/>
  <c r="E252" i="7"/>
  <c r="F252" i="7"/>
  <c r="G252" i="7"/>
  <c r="H252" i="7"/>
  <c r="I252" i="7"/>
  <c r="J252" i="7"/>
  <c r="K252" i="7"/>
  <c r="L252" i="7"/>
  <c r="M252" i="7"/>
  <c r="N252" i="7"/>
  <c r="P252" i="7"/>
  <c r="D152" i="7"/>
  <c r="E152" i="7"/>
  <c r="F152" i="7"/>
  <c r="G152" i="7"/>
  <c r="H152" i="7"/>
  <c r="I152" i="7"/>
  <c r="J152" i="7"/>
  <c r="K152" i="7"/>
  <c r="L152" i="7"/>
  <c r="M152" i="7"/>
  <c r="N152" i="7"/>
  <c r="P152" i="7"/>
  <c r="D50" i="7"/>
  <c r="E50" i="7"/>
  <c r="F50" i="7"/>
  <c r="G50" i="7"/>
  <c r="H50" i="7"/>
  <c r="I50" i="7"/>
  <c r="J50" i="7"/>
  <c r="K50" i="7"/>
  <c r="L50" i="7"/>
  <c r="M50" i="7"/>
  <c r="N50" i="7"/>
  <c r="P50" i="7"/>
  <c r="D826" i="6"/>
  <c r="D935" i="6" s="1"/>
  <c r="E826" i="6"/>
  <c r="E935" i="6" s="1"/>
  <c r="F826" i="6"/>
  <c r="F935" i="6" s="1"/>
  <c r="G826" i="6"/>
  <c r="H826" i="6"/>
  <c r="H935" i="6" s="1"/>
  <c r="I826" i="6"/>
  <c r="J826" i="6"/>
  <c r="J935" i="6" s="1"/>
  <c r="K826" i="6"/>
  <c r="K935" i="6" s="1"/>
  <c r="L826" i="6"/>
  <c r="L935" i="6" s="1"/>
  <c r="M826" i="6"/>
  <c r="M935" i="6" s="1"/>
  <c r="N826" i="6"/>
  <c r="N935" i="6" s="1"/>
  <c r="P826" i="6"/>
  <c r="D652" i="7"/>
  <c r="E652" i="7"/>
  <c r="F652" i="7"/>
  <c r="G652" i="7"/>
  <c r="H652" i="7"/>
  <c r="I652" i="7"/>
  <c r="J652" i="7"/>
  <c r="K652" i="7"/>
  <c r="L652" i="7"/>
  <c r="M652" i="7"/>
  <c r="N652" i="7"/>
  <c r="P652" i="7"/>
  <c r="D551" i="7"/>
  <c r="E551" i="7"/>
  <c r="F551" i="7"/>
  <c r="G551" i="7"/>
  <c r="H551" i="7"/>
  <c r="I551" i="7"/>
  <c r="J551" i="7"/>
  <c r="K551" i="7"/>
  <c r="L551" i="7"/>
  <c r="M551" i="7"/>
  <c r="N551" i="7"/>
  <c r="P551" i="7"/>
  <c r="D451" i="7"/>
  <c r="E451" i="7"/>
  <c r="F451" i="7"/>
  <c r="G451" i="7"/>
  <c r="H451" i="7"/>
  <c r="I451" i="7"/>
  <c r="J451" i="7"/>
  <c r="K451" i="7"/>
  <c r="L451" i="7"/>
  <c r="M451" i="7"/>
  <c r="N451" i="7"/>
  <c r="P451" i="7"/>
  <c r="D351" i="7"/>
  <c r="E351" i="7"/>
  <c r="F351" i="7"/>
  <c r="G351" i="7"/>
  <c r="H351" i="7"/>
  <c r="I351" i="7"/>
  <c r="J351" i="7"/>
  <c r="K351" i="7"/>
  <c r="L351" i="7"/>
  <c r="M351" i="7"/>
  <c r="N351" i="7"/>
  <c r="P351" i="7"/>
  <c r="D251" i="7"/>
  <c r="E251" i="7"/>
  <c r="F251" i="7"/>
  <c r="G251" i="7"/>
  <c r="H251" i="7"/>
  <c r="I251" i="7"/>
  <c r="J251" i="7"/>
  <c r="K251" i="7"/>
  <c r="L251" i="7"/>
  <c r="M251" i="7"/>
  <c r="N251" i="7"/>
  <c r="P251" i="7"/>
  <c r="D151" i="7"/>
  <c r="E151" i="7"/>
  <c r="F151" i="7"/>
  <c r="G151" i="7"/>
  <c r="H151" i="7"/>
  <c r="I151" i="7"/>
  <c r="J151" i="7"/>
  <c r="K151" i="7"/>
  <c r="L151" i="7"/>
  <c r="M151" i="7"/>
  <c r="N151" i="7"/>
  <c r="P151" i="7"/>
  <c r="D49" i="7"/>
  <c r="E49" i="7"/>
  <c r="F49" i="7"/>
  <c r="G49" i="7"/>
  <c r="H49" i="7"/>
  <c r="I49" i="7"/>
  <c r="J49" i="7"/>
  <c r="K49" i="7"/>
  <c r="L49" i="7"/>
  <c r="M49" i="7"/>
  <c r="N49" i="7"/>
  <c r="P49" i="7"/>
  <c r="D825" i="6"/>
  <c r="E825" i="6"/>
  <c r="F825" i="6"/>
  <c r="F934" i="6" s="1"/>
  <c r="G825" i="6"/>
  <c r="G934" i="6" s="1"/>
  <c r="H825" i="6"/>
  <c r="I825" i="6"/>
  <c r="I934" i="6" s="1"/>
  <c r="J825" i="6"/>
  <c r="J934" i="6" s="1"/>
  <c r="K825" i="6"/>
  <c r="K934" i="6" s="1"/>
  <c r="L825" i="6"/>
  <c r="M825" i="6"/>
  <c r="N825" i="6"/>
  <c r="N934" i="6" s="1"/>
  <c r="P825" i="6"/>
  <c r="P934" i="6" s="1"/>
  <c r="D651" i="7"/>
  <c r="E651" i="7"/>
  <c r="F651" i="7"/>
  <c r="G651" i="7"/>
  <c r="H651" i="7"/>
  <c r="I651" i="7"/>
  <c r="J651" i="7"/>
  <c r="K651" i="7"/>
  <c r="L651" i="7"/>
  <c r="M651" i="7"/>
  <c r="N651" i="7"/>
  <c r="P651" i="7"/>
  <c r="D550" i="7"/>
  <c r="E550" i="7"/>
  <c r="F550" i="7"/>
  <c r="G550" i="7"/>
  <c r="H550" i="7"/>
  <c r="I550" i="7"/>
  <c r="J550" i="7"/>
  <c r="K550" i="7"/>
  <c r="L550" i="7"/>
  <c r="M550" i="7"/>
  <c r="N550" i="7"/>
  <c r="P550" i="7"/>
  <c r="D450" i="7"/>
  <c r="E450" i="7"/>
  <c r="F450" i="7"/>
  <c r="G450" i="7"/>
  <c r="H450" i="7"/>
  <c r="I450" i="7"/>
  <c r="J450" i="7"/>
  <c r="K450" i="7"/>
  <c r="L450" i="7"/>
  <c r="M450" i="7"/>
  <c r="N450" i="7"/>
  <c r="P450" i="7"/>
  <c r="D350" i="7"/>
  <c r="E350" i="7"/>
  <c r="F350" i="7"/>
  <c r="G350" i="7"/>
  <c r="H350" i="7"/>
  <c r="I350" i="7"/>
  <c r="J350" i="7"/>
  <c r="K350" i="7"/>
  <c r="L350" i="7"/>
  <c r="M350" i="7"/>
  <c r="N350" i="7"/>
  <c r="P350" i="7"/>
  <c r="D250" i="7"/>
  <c r="E250" i="7"/>
  <c r="F250" i="7"/>
  <c r="G250" i="7"/>
  <c r="H250" i="7"/>
  <c r="I250" i="7"/>
  <c r="J250" i="7"/>
  <c r="K250" i="7"/>
  <c r="L250" i="7"/>
  <c r="M250" i="7"/>
  <c r="N250" i="7"/>
  <c r="P250" i="7"/>
  <c r="D150" i="7"/>
  <c r="E150" i="7"/>
  <c r="F150" i="7"/>
  <c r="G150" i="7"/>
  <c r="H150" i="7"/>
  <c r="I150" i="7"/>
  <c r="J150" i="7"/>
  <c r="K150" i="7"/>
  <c r="L150" i="7"/>
  <c r="M150" i="7"/>
  <c r="N150" i="7"/>
  <c r="P150" i="7"/>
  <c r="D48" i="7"/>
  <c r="E48" i="7"/>
  <c r="F48" i="7"/>
  <c r="G48" i="7"/>
  <c r="H48" i="7"/>
  <c r="I48" i="7"/>
  <c r="J48" i="7"/>
  <c r="K48" i="7"/>
  <c r="L48" i="7"/>
  <c r="M48" i="7"/>
  <c r="N48" i="7"/>
  <c r="P48" i="7"/>
  <c r="D824" i="6"/>
  <c r="D933" i="6" s="1"/>
  <c r="E824" i="6"/>
  <c r="F824" i="6"/>
  <c r="G824" i="6"/>
  <c r="G933" i="6" s="1"/>
  <c r="H824" i="6"/>
  <c r="H933" i="6" s="1"/>
  <c r="I824" i="6"/>
  <c r="J824" i="6"/>
  <c r="J933" i="6" s="1"/>
  <c r="K824" i="6"/>
  <c r="K933" i="6" s="1"/>
  <c r="L824" i="6"/>
  <c r="L933" i="6" s="1"/>
  <c r="M824" i="6"/>
  <c r="N824" i="6"/>
  <c r="P824" i="6"/>
  <c r="D650" i="7"/>
  <c r="E650" i="7"/>
  <c r="F650" i="7"/>
  <c r="G650" i="7"/>
  <c r="H650" i="7"/>
  <c r="I650" i="7"/>
  <c r="J650" i="7"/>
  <c r="K650" i="7"/>
  <c r="L650" i="7"/>
  <c r="M650" i="7"/>
  <c r="N650" i="7"/>
  <c r="P650" i="7"/>
  <c r="D549" i="7"/>
  <c r="E549" i="7"/>
  <c r="F549" i="7"/>
  <c r="G549" i="7"/>
  <c r="H549" i="7"/>
  <c r="I549" i="7"/>
  <c r="J549" i="7"/>
  <c r="K549" i="7"/>
  <c r="L549" i="7"/>
  <c r="M549" i="7"/>
  <c r="N549" i="7"/>
  <c r="P549" i="7"/>
  <c r="D449" i="7"/>
  <c r="E449" i="7"/>
  <c r="F449" i="7"/>
  <c r="G449" i="7"/>
  <c r="H449" i="7"/>
  <c r="I449" i="7"/>
  <c r="J449" i="7"/>
  <c r="K449" i="7"/>
  <c r="L449" i="7"/>
  <c r="M449" i="7"/>
  <c r="N449" i="7"/>
  <c r="P449" i="7"/>
  <c r="D349" i="7"/>
  <c r="E349" i="7"/>
  <c r="F349" i="7"/>
  <c r="G349" i="7"/>
  <c r="H349" i="7"/>
  <c r="I349" i="7"/>
  <c r="J349" i="7"/>
  <c r="K349" i="7"/>
  <c r="L349" i="7"/>
  <c r="M349" i="7"/>
  <c r="N349" i="7"/>
  <c r="P349" i="7"/>
  <c r="D249" i="7"/>
  <c r="E249" i="7"/>
  <c r="F249" i="7"/>
  <c r="G249" i="7"/>
  <c r="H249" i="7"/>
  <c r="I249" i="7"/>
  <c r="J249" i="7"/>
  <c r="K249" i="7"/>
  <c r="L249" i="7"/>
  <c r="M249" i="7"/>
  <c r="N249" i="7"/>
  <c r="P249" i="7"/>
  <c r="D149" i="7"/>
  <c r="E149" i="7"/>
  <c r="F149" i="7"/>
  <c r="G149" i="7"/>
  <c r="H149" i="7"/>
  <c r="I149" i="7"/>
  <c r="J149" i="7"/>
  <c r="K149" i="7"/>
  <c r="L149" i="7"/>
  <c r="M149" i="7"/>
  <c r="N149" i="7"/>
  <c r="P149" i="7"/>
  <c r="D47" i="7"/>
  <c r="E47" i="7"/>
  <c r="F47" i="7"/>
  <c r="G47" i="7"/>
  <c r="H47" i="7"/>
  <c r="I47" i="7"/>
  <c r="J47" i="7"/>
  <c r="K47" i="7"/>
  <c r="L47" i="7"/>
  <c r="M47" i="7"/>
  <c r="N47" i="7"/>
  <c r="P47" i="7"/>
  <c r="D823" i="6"/>
  <c r="E823" i="6"/>
  <c r="E932" i="6" s="1"/>
  <c r="F823" i="6"/>
  <c r="F932" i="6" s="1"/>
  <c r="G823" i="6"/>
  <c r="G932" i="6" s="1"/>
  <c r="H823" i="6"/>
  <c r="H932" i="6" s="1"/>
  <c r="I823" i="6"/>
  <c r="I932" i="6" s="1"/>
  <c r="J823" i="6"/>
  <c r="J932" i="6" s="1"/>
  <c r="K823" i="6"/>
  <c r="K932" i="6" s="1"/>
  <c r="L823" i="6"/>
  <c r="M823" i="6"/>
  <c r="N823" i="6"/>
  <c r="P823" i="6"/>
  <c r="D649" i="7"/>
  <c r="E649" i="7"/>
  <c r="F649" i="7"/>
  <c r="G649" i="7"/>
  <c r="H649" i="7"/>
  <c r="I649" i="7"/>
  <c r="J649" i="7"/>
  <c r="K649" i="7"/>
  <c r="L649" i="7"/>
  <c r="M649" i="7"/>
  <c r="N649" i="7"/>
  <c r="P649" i="7"/>
  <c r="D548" i="7"/>
  <c r="E548" i="7"/>
  <c r="F548" i="7"/>
  <c r="G548" i="7"/>
  <c r="H548" i="7"/>
  <c r="I548" i="7"/>
  <c r="J548" i="7"/>
  <c r="K548" i="7"/>
  <c r="L548" i="7"/>
  <c r="M548" i="7"/>
  <c r="N548" i="7"/>
  <c r="P548" i="7"/>
  <c r="D448" i="7"/>
  <c r="E448" i="7"/>
  <c r="F448" i="7"/>
  <c r="G448" i="7"/>
  <c r="H448" i="7"/>
  <c r="I448" i="7"/>
  <c r="J448" i="7"/>
  <c r="K448" i="7"/>
  <c r="L448" i="7"/>
  <c r="M448" i="7"/>
  <c r="N448" i="7"/>
  <c r="P448" i="7"/>
  <c r="D348" i="7"/>
  <c r="E348" i="7"/>
  <c r="F348" i="7"/>
  <c r="G348" i="7"/>
  <c r="H348" i="7"/>
  <c r="I348" i="7"/>
  <c r="J348" i="7"/>
  <c r="K348" i="7"/>
  <c r="L348" i="7"/>
  <c r="M348" i="7"/>
  <c r="N348" i="7"/>
  <c r="P348" i="7"/>
  <c r="D248" i="7"/>
  <c r="E248" i="7"/>
  <c r="F248" i="7"/>
  <c r="G248" i="7"/>
  <c r="H248" i="7"/>
  <c r="I248" i="7"/>
  <c r="J248" i="7"/>
  <c r="K248" i="7"/>
  <c r="L248" i="7"/>
  <c r="M248" i="7"/>
  <c r="N248" i="7"/>
  <c r="P248" i="7"/>
  <c r="D148" i="7"/>
  <c r="E148" i="7"/>
  <c r="F148" i="7"/>
  <c r="G148" i="7"/>
  <c r="H148" i="7"/>
  <c r="I148" i="7"/>
  <c r="J148" i="7"/>
  <c r="K148" i="7"/>
  <c r="L148" i="7"/>
  <c r="M148" i="7"/>
  <c r="N148" i="7"/>
  <c r="P148" i="7"/>
  <c r="D46" i="7"/>
  <c r="E46" i="7"/>
  <c r="F46" i="7"/>
  <c r="G46" i="7"/>
  <c r="H46" i="7"/>
  <c r="I46" i="7"/>
  <c r="J46" i="7"/>
  <c r="K46" i="7"/>
  <c r="L46" i="7"/>
  <c r="M46" i="7"/>
  <c r="N46" i="7"/>
  <c r="P46" i="7"/>
  <c r="D822" i="6"/>
  <c r="E822" i="6"/>
  <c r="E931" i="6" s="1"/>
  <c r="F822" i="6"/>
  <c r="G822" i="6"/>
  <c r="H822" i="6"/>
  <c r="H931" i="6" s="1"/>
  <c r="I822" i="6"/>
  <c r="I931" i="6" s="1"/>
  <c r="J822" i="6"/>
  <c r="K822" i="6"/>
  <c r="K931" i="6" s="1"/>
  <c r="L822" i="6"/>
  <c r="L931" i="6" s="1"/>
  <c r="M822" i="6"/>
  <c r="M931" i="6" s="1"/>
  <c r="N822" i="6"/>
  <c r="N931" i="6" s="1"/>
  <c r="P822" i="6"/>
  <c r="D821" i="6"/>
  <c r="D930" i="6" s="1"/>
  <c r="E821" i="6"/>
  <c r="F821" i="6"/>
  <c r="F930" i="6" s="1"/>
  <c r="G821" i="6"/>
  <c r="G930" i="6" s="1"/>
  <c r="H821" i="6"/>
  <c r="H930" i="6" s="1"/>
  <c r="I821" i="6"/>
  <c r="I930" i="6" s="1"/>
  <c r="J821" i="6"/>
  <c r="K821" i="6"/>
  <c r="L821" i="6"/>
  <c r="L930" i="6" s="1"/>
  <c r="M821" i="6"/>
  <c r="M930" i="6" s="1"/>
  <c r="N821" i="6"/>
  <c r="N930" i="6" s="1"/>
  <c r="P821" i="6"/>
  <c r="P930" i="6" s="1"/>
  <c r="D931" i="6"/>
  <c r="D648" i="7"/>
  <c r="E648" i="7"/>
  <c r="F648" i="7"/>
  <c r="G648" i="7"/>
  <c r="H648" i="7"/>
  <c r="I648" i="7"/>
  <c r="J648" i="7"/>
  <c r="K648" i="7"/>
  <c r="L648" i="7"/>
  <c r="M648" i="7"/>
  <c r="N648" i="7"/>
  <c r="P648" i="7"/>
  <c r="D547" i="7"/>
  <c r="E547" i="7"/>
  <c r="F547" i="7"/>
  <c r="G547" i="7"/>
  <c r="H547" i="7"/>
  <c r="I547" i="7"/>
  <c r="J547" i="7"/>
  <c r="K547" i="7"/>
  <c r="L547" i="7"/>
  <c r="M547" i="7"/>
  <c r="N547" i="7"/>
  <c r="P547" i="7"/>
  <c r="D447" i="7"/>
  <c r="E447" i="7"/>
  <c r="F447" i="7"/>
  <c r="G447" i="7"/>
  <c r="H447" i="7"/>
  <c r="I447" i="7"/>
  <c r="J447" i="7"/>
  <c r="K447" i="7"/>
  <c r="L447" i="7"/>
  <c r="M447" i="7"/>
  <c r="N447" i="7"/>
  <c r="P447" i="7"/>
  <c r="D347" i="7"/>
  <c r="E347" i="7"/>
  <c r="F347" i="7"/>
  <c r="G347" i="7"/>
  <c r="H347" i="7"/>
  <c r="I347" i="7"/>
  <c r="J347" i="7"/>
  <c r="K347" i="7"/>
  <c r="L347" i="7"/>
  <c r="M347" i="7"/>
  <c r="N347" i="7"/>
  <c r="P347" i="7"/>
  <c r="D247" i="7"/>
  <c r="E247" i="7"/>
  <c r="F247" i="7"/>
  <c r="G247" i="7"/>
  <c r="H247" i="7"/>
  <c r="I247" i="7"/>
  <c r="J247" i="7"/>
  <c r="K247" i="7"/>
  <c r="L247" i="7"/>
  <c r="M247" i="7"/>
  <c r="N247" i="7"/>
  <c r="P247" i="7"/>
  <c r="D147" i="7"/>
  <c r="E147" i="7"/>
  <c r="F147" i="7"/>
  <c r="G147" i="7"/>
  <c r="H147" i="7"/>
  <c r="I147" i="7"/>
  <c r="J147" i="7"/>
  <c r="K147" i="7"/>
  <c r="L147" i="7"/>
  <c r="M147" i="7"/>
  <c r="N147" i="7"/>
  <c r="P147" i="7"/>
  <c r="D45" i="7"/>
  <c r="E45" i="7"/>
  <c r="F45" i="7"/>
  <c r="G45" i="7"/>
  <c r="H45" i="7"/>
  <c r="I45" i="7"/>
  <c r="J45" i="7"/>
  <c r="K45" i="7"/>
  <c r="L45" i="7"/>
  <c r="M45" i="7"/>
  <c r="N45" i="7"/>
  <c r="P45" i="7"/>
  <c r="E930" i="6"/>
  <c r="D647" i="7"/>
  <c r="E647" i="7"/>
  <c r="F647" i="7"/>
  <c r="G647" i="7"/>
  <c r="H647" i="7"/>
  <c r="I647" i="7"/>
  <c r="J647" i="7"/>
  <c r="K647" i="7"/>
  <c r="L647" i="7"/>
  <c r="M647" i="7"/>
  <c r="N647" i="7"/>
  <c r="P647" i="7"/>
  <c r="D546" i="7"/>
  <c r="E546" i="7"/>
  <c r="F546" i="7"/>
  <c r="G546" i="7"/>
  <c r="H546" i="7"/>
  <c r="I546" i="7"/>
  <c r="J546" i="7"/>
  <c r="K546" i="7"/>
  <c r="L546" i="7"/>
  <c r="M546" i="7"/>
  <c r="N546" i="7"/>
  <c r="P546" i="7"/>
  <c r="D446" i="7"/>
  <c r="E446" i="7"/>
  <c r="F446" i="7"/>
  <c r="G446" i="7"/>
  <c r="H446" i="7"/>
  <c r="I446" i="7"/>
  <c r="J446" i="7"/>
  <c r="K446" i="7"/>
  <c r="L446" i="7"/>
  <c r="M446" i="7"/>
  <c r="N446" i="7"/>
  <c r="P446" i="7"/>
  <c r="D346" i="7"/>
  <c r="E346" i="7"/>
  <c r="F346" i="7"/>
  <c r="G346" i="7"/>
  <c r="H346" i="7"/>
  <c r="I346" i="7"/>
  <c r="J346" i="7"/>
  <c r="K346" i="7"/>
  <c r="L346" i="7"/>
  <c r="M346" i="7"/>
  <c r="N346" i="7"/>
  <c r="P346" i="7"/>
  <c r="D246" i="7"/>
  <c r="E246" i="7"/>
  <c r="F246" i="7"/>
  <c r="G246" i="7"/>
  <c r="H246" i="7"/>
  <c r="I246" i="7"/>
  <c r="J246" i="7"/>
  <c r="K246" i="7"/>
  <c r="L246" i="7"/>
  <c r="M246" i="7"/>
  <c r="N246" i="7"/>
  <c r="P246" i="7"/>
  <c r="D146" i="7"/>
  <c r="E146" i="7"/>
  <c r="F146" i="7"/>
  <c r="G146" i="7"/>
  <c r="H146" i="7"/>
  <c r="I146" i="7"/>
  <c r="J146" i="7"/>
  <c r="K146" i="7"/>
  <c r="L146" i="7"/>
  <c r="M146" i="7"/>
  <c r="N146" i="7"/>
  <c r="P146" i="7"/>
  <c r="D44" i="7"/>
  <c r="E44" i="7"/>
  <c r="F44" i="7"/>
  <c r="G44" i="7"/>
  <c r="H44" i="7"/>
  <c r="I44" i="7"/>
  <c r="J44" i="7"/>
  <c r="K44" i="7"/>
  <c r="L44" i="7"/>
  <c r="M44" i="7"/>
  <c r="N44" i="7"/>
  <c r="P44" i="7"/>
  <c r="D820" i="6"/>
  <c r="D929" i="6" s="1"/>
  <c r="E820" i="6"/>
  <c r="E929" i="6" s="1"/>
  <c r="F820" i="6"/>
  <c r="F929" i="6" s="1"/>
  <c r="G820" i="6"/>
  <c r="G929" i="6" s="1"/>
  <c r="H820" i="6"/>
  <c r="H929" i="6" s="1"/>
  <c r="I820" i="6"/>
  <c r="I929" i="6" s="1"/>
  <c r="J820" i="6"/>
  <c r="K820" i="6"/>
  <c r="K929" i="6" s="1"/>
  <c r="L820" i="6"/>
  <c r="L929" i="6" s="1"/>
  <c r="M820" i="6"/>
  <c r="N820" i="6"/>
  <c r="N929" i="6" s="1"/>
  <c r="P820" i="6"/>
  <c r="P929" i="6" s="1"/>
  <c r="D646" i="7"/>
  <c r="E646" i="7"/>
  <c r="F646" i="7"/>
  <c r="G646" i="7"/>
  <c r="H646" i="7"/>
  <c r="I646" i="7"/>
  <c r="J646" i="7"/>
  <c r="K646" i="7"/>
  <c r="L646" i="7"/>
  <c r="M646" i="7"/>
  <c r="N646" i="7"/>
  <c r="P646" i="7"/>
  <c r="D545" i="7"/>
  <c r="E545" i="7"/>
  <c r="F545" i="7"/>
  <c r="G545" i="7"/>
  <c r="H545" i="7"/>
  <c r="I545" i="7"/>
  <c r="J545" i="7"/>
  <c r="K545" i="7"/>
  <c r="L545" i="7"/>
  <c r="M545" i="7"/>
  <c r="N545" i="7"/>
  <c r="P545" i="7"/>
  <c r="D445" i="7"/>
  <c r="E445" i="7"/>
  <c r="F445" i="7"/>
  <c r="G445" i="7"/>
  <c r="H445" i="7"/>
  <c r="I445" i="7"/>
  <c r="J445" i="7"/>
  <c r="K445" i="7"/>
  <c r="L445" i="7"/>
  <c r="M445" i="7"/>
  <c r="N445" i="7"/>
  <c r="P445" i="7"/>
  <c r="D345" i="7"/>
  <c r="E345" i="7"/>
  <c r="F345" i="7"/>
  <c r="G345" i="7"/>
  <c r="H345" i="7"/>
  <c r="I345" i="7"/>
  <c r="J345" i="7"/>
  <c r="K345" i="7"/>
  <c r="L345" i="7"/>
  <c r="M345" i="7"/>
  <c r="N345" i="7"/>
  <c r="P345" i="7"/>
  <c r="D245" i="7"/>
  <c r="E245" i="7"/>
  <c r="F245" i="7"/>
  <c r="G245" i="7"/>
  <c r="H245" i="7"/>
  <c r="I245" i="7"/>
  <c r="J245" i="7"/>
  <c r="K245" i="7"/>
  <c r="L245" i="7"/>
  <c r="M245" i="7"/>
  <c r="N245" i="7"/>
  <c r="P245" i="7"/>
  <c r="D145" i="7"/>
  <c r="E145" i="7"/>
  <c r="F145" i="7"/>
  <c r="G145" i="7"/>
  <c r="H145" i="7"/>
  <c r="I145" i="7"/>
  <c r="J145" i="7"/>
  <c r="K145" i="7"/>
  <c r="L145" i="7"/>
  <c r="M145" i="7"/>
  <c r="N145" i="7"/>
  <c r="P145" i="7"/>
  <c r="D43" i="7"/>
  <c r="E43" i="7"/>
  <c r="F43" i="7"/>
  <c r="G43" i="7"/>
  <c r="H43" i="7"/>
  <c r="I43" i="7"/>
  <c r="J43" i="7"/>
  <c r="K43" i="7"/>
  <c r="L43" i="7"/>
  <c r="M43" i="7"/>
  <c r="N43" i="7"/>
  <c r="P43" i="7"/>
  <c r="D819" i="6"/>
  <c r="E819" i="6"/>
  <c r="E928" i="6" s="1"/>
  <c r="F819" i="6"/>
  <c r="G819" i="6"/>
  <c r="G928" i="6" s="1"/>
  <c r="H819" i="6"/>
  <c r="H928" i="6" s="1"/>
  <c r="I819" i="6"/>
  <c r="I928" i="6" s="1"/>
  <c r="J819" i="6"/>
  <c r="J928" i="6" s="1"/>
  <c r="K819" i="6"/>
  <c r="L819" i="6"/>
  <c r="L928" i="6" s="1"/>
  <c r="M819" i="6"/>
  <c r="M928" i="6" s="1"/>
  <c r="N819" i="6"/>
  <c r="P819" i="6"/>
  <c r="P744" i="7"/>
  <c r="P743" i="7"/>
  <c r="P742" i="7"/>
  <c r="P741" i="7"/>
  <c r="P740" i="7"/>
  <c r="P739" i="7"/>
  <c r="P738" i="7"/>
  <c r="P737" i="7"/>
  <c r="P736" i="7"/>
  <c r="P735" i="7"/>
  <c r="P734" i="7"/>
  <c r="P733" i="7"/>
  <c r="P732" i="7"/>
  <c r="P731" i="7"/>
  <c r="P730" i="7"/>
  <c r="P729" i="7"/>
  <c r="P728" i="7"/>
  <c r="P727" i="7"/>
  <c r="P726" i="7"/>
  <c r="P725" i="7"/>
  <c r="P724" i="7"/>
  <c r="P723" i="7"/>
  <c r="P722" i="7"/>
  <c r="P721" i="7"/>
  <c r="P720" i="7"/>
  <c r="P719" i="7"/>
  <c r="P718" i="7"/>
  <c r="P717" i="7"/>
  <c r="P716" i="7"/>
  <c r="P715" i="7"/>
  <c r="P714" i="7"/>
  <c r="P713" i="7"/>
  <c r="P712" i="7"/>
  <c r="P711" i="7"/>
  <c r="P710" i="7"/>
  <c r="P709" i="7"/>
  <c r="P708" i="7"/>
  <c r="P707" i="7"/>
  <c r="P706" i="7"/>
  <c r="P645" i="7"/>
  <c r="N645" i="7"/>
  <c r="P644" i="7"/>
  <c r="N644" i="7"/>
  <c r="P643" i="7"/>
  <c r="N643" i="7"/>
  <c r="P642" i="7"/>
  <c r="N642" i="7"/>
  <c r="P641" i="7"/>
  <c r="N641" i="7"/>
  <c r="P640" i="7"/>
  <c r="N640" i="7"/>
  <c r="P639" i="7"/>
  <c r="N639" i="7"/>
  <c r="P638" i="7"/>
  <c r="N638" i="7"/>
  <c r="P637" i="7"/>
  <c r="N637" i="7"/>
  <c r="P636" i="7"/>
  <c r="N636" i="7"/>
  <c r="P635" i="7"/>
  <c r="N635" i="7"/>
  <c r="P634" i="7"/>
  <c r="N634" i="7"/>
  <c r="P633" i="7"/>
  <c r="N633" i="7"/>
  <c r="P632" i="7"/>
  <c r="N632" i="7"/>
  <c r="P631" i="7"/>
  <c r="N631" i="7"/>
  <c r="P630" i="7"/>
  <c r="N630" i="7"/>
  <c r="P629" i="7"/>
  <c r="N629" i="7"/>
  <c r="P628" i="7"/>
  <c r="N628" i="7"/>
  <c r="P627" i="7"/>
  <c r="N627" i="7"/>
  <c r="P626" i="7"/>
  <c r="N626" i="7"/>
  <c r="P625" i="7"/>
  <c r="N625" i="7"/>
  <c r="P624" i="7"/>
  <c r="N624" i="7"/>
  <c r="P623" i="7"/>
  <c r="N623" i="7"/>
  <c r="P622" i="7"/>
  <c r="N622" i="7"/>
  <c r="P621" i="7"/>
  <c r="N621" i="7"/>
  <c r="P620" i="7"/>
  <c r="N620" i="7"/>
  <c r="P619" i="7"/>
  <c r="N619" i="7"/>
  <c r="P618" i="7"/>
  <c r="N618" i="7"/>
  <c r="P617" i="7"/>
  <c r="N617" i="7"/>
  <c r="P616" i="7"/>
  <c r="N616" i="7"/>
  <c r="P615" i="7"/>
  <c r="N615" i="7"/>
  <c r="P614" i="7"/>
  <c r="N614" i="7"/>
  <c r="P613" i="7"/>
  <c r="N613" i="7"/>
  <c r="P612" i="7"/>
  <c r="N612" i="7"/>
  <c r="P611" i="7"/>
  <c r="N611" i="7"/>
  <c r="P610" i="7"/>
  <c r="N610" i="7"/>
  <c r="P609" i="7"/>
  <c r="N609" i="7"/>
  <c r="P608" i="7"/>
  <c r="N608" i="7"/>
  <c r="P607" i="7"/>
  <c r="N607" i="7"/>
  <c r="P606" i="7"/>
  <c r="N606" i="7"/>
  <c r="P605" i="7"/>
  <c r="N605" i="7"/>
  <c r="P544" i="7"/>
  <c r="N544" i="7"/>
  <c r="P543" i="7"/>
  <c r="N543" i="7"/>
  <c r="P542" i="7"/>
  <c r="N542" i="7"/>
  <c r="P541" i="7"/>
  <c r="N541" i="7"/>
  <c r="P540" i="7"/>
  <c r="N540" i="7"/>
  <c r="P539" i="7"/>
  <c r="N539" i="7"/>
  <c r="P538" i="7"/>
  <c r="N538" i="7"/>
  <c r="P537" i="7"/>
  <c r="N537" i="7"/>
  <c r="P536" i="7"/>
  <c r="N536" i="7"/>
  <c r="P535" i="7"/>
  <c r="N535" i="7"/>
  <c r="P534" i="7"/>
  <c r="N534" i="7"/>
  <c r="P533" i="7"/>
  <c r="N533" i="7"/>
  <c r="P532" i="7"/>
  <c r="N532" i="7"/>
  <c r="P531" i="7"/>
  <c r="N531" i="7"/>
  <c r="P530" i="7"/>
  <c r="N530" i="7"/>
  <c r="P529" i="7"/>
  <c r="N529" i="7"/>
  <c r="P528" i="7"/>
  <c r="N528" i="7"/>
  <c r="P527" i="7"/>
  <c r="N527" i="7"/>
  <c r="P526" i="7"/>
  <c r="N526" i="7"/>
  <c r="P525" i="7"/>
  <c r="N525" i="7"/>
  <c r="P524" i="7"/>
  <c r="N524" i="7"/>
  <c r="P523" i="7"/>
  <c r="N523" i="7"/>
  <c r="P522" i="7"/>
  <c r="N522" i="7"/>
  <c r="P521" i="7"/>
  <c r="N521" i="7"/>
  <c r="P520" i="7"/>
  <c r="N520" i="7"/>
  <c r="P519" i="7"/>
  <c r="N519" i="7"/>
  <c r="P518" i="7"/>
  <c r="N518" i="7"/>
  <c r="P517" i="7"/>
  <c r="N517" i="7"/>
  <c r="P516" i="7"/>
  <c r="N516" i="7"/>
  <c r="P515" i="7"/>
  <c r="N515" i="7"/>
  <c r="P514" i="7"/>
  <c r="N514" i="7"/>
  <c r="P513" i="7"/>
  <c r="N513" i="7"/>
  <c r="P512" i="7"/>
  <c r="N512" i="7"/>
  <c r="P511" i="7"/>
  <c r="N511" i="7"/>
  <c r="P510" i="7"/>
  <c r="N510" i="7"/>
  <c r="P509" i="7"/>
  <c r="N509" i="7"/>
  <c r="P508" i="7"/>
  <c r="N508" i="7"/>
  <c r="P507" i="7"/>
  <c r="N507" i="7"/>
  <c r="P506" i="7"/>
  <c r="N506" i="7"/>
  <c r="P505" i="7"/>
  <c r="N505" i="7"/>
  <c r="P504" i="7"/>
  <c r="N504" i="7"/>
  <c r="P444" i="7"/>
  <c r="N444" i="7"/>
  <c r="P443" i="7"/>
  <c r="N443" i="7"/>
  <c r="P442" i="7"/>
  <c r="N442" i="7"/>
  <c r="P441" i="7"/>
  <c r="N441" i="7"/>
  <c r="P440" i="7"/>
  <c r="N440" i="7"/>
  <c r="P439" i="7"/>
  <c r="N439" i="7"/>
  <c r="P438" i="7"/>
  <c r="N438" i="7"/>
  <c r="P437" i="7"/>
  <c r="N437" i="7"/>
  <c r="P436" i="7"/>
  <c r="N436" i="7"/>
  <c r="P435" i="7"/>
  <c r="N435" i="7"/>
  <c r="P434" i="7"/>
  <c r="N434" i="7"/>
  <c r="P433" i="7"/>
  <c r="N433" i="7"/>
  <c r="P432" i="7"/>
  <c r="N432" i="7"/>
  <c r="P431" i="7"/>
  <c r="N431" i="7"/>
  <c r="P430" i="7"/>
  <c r="N430" i="7"/>
  <c r="P429" i="7"/>
  <c r="N429" i="7"/>
  <c r="P428" i="7"/>
  <c r="N428" i="7"/>
  <c r="P427" i="7"/>
  <c r="N427" i="7"/>
  <c r="P426" i="7"/>
  <c r="N426" i="7"/>
  <c r="P425" i="7"/>
  <c r="N425" i="7"/>
  <c r="P424" i="7"/>
  <c r="N424" i="7"/>
  <c r="P423" i="7"/>
  <c r="N423" i="7"/>
  <c r="P422" i="7"/>
  <c r="N422" i="7"/>
  <c r="P421" i="7"/>
  <c r="N421" i="7"/>
  <c r="P420" i="7"/>
  <c r="N420" i="7"/>
  <c r="P419" i="7"/>
  <c r="N419" i="7"/>
  <c r="P418" i="7"/>
  <c r="N418" i="7"/>
  <c r="P417" i="7"/>
  <c r="N417" i="7"/>
  <c r="P416" i="7"/>
  <c r="N416" i="7"/>
  <c r="P415" i="7"/>
  <c r="N415" i="7"/>
  <c r="P414" i="7"/>
  <c r="N414" i="7"/>
  <c r="P413" i="7"/>
  <c r="N413" i="7"/>
  <c r="P412" i="7"/>
  <c r="N412" i="7"/>
  <c r="P411" i="7"/>
  <c r="N411" i="7"/>
  <c r="P410" i="7"/>
  <c r="N410" i="7"/>
  <c r="P409" i="7"/>
  <c r="N409" i="7"/>
  <c r="P408" i="7"/>
  <c r="N408" i="7"/>
  <c r="P407" i="7"/>
  <c r="N407" i="7"/>
  <c r="P406" i="7"/>
  <c r="N406" i="7"/>
  <c r="P405" i="7"/>
  <c r="N405" i="7"/>
  <c r="P404" i="7"/>
  <c r="N404" i="7"/>
  <c r="P344" i="7"/>
  <c r="N344" i="7"/>
  <c r="P343" i="7"/>
  <c r="N343" i="7"/>
  <c r="P342" i="7"/>
  <c r="N342" i="7"/>
  <c r="P341" i="7"/>
  <c r="N341" i="7"/>
  <c r="P340" i="7"/>
  <c r="N340" i="7"/>
  <c r="P339" i="7"/>
  <c r="N339" i="7"/>
  <c r="P338" i="7"/>
  <c r="N338" i="7"/>
  <c r="P337" i="7"/>
  <c r="N337" i="7"/>
  <c r="P336" i="7"/>
  <c r="N336" i="7"/>
  <c r="P335" i="7"/>
  <c r="N335" i="7"/>
  <c r="P334" i="7"/>
  <c r="N334" i="7"/>
  <c r="P333" i="7"/>
  <c r="N333" i="7"/>
  <c r="P332" i="7"/>
  <c r="N332" i="7"/>
  <c r="P331" i="7"/>
  <c r="N331" i="7"/>
  <c r="P330" i="7"/>
  <c r="N330" i="7"/>
  <c r="P329" i="7"/>
  <c r="N329" i="7"/>
  <c r="P328" i="7"/>
  <c r="N328" i="7"/>
  <c r="P327" i="7"/>
  <c r="N327" i="7"/>
  <c r="P326" i="7"/>
  <c r="N326" i="7"/>
  <c r="P325" i="7"/>
  <c r="N325" i="7"/>
  <c r="P324" i="7"/>
  <c r="N324" i="7"/>
  <c r="P323" i="7"/>
  <c r="N323" i="7"/>
  <c r="P322" i="7"/>
  <c r="N322" i="7"/>
  <c r="P321" i="7"/>
  <c r="N321" i="7"/>
  <c r="P320" i="7"/>
  <c r="N320" i="7"/>
  <c r="P319" i="7"/>
  <c r="N319" i="7"/>
  <c r="P318" i="7"/>
  <c r="N318" i="7"/>
  <c r="P317" i="7"/>
  <c r="N317" i="7"/>
  <c r="P316" i="7"/>
  <c r="N316" i="7"/>
  <c r="P315" i="7"/>
  <c r="N315" i="7"/>
  <c r="P314" i="7"/>
  <c r="N314" i="7"/>
  <c r="P313" i="7"/>
  <c r="N313" i="7"/>
  <c r="P312" i="7"/>
  <c r="N312" i="7"/>
  <c r="P311" i="7"/>
  <c r="N311" i="7"/>
  <c r="P310" i="7"/>
  <c r="N310" i="7"/>
  <c r="P309" i="7"/>
  <c r="N309" i="7"/>
  <c r="P308" i="7"/>
  <c r="N308" i="7"/>
  <c r="P307" i="7"/>
  <c r="N307" i="7"/>
  <c r="P306" i="7"/>
  <c r="N306" i="7"/>
  <c r="P305" i="7"/>
  <c r="N305" i="7"/>
  <c r="P304" i="7"/>
  <c r="N304" i="7"/>
  <c r="P244" i="7"/>
  <c r="N244" i="7"/>
  <c r="P243" i="7"/>
  <c r="N243" i="7"/>
  <c r="P242" i="7"/>
  <c r="N242" i="7"/>
  <c r="P241" i="7"/>
  <c r="N241" i="7"/>
  <c r="P240" i="7"/>
  <c r="N240" i="7"/>
  <c r="P239" i="7"/>
  <c r="N239" i="7"/>
  <c r="P238" i="7"/>
  <c r="N238" i="7"/>
  <c r="P237" i="7"/>
  <c r="N237" i="7"/>
  <c r="P236" i="7"/>
  <c r="N236" i="7"/>
  <c r="P235" i="7"/>
  <c r="N235" i="7"/>
  <c r="P234" i="7"/>
  <c r="N234" i="7"/>
  <c r="P233" i="7"/>
  <c r="N233" i="7"/>
  <c r="P232" i="7"/>
  <c r="N232" i="7"/>
  <c r="P231" i="7"/>
  <c r="N231" i="7"/>
  <c r="P230" i="7"/>
  <c r="N230" i="7"/>
  <c r="P229" i="7"/>
  <c r="N229" i="7"/>
  <c r="P228" i="7"/>
  <c r="N228" i="7"/>
  <c r="P227" i="7"/>
  <c r="N227" i="7"/>
  <c r="P226" i="7"/>
  <c r="N226" i="7"/>
  <c r="P225" i="7"/>
  <c r="N225" i="7"/>
  <c r="P224" i="7"/>
  <c r="N224" i="7"/>
  <c r="P223" i="7"/>
  <c r="N223" i="7"/>
  <c r="P222" i="7"/>
  <c r="N222" i="7"/>
  <c r="P221" i="7"/>
  <c r="N221" i="7"/>
  <c r="P220" i="7"/>
  <c r="N220" i="7"/>
  <c r="P219" i="7"/>
  <c r="N219" i="7"/>
  <c r="P218" i="7"/>
  <c r="N218" i="7"/>
  <c r="P217" i="7"/>
  <c r="N217" i="7"/>
  <c r="P216" i="7"/>
  <c r="N216" i="7"/>
  <c r="P215" i="7"/>
  <c r="N215" i="7"/>
  <c r="P214" i="7"/>
  <c r="N214" i="7"/>
  <c r="P213" i="7"/>
  <c r="N213" i="7"/>
  <c r="P212" i="7"/>
  <c r="N212" i="7"/>
  <c r="P211" i="7"/>
  <c r="N211" i="7"/>
  <c r="P210" i="7"/>
  <c r="N210" i="7"/>
  <c r="P209" i="7"/>
  <c r="N209" i="7"/>
  <c r="P208" i="7"/>
  <c r="N208" i="7"/>
  <c r="P207" i="7"/>
  <c r="N207" i="7"/>
  <c r="P206" i="7"/>
  <c r="N206" i="7"/>
  <c r="P205" i="7"/>
  <c r="N205" i="7"/>
  <c r="P204" i="7"/>
  <c r="N204" i="7"/>
  <c r="G2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P144" i="7"/>
  <c r="N144" i="7"/>
  <c r="P143" i="7"/>
  <c r="N143" i="7"/>
  <c r="P142" i="7"/>
  <c r="N142" i="7"/>
  <c r="P141" i="7"/>
  <c r="N141" i="7"/>
  <c r="P140" i="7"/>
  <c r="N140" i="7"/>
  <c r="P139" i="7"/>
  <c r="N139" i="7"/>
  <c r="P138" i="7"/>
  <c r="N138" i="7"/>
  <c r="P137" i="7"/>
  <c r="N137" i="7"/>
  <c r="P136" i="7"/>
  <c r="N136" i="7"/>
  <c r="P135" i="7"/>
  <c r="N135" i="7"/>
  <c r="P134" i="7"/>
  <c r="N134" i="7"/>
  <c r="P133" i="7"/>
  <c r="N133" i="7"/>
  <c r="P132" i="7"/>
  <c r="N132" i="7"/>
  <c r="P131" i="7"/>
  <c r="N131" i="7"/>
  <c r="P130" i="7"/>
  <c r="N130" i="7"/>
  <c r="P129" i="7"/>
  <c r="N129" i="7"/>
  <c r="P128" i="7"/>
  <c r="N128" i="7"/>
  <c r="P127" i="7"/>
  <c r="N127" i="7"/>
  <c r="P126" i="7"/>
  <c r="N126" i="7"/>
  <c r="P125" i="7"/>
  <c r="N125" i="7"/>
  <c r="P124" i="7"/>
  <c r="N124" i="7"/>
  <c r="P123" i="7"/>
  <c r="N123" i="7"/>
  <c r="P122" i="7"/>
  <c r="N122" i="7"/>
  <c r="P121" i="7"/>
  <c r="N121" i="7"/>
  <c r="P120" i="7"/>
  <c r="N120" i="7"/>
  <c r="P119" i="7"/>
  <c r="N119" i="7"/>
  <c r="P118" i="7"/>
  <c r="N118" i="7"/>
  <c r="P117" i="7"/>
  <c r="N117" i="7"/>
  <c r="P116" i="7"/>
  <c r="N116" i="7"/>
  <c r="P115" i="7"/>
  <c r="N115" i="7"/>
  <c r="P114" i="7"/>
  <c r="N114" i="7"/>
  <c r="P113" i="7"/>
  <c r="N113" i="7"/>
  <c r="P112" i="7"/>
  <c r="N112" i="7"/>
  <c r="P111" i="7"/>
  <c r="N111" i="7"/>
  <c r="P110" i="7"/>
  <c r="N110" i="7"/>
  <c r="P109" i="7"/>
  <c r="N109" i="7"/>
  <c r="P108" i="7"/>
  <c r="N108" i="7"/>
  <c r="P107" i="7"/>
  <c r="N107" i="7"/>
  <c r="P106" i="7"/>
  <c r="N106" i="7"/>
  <c r="P105" i="7"/>
  <c r="N105" i="7"/>
  <c r="P104" i="7"/>
  <c r="N104" i="7"/>
  <c r="P42" i="7"/>
  <c r="N42" i="7"/>
  <c r="P41" i="7"/>
  <c r="N41" i="7"/>
  <c r="P40" i="7"/>
  <c r="N40" i="7"/>
  <c r="P39" i="7"/>
  <c r="N39" i="7"/>
  <c r="P38" i="7"/>
  <c r="N38" i="7"/>
  <c r="P37" i="7"/>
  <c r="N37" i="7"/>
  <c r="P36" i="7"/>
  <c r="N36" i="7"/>
  <c r="P35" i="7"/>
  <c r="N35" i="7"/>
  <c r="P34" i="7"/>
  <c r="N34" i="7"/>
  <c r="P33" i="7"/>
  <c r="N33" i="7"/>
  <c r="P32" i="7"/>
  <c r="N32" i="7"/>
  <c r="P31" i="7"/>
  <c r="N31" i="7"/>
  <c r="P30" i="7"/>
  <c r="N30" i="7"/>
  <c r="P29" i="7"/>
  <c r="N29" i="7"/>
  <c r="P28" i="7"/>
  <c r="N28" i="7"/>
  <c r="P27" i="7"/>
  <c r="N27" i="7"/>
  <c r="P26" i="7"/>
  <c r="N26" i="7"/>
  <c r="P25" i="7"/>
  <c r="N25" i="7"/>
  <c r="P24" i="7"/>
  <c r="N24" i="7"/>
  <c r="P23" i="7"/>
  <c r="N23" i="7"/>
  <c r="P22" i="7"/>
  <c r="N22" i="7"/>
  <c r="P21" i="7"/>
  <c r="N21" i="7"/>
  <c r="P20" i="7"/>
  <c r="N20" i="7"/>
  <c r="P19" i="7"/>
  <c r="N19" i="7"/>
  <c r="P18" i="7"/>
  <c r="N18" i="7"/>
  <c r="P17" i="7"/>
  <c r="N17" i="7"/>
  <c r="P16" i="7"/>
  <c r="N16" i="7"/>
  <c r="P15" i="7"/>
  <c r="N15" i="7"/>
  <c r="P14" i="7"/>
  <c r="N14" i="7"/>
  <c r="P13" i="7"/>
  <c r="N13" i="7"/>
  <c r="P12" i="7"/>
  <c r="N12" i="7"/>
  <c r="P11" i="7"/>
  <c r="N11" i="7"/>
  <c r="P10" i="7"/>
  <c r="N10" i="7"/>
  <c r="P9" i="7"/>
  <c r="N9" i="7"/>
  <c r="P8" i="7"/>
  <c r="N8" i="7"/>
  <c r="P7" i="7"/>
  <c r="N7" i="7"/>
  <c r="P6" i="7"/>
  <c r="N6" i="7"/>
  <c r="P5" i="7"/>
  <c r="N5" i="7"/>
  <c r="P4" i="7"/>
  <c r="N4" i="7"/>
  <c r="P3" i="7"/>
  <c r="N3" i="7"/>
  <c r="P2" i="7"/>
  <c r="N2" i="7"/>
  <c r="P1" i="7"/>
  <c r="D7" i="7"/>
  <c r="D645" i="7"/>
  <c r="E645" i="7"/>
  <c r="F645" i="7"/>
  <c r="G645" i="7"/>
  <c r="H645" i="7"/>
  <c r="I645" i="7"/>
  <c r="J645" i="7"/>
  <c r="K645" i="7"/>
  <c r="L645" i="7"/>
  <c r="M645" i="7"/>
  <c r="D544" i="7"/>
  <c r="E544" i="7"/>
  <c r="F544" i="7"/>
  <c r="G544" i="7"/>
  <c r="H544" i="7"/>
  <c r="I544" i="7"/>
  <c r="J544" i="7"/>
  <c r="K544" i="7"/>
  <c r="L544" i="7"/>
  <c r="M544" i="7"/>
  <c r="D444" i="7"/>
  <c r="E444" i="7"/>
  <c r="F444" i="7"/>
  <c r="G444" i="7"/>
  <c r="H444" i="7"/>
  <c r="I444" i="7"/>
  <c r="J444" i="7"/>
  <c r="K444" i="7"/>
  <c r="L444" i="7"/>
  <c r="M444" i="7"/>
  <c r="D344" i="7"/>
  <c r="E344" i="7"/>
  <c r="F344" i="7"/>
  <c r="G344" i="7"/>
  <c r="H344" i="7"/>
  <c r="I344" i="7"/>
  <c r="J344" i="7"/>
  <c r="K344" i="7"/>
  <c r="L344" i="7"/>
  <c r="M344" i="7"/>
  <c r="D244" i="7"/>
  <c r="E244" i="7"/>
  <c r="F244" i="7"/>
  <c r="G244" i="7"/>
  <c r="H244" i="7"/>
  <c r="I244" i="7"/>
  <c r="J244" i="7"/>
  <c r="K244" i="7"/>
  <c r="L244" i="7"/>
  <c r="M244" i="7"/>
  <c r="D144" i="7"/>
  <c r="E144" i="7"/>
  <c r="F144" i="7"/>
  <c r="G144" i="7"/>
  <c r="H144" i="7"/>
  <c r="I144" i="7"/>
  <c r="J144" i="7"/>
  <c r="K144" i="7"/>
  <c r="L144" i="7"/>
  <c r="M144" i="7"/>
  <c r="D42" i="7"/>
  <c r="E42" i="7"/>
  <c r="F42" i="7"/>
  <c r="G42" i="7"/>
  <c r="H42" i="7"/>
  <c r="I42" i="7"/>
  <c r="J42" i="7"/>
  <c r="K42" i="7"/>
  <c r="L42" i="7"/>
  <c r="M42" i="7"/>
  <c r="D818" i="6"/>
  <c r="E818" i="6"/>
  <c r="E927" i="6" s="1"/>
  <c r="F818" i="6"/>
  <c r="G818" i="6"/>
  <c r="G927" i="6" s="1"/>
  <c r="H818" i="6"/>
  <c r="I818" i="6"/>
  <c r="J818" i="6"/>
  <c r="J927" i="6" s="1"/>
  <c r="K818" i="6"/>
  <c r="L818" i="6"/>
  <c r="M818" i="6"/>
  <c r="M927" i="6" s="1"/>
  <c r="N818" i="6"/>
  <c r="N927" i="6" s="1"/>
  <c r="P818" i="6"/>
  <c r="P927" i="6" s="1"/>
  <c r="P817" i="6"/>
  <c r="D644" i="7"/>
  <c r="E644" i="7"/>
  <c r="F644" i="7"/>
  <c r="G644" i="7"/>
  <c r="H644" i="7"/>
  <c r="I644" i="7"/>
  <c r="J644" i="7"/>
  <c r="K644" i="7"/>
  <c r="L644" i="7"/>
  <c r="M644" i="7"/>
  <c r="D543" i="7"/>
  <c r="E543" i="7"/>
  <c r="F543" i="7"/>
  <c r="G543" i="7"/>
  <c r="H543" i="7"/>
  <c r="I543" i="7"/>
  <c r="J543" i="7"/>
  <c r="K543" i="7"/>
  <c r="L543" i="7"/>
  <c r="M543" i="7"/>
  <c r="D443" i="7"/>
  <c r="E443" i="7"/>
  <c r="F443" i="7"/>
  <c r="G443" i="7"/>
  <c r="H443" i="7"/>
  <c r="I443" i="7"/>
  <c r="J443" i="7"/>
  <c r="K443" i="7"/>
  <c r="L443" i="7"/>
  <c r="M443" i="7"/>
  <c r="D343" i="7"/>
  <c r="E343" i="7"/>
  <c r="F343" i="7"/>
  <c r="G343" i="7"/>
  <c r="H343" i="7"/>
  <c r="I343" i="7"/>
  <c r="J343" i="7"/>
  <c r="K343" i="7"/>
  <c r="L343" i="7"/>
  <c r="M343" i="7"/>
  <c r="D243" i="7"/>
  <c r="E243" i="7"/>
  <c r="F243" i="7"/>
  <c r="G243" i="7"/>
  <c r="H243" i="7"/>
  <c r="I243" i="7"/>
  <c r="J243" i="7"/>
  <c r="K243" i="7"/>
  <c r="L243" i="7"/>
  <c r="M243" i="7"/>
  <c r="D143" i="7"/>
  <c r="E143" i="7"/>
  <c r="F143" i="7"/>
  <c r="G143" i="7"/>
  <c r="H143" i="7"/>
  <c r="I143" i="7"/>
  <c r="J143" i="7"/>
  <c r="K143" i="7"/>
  <c r="L143" i="7"/>
  <c r="M143" i="7"/>
  <c r="D41" i="7"/>
  <c r="E41" i="7"/>
  <c r="F41" i="7"/>
  <c r="H41" i="7"/>
  <c r="I41" i="7"/>
  <c r="J41" i="7"/>
  <c r="K41" i="7"/>
  <c r="L41" i="7"/>
  <c r="M41" i="7"/>
  <c r="D817" i="6"/>
  <c r="D926" i="6" s="1"/>
  <c r="E817" i="6"/>
  <c r="F817" i="6"/>
  <c r="F926" i="6" s="1"/>
  <c r="G817" i="6"/>
  <c r="G926" i="6" s="1"/>
  <c r="H817" i="6"/>
  <c r="H926" i="6" s="1"/>
  <c r="I817" i="6"/>
  <c r="J817" i="6"/>
  <c r="J926" i="6" s="1"/>
  <c r="K817" i="6"/>
  <c r="L817" i="6"/>
  <c r="L926" i="6" s="1"/>
  <c r="M817" i="6"/>
  <c r="M926" i="6" s="1"/>
  <c r="N817" i="6"/>
  <c r="N816" i="6"/>
  <c r="N925" i="6" s="1"/>
  <c r="N815" i="6"/>
  <c r="N924" i="6" s="1"/>
  <c r="N814" i="6"/>
  <c r="N813" i="6"/>
  <c r="N922" i="6" s="1"/>
  <c r="N812" i="6"/>
  <c r="N921" i="6" s="1"/>
  <c r="N811" i="6"/>
  <c r="N920" i="6" s="1"/>
  <c r="N810" i="6"/>
  <c r="N919" i="6" s="1"/>
  <c r="N809" i="6"/>
  <c r="N918" i="6" s="1"/>
  <c r="N808" i="6"/>
  <c r="N917" i="6" s="1"/>
  <c r="N807" i="6"/>
  <c r="N916" i="6" s="1"/>
  <c r="N806" i="6"/>
  <c r="N805" i="6"/>
  <c r="N914" i="6" s="1"/>
  <c r="N804" i="6"/>
  <c r="N913" i="6" s="1"/>
  <c r="N803" i="6"/>
  <c r="N912" i="6" s="1"/>
  <c r="N802" i="6"/>
  <c r="N911" i="6" s="1"/>
  <c r="N801" i="6"/>
  <c r="N910" i="6" s="1"/>
  <c r="N800" i="6"/>
  <c r="N909" i="6" s="1"/>
  <c r="N799" i="6"/>
  <c r="N908" i="6" s="1"/>
  <c r="N798" i="6"/>
  <c r="N797" i="6"/>
  <c r="N906" i="6" s="1"/>
  <c r="N796" i="6"/>
  <c r="N905" i="6" s="1"/>
  <c r="N795" i="6"/>
  <c r="N904" i="6" s="1"/>
  <c r="N794" i="6"/>
  <c r="N903" i="6" s="1"/>
  <c r="N793" i="6"/>
  <c r="N902" i="6" s="1"/>
  <c r="N792" i="6"/>
  <c r="N901" i="6" s="1"/>
  <c r="N791" i="6"/>
  <c r="N900" i="6" s="1"/>
  <c r="N790" i="6"/>
  <c r="N789" i="6"/>
  <c r="N898" i="6" s="1"/>
  <c r="N788" i="6"/>
  <c r="N897" i="6" s="1"/>
  <c r="N787" i="6"/>
  <c r="N896" i="6" s="1"/>
  <c r="N786" i="6"/>
  <c r="N785" i="6"/>
  <c r="N894" i="6" s="1"/>
  <c r="N784" i="6"/>
  <c r="N893" i="6" s="1"/>
  <c r="N783" i="6"/>
  <c r="N892" i="6" s="1"/>
  <c r="N782" i="6"/>
  <c r="N781" i="6"/>
  <c r="N890" i="6" s="1"/>
  <c r="N780" i="6"/>
  <c r="N889" i="6" s="1"/>
  <c r="N779" i="6"/>
  <c r="N888" i="6" s="1"/>
  <c r="N778" i="6"/>
  <c r="N777" i="6"/>
  <c r="N776" i="6"/>
  <c r="N885" i="6" s="1"/>
  <c r="N775" i="6"/>
  <c r="N884" i="6" s="1"/>
  <c r="N774" i="6"/>
  <c r="N773" i="6"/>
  <c r="N882" i="6" s="1"/>
  <c r="N772" i="6"/>
  <c r="N881" i="6" s="1"/>
  <c r="N771" i="6"/>
  <c r="N880" i="6" s="1"/>
  <c r="N770" i="6"/>
  <c r="N879" i="6" s="1"/>
  <c r="N769" i="6"/>
  <c r="N878" i="6" s="1"/>
  <c r="N768" i="6"/>
  <c r="N877" i="6" s="1"/>
  <c r="N767" i="6"/>
  <c r="N876" i="6" s="1"/>
  <c r="D643" i="7"/>
  <c r="E643" i="7"/>
  <c r="F643" i="7"/>
  <c r="G643" i="7"/>
  <c r="H643" i="7"/>
  <c r="I643" i="7"/>
  <c r="J643" i="7"/>
  <c r="K643" i="7"/>
  <c r="L643" i="7"/>
  <c r="M643" i="7"/>
  <c r="D542" i="7"/>
  <c r="E542" i="7"/>
  <c r="F542" i="7"/>
  <c r="G542" i="7"/>
  <c r="H542" i="7"/>
  <c r="I542" i="7"/>
  <c r="J542" i="7"/>
  <c r="K542" i="7"/>
  <c r="L542" i="7"/>
  <c r="M542" i="7"/>
  <c r="D442" i="7"/>
  <c r="E442" i="7"/>
  <c r="F442" i="7"/>
  <c r="G442" i="7"/>
  <c r="H442" i="7"/>
  <c r="I442" i="7"/>
  <c r="J442" i="7"/>
  <c r="K442" i="7"/>
  <c r="L442" i="7"/>
  <c r="M442" i="7"/>
  <c r="D342" i="7"/>
  <c r="E342" i="7"/>
  <c r="F342" i="7"/>
  <c r="G342" i="7"/>
  <c r="H342" i="7"/>
  <c r="I342" i="7"/>
  <c r="J342" i="7"/>
  <c r="K342" i="7"/>
  <c r="L342" i="7"/>
  <c r="M342" i="7"/>
  <c r="D242" i="7"/>
  <c r="E242" i="7"/>
  <c r="F242" i="7"/>
  <c r="G242" i="7"/>
  <c r="H242" i="7"/>
  <c r="I242" i="7"/>
  <c r="J242" i="7"/>
  <c r="K242" i="7"/>
  <c r="L242" i="7"/>
  <c r="M242" i="7"/>
  <c r="D142" i="7"/>
  <c r="E142" i="7"/>
  <c r="F142" i="7"/>
  <c r="G142" i="7"/>
  <c r="H142" i="7"/>
  <c r="I142" i="7"/>
  <c r="J142" i="7"/>
  <c r="K142" i="7"/>
  <c r="L142" i="7"/>
  <c r="M142" i="7"/>
  <c r="D40" i="7"/>
  <c r="E40" i="7"/>
  <c r="F40" i="7"/>
  <c r="H40" i="7"/>
  <c r="I40" i="7"/>
  <c r="J40" i="7"/>
  <c r="K40" i="7"/>
  <c r="L40" i="7"/>
  <c r="M40" i="7"/>
  <c r="D816" i="6"/>
  <c r="D925" i="6" s="1"/>
  <c r="E816" i="6"/>
  <c r="F816" i="6"/>
  <c r="G816" i="6"/>
  <c r="G925" i="6" s="1"/>
  <c r="H816" i="6"/>
  <c r="H925" i="6" s="1"/>
  <c r="I816" i="6"/>
  <c r="J816" i="6"/>
  <c r="K816" i="6"/>
  <c r="K925" i="6" s="1"/>
  <c r="L816" i="6"/>
  <c r="L925" i="6" s="1"/>
  <c r="M816" i="6"/>
  <c r="M925" i="6" s="1"/>
  <c r="D642" i="7"/>
  <c r="E642" i="7"/>
  <c r="F642" i="7"/>
  <c r="G642" i="7"/>
  <c r="H642" i="7"/>
  <c r="I642" i="7"/>
  <c r="J642" i="7"/>
  <c r="K642" i="7"/>
  <c r="L642" i="7"/>
  <c r="M642" i="7"/>
  <c r="D541" i="7"/>
  <c r="E541" i="7"/>
  <c r="F541" i="7"/>
  <c r="G541" i="7"/>
  <c r="H541" i="7"/>
  <c r="I541" i="7"/>
  <c r="J541" i="7"/>
  <c r="K541" i="7"/>
  <c r="L541" i="7"/>
  <c r="M541" i="7"/>
  <c r="D441" i="7"/>
  <c r="E441" i="7"/>
  <c r="F441" i="7"/>
  <c r="G441" i="7"/>
  <c r="H441" i="7"/>
  <c r="I441" i="7"/>
  <c r="J441" i="7"/>
  <c r="K441" i="7"/>
  <c r="L441" i="7"/>
  <c r="M441" i="7"/>
  <c r="D341" i="7"/>
  <c r="E341" i="7"/>
  <c r="F341" i="7"/>
  <c r="G341" i="7"/>
  <c r="H341" i="7"/>
  <c r="I341" i="7"/>
  <c r="J341" i="7"/>
  <c r="K341" i="7"/>
  <c r="L341" i="7"/>
  <c r="M341" i="7"/>
  <c r="D241" i="7"/>
  <c r="E241" i="7"/>
  <c r="F241" i="7"/>
  <c r="G241" i="7"/>
  <c r="H241" i="7"/>
  <c r="I241" i="7"/>
  <c r="J241" i="7"/>
  <c r="K241" i="7"/>
  <c r="L241" i="7"/>
  <c r="M241" i="7"/>
  <c r="D141" i="7"/>
  <c r="E141" i="7"/>
  <c r="F141" i="7"/>
  <c r="G141" i="7"/>
  <c r="H141" i="7"/>
  <c r="I141" i="7"/>
  <c r="J141" i="7"/>
  <c r="K141" i="7"/>
  <c r="L141" i="7"/>
  <c r="M141" i="7"/>
  <c r="D39" i="7"/>
  <c r="E39" i="7"/>
  <c r="F39" i="7"/>
  <c r="H39" i="7"/>
  <c r="I39" i="7"/>
  <c r="J39" i="7"/>
  <c r="K39" i="7"/>
  <c r="L39" i="7"/>
  <c r="M39" i="7"/>
  <c r="D815" i="6"/>
  <c r="D924" i="6" s="1"/>
  <c r="E815" i="6"/>
  <c r="F815" i="6"/>
  <c r="F924" i="6" s="1"/>
  <c r="G815" i="6"/>
  <c r="H815" i="6"/>
  <c r="H924" i="6" s="1"/>
  <c r="I815" i="6"/>
  <c r="J815" i="6"/>
  <c r="J924" i="6" s="1"/>
  <c r="K815" i="6"/>
  <c r="L815" i="6"/>
  <c r="L924" i="6" s="1"/>
  <c r="M815" i="6"/>
  <c r="C717" i="6"/>
  <c r="C706" i="6"/>
  <c r="C707" i="6"/>
  <c r="C708" i="6"/>
  <c r="C709" i="6"/>
  <c r="C710" i="6"/>
  <c r="C711" i="6"/>
  <c r="C712" i="6"/>
  <c r="C713" i="6"/>
  <c r="C714" i="6"/>
  <c r="C715" i="6"/>
  <c r="C716" i="6"/>
  <c r="C596" i="6"/>
  <c r="C597" i="6"/>
  <c r="C598" i="6"/>
  <c r="C599" i="6"/>
  <c r="C600" i="6"/>
  <c r="C601" i="6"/>
  <c r="C602" i="6"/>
  <c r="C603" i="6"/>
  <c r="C604" i="6"/>
  <c r="C605" i="6"/>
  <c r="C60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548" i="6"/>
  <c r="C378" i="6"/>
  <c r="C379" i="6"/>
  <c r="C380" i="6"/>
  <c r="C381" i="6"/>
  <c r="C382" i="6"/>
  <c r="C383" i="6"/>
  <c r="C384" i="6"/>
  <c r="C385" i="6"/>
  <c r="C386" i="6"/>
  <c r="C38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52" i="6"/>
  <c r="C53" i="6"/>
  <c r="C54" i="6"/>
  <c r="C55" i="6"/>
  <c r="C56" i="6"/>
  <c r="C57" i="6"/>
  <c r="C58" i="6"/>
  <c r="C59" i="6"/>
  <c r="C60" i="6"/>
  <c r="C61" i="6"/>
  <c r="C62" i="6"/>
  <c r="C63" i="6"/>
  <c r="E641" i="7"/>
  <c r="F641" i="7"/>
  <c r="G641" i="7"/>
  <c r="H641" i="7"/>
  <c r="I641" i="7"/>
  <c r="J641" i="7"/>
  <c r="K641" i="7"/>
  <c r="L641" i="7"/>
  <c r="M641" i="7"/>
  <c r="D540" i="7"/>
  <c r="E540" i="7"/>
  <c r="F540" i="7"/>
  <c r="G540" i="7"/>
  <c r="H540" i="7"/>
  <c r="I540" i="7"/>
  <c r="J540" i="7"/>
  <c r="K540" i="7"/>
  <c r="L540" i="7"/>
  <c r="M540" i="7"/>
  <c r="D440" i="7"/>
  <c r="E440" i="7"/>
  <c r="F440" i="7"/>
  <c r="G440" i="7"/>
  <c r="H440" i="7"/>
  <c r="I440" i="7"/>
  <c r="J440" i="7"/>
  <c r="K440" i="7"/>
  <c r="L440" i="7"/>
  <c r="M440" i="7"/>
  <c r="D340" i="7"/>
  <c r="E340" i="7"/>
  <c r="F340" i="7"/>
  <c r="G340" i="7"/>
  <c r="H340" i="7"/>
  <c r="I340" i="7"/>
  <c r="J340" i="7"/>
  <c r="K340" i="7"/>
  <c r="L340" i="7"/>
  <c r="M340" i="7"/>
  <c r="D240" i="7"/>
  <c r="E240" i="7"/>
  <c r="F240" i="7"/>
  <c r="G240" i="7"/>
  <c r="H240" i="7"/>
  <c r="I240" i="7"/>
  <c r="J240" i="7"/>
  <c r="K240" i="7"/>
  <c r="L240" i="7"/>
  <c r="M240" i="7"/>
  <c r="D140" i="7"/>
  <c r="E140" i="7"/>
  <c r="F140" i="7"/>
  <c r="G140" i="7"/>
  <c r="H140" i="7"/>
  <c r="I140" i="7"/>
  <c r="J140" i="7"/>
  <c r="K140" i="7"/>
  <c r="L140" i="7"/>
  <c r="M140" i="7"/>
  <c r="D38" i="7"/>
  <c r="E38" i="7"/>
  <c r="F38" i="7"/>
  <c r="H38" i="7"/>
  <c r="I38" i="7"/>
  <c r="J38" i="7"/>
  <c r="K38" i="7"/>
  <c r="L38" i="7"/>
  <c r="M38" i="7"/>
  <c r="D640" i="7"/>
  <c r="E640" i="7"/>
  <c r="F640" i="7"/>
  <c r="G640" i="7"/>
  <c r="H640" i="7"/>
  <c r="I640" i="7"/>
  <c r="J640" i="7"/>
  <c r="K640" i="7"/>
  <c r="L640" i="7"/>
  <c r="M640" i="7"/>
  <c r="D539" i="7"/>
  <c r="E539" i="7"/>
  <c r="F539" i="7"/>
  <c r="G539" i="7"/>
  <c r="H539" i="7"/>
  <c r="I539" i="7"/>
  <c r="J539" i="7"/>
  <c r="K539" i="7"/>
  <c r="L539" i="7"/>
  <c r="M539" i="7"/>
  <c r="D439" i="7"/>
  <c r="E439" i="7"/>
  <c r="F439" i="7"/>
  <c r="G439" i="7"/>
  <c r="H439" i="7"/>
  <c r="I439" i="7"/>
  <c r="J439" i="7"/>
  <c r="K439" i="7"/>
  <c r="L439" i="7"/>
  <c r="M439" i="7"/>
  <c r="D339" i="7"/>
  <c r="E339" i="7"/>
  <c r="F339" i="7"/>
  <c r="G339" i="7"/>
  <c r="H339" i="7"/>
  <c r="I339" i="7"/>
  <c r="J339" i="7"/>
  <c r="K339" i="7"/>
  <c r="L339" i="7"/>
  <c r="M339" i="7"/>
  <c r="D239" i="7"/>
  <c r="E239" i="7"/>
  <c r="F239" i="7"/>
  <c r="G239" i="7"/>
  <c r="H239" i="7"/>
  <c r="I239" i="7"/>
  <c r="J239" i="7"/>
  <c r="K239" i="7"/>
  <c r="L239" i="7"/>
  <c r="M239" i="7"/>
  <c r="D139" i="7"/>
  <c r="E139" i="7"/>
  <c r="F139" i="7"/>
  <c r="G139" i="7"/>
  <c r="H139" i="7"/>
  <c r="I139" i="7"/>
  <c r="J139" i="7"/>
  <c r="K139" i="7"/>
  <c r="L139" i="7"/>
  <c r="M139" i="7"/>
  <c r="D37" i="7"/>
  <c r="E37" i="7"/>
  <c r="F37" i="7"/>
  <c r="H37" i="7"/>
  <c r="I37" i="7"/>
  <c r="J37" i="7"/>
  <c r="K37" i="7"/>
  <c r="L37" i="7"/>
  <c r="M37" i="7"/>
  <c r="D639" i="7"/>
  <c r="E639" i="7"/>
  <c r="F639" i="7"/>
  <c r="G639" i="7"/>
  <c r="H639" i="7"/>
  <c r="I639" i="7"/>
  <c r="J639" i="7"/>
  <c r="K639" i="7"/>
  <c r="L639" i="7"/>
  <c r="M639" i="7"/>
  <c r="D538" i="7"/>
  <c r="E538" i="7"/>
  <c r="F538" i="7"/>
  <c r="G538" i="7"/>
  <c r="H538" i="7"/>
  <c r="I538" i="7"/>
  <c r="J538" i="7"/>
  <c r="K538" i="7"/>
  <c r="L538" i="7"/>
  <c r="M538" i="7"/>
  <c r="D438" i="7"/>
  <c r="E438" i="7"/>
  <c r="F438" i="7"/>
  <c r="G438" i="7"/>
  <c r="H438" i="7"/>
  <c r="I438" i="7"/>
  <c r="J438" i="7"/>
  <c r="K438" i="7"/>
  <c r="L438" i="7"/>
  <c r="M438" i="7"/>
  <c r="D338" i="7"/>
  <c r="E338" i="7"/>
  <c r="F338" i="7"/>
  <c r="G338" i="7"/>
  <c r="H338" i="7"/>
  <c r="I338" i="7"/>
  <c r="J338" i="7"/>
  <c r="K338" i="7"/>
  <c r="L338" i="7"/>
  <c r="M338" i="7"/>
  <c r="D238" i="7"/>
  <c r="E238" i="7"/>
  <c r="F238" i="7"/>
  <c r="G238" i="7"/>
  <c r="H238" i="7"/>
  <c r="I238" i="7"/>
  <c r="J238" i="7"/>
  <c r="K238" i="7"/>
  <c r="L238" i="7"/>
  <c r="M238" i="7"/>
  <c r="D138" i="7"/>
  <c r="E138" i="7"/>
  <c r="F138" i="7"/>
  <c r="G138" i="7"/>
  <c r="H138" i="7"/>
  <c r="I138" i="7"/>
  <c r="J138" i="7"/>
  <c r="K138" i="7"/>
  <c r="L138" i="7"/>
  <c r="M138" i="7"/>
  <c r="D36" i="7"/>
  <c r="E36" i="7"/>
  <c r="F36" i="7"/>
  <c r="H36" i="7"/>
  <c r="I36" i="7"/>
  <c r="J36" i="7"/>
  <c r="K36" i="7"/>
  <c r="L36" i="7"/>
  <c r="M36" i="7"/>
  <c r="D638" i="7"/>
  <c r="E638" i="7"/>
  <c r="F638" i="7"/>
  <c r="G638" i="7"/>
  <c r="H638" i="7"/>
  <c r="I638" i="7"/>
  <c r="J638" i="7"/>
  <c r="K638" i="7"/>
  <c r="L638" i="7"/>
  <c r="M638" i="7"/>
  <c r="D537" i="7"/>
  <c r="E537" i="7"/>
  <c r="F537" i="7"/>
  <c r="G537" i="7"/>
  <c r="H537" i="7"/>
  <c r="I537" i="7"/>
  <c r="J537" i="7"/>
  <c r="K537" i="7"/>
  <c r="L537" i="7"/>
  <c r="M537" i="7"/>
  <c r="D437" i="7"/>
  <c r="E437" i="7"/>
  <c r="F437" i="7"/>
  <c r="G437" i="7"/>
  <c r="H437" i="7"/>
  <c r="I437" i="7"/>
  <c r="J437" i="7"/>
  <c r="K437" i="7"/>
  <c r="L437" i="7"/>
  <c r="M437" i="7"/>
  <c r="D337" i="7"/>
  <c r="E337" i="7"/>
  <c r="F337" i="7"/>
  <c r="G337" i="7"/>
  <c r="H337" i="7"/>
  <c r="I337" i="7"/>
  <c r="J337" i="7"/>
  <c r="K337" i="7"/>
  <c r="L337" i="7"/>
  <c r="M337" i="7"/>
  <c r="D237" i="7"/>
  <c r="E237" i="7"/>
  <c r="F237" i="7"/>
  <c r="G237" i="7"/>
  <c r="H237" i="7"/>
  <c r="I237" i="7"/>
  <c r="J237" i="7"/>
  <c r="K237" i="7"/>
  <c r="L237" i="7"/>
  <c r="M237" i="7"/>
  <c r="D137" i="7"/>
  <c r="E137" i="7"/>
  <c r="F137" i="7"/>
  <c r="G137" i="7"/>
  <c r="H137" i="7"/>
  <c r="I137" i="7"/>
  <c r="J137" i="7"/>
  <c r="K137" i="7"/>
  <c r="L137" i="7"/>
  <c r="M137" i="7"/>
  <c r="D35" i="7"/>
  <c r="E35" i="7"/>
  <c r="F35" i="7"/>
  <c r="H35" i="7"/>
  <c r="I35" i="7"/>
  <c r="J35" i="7"/>
  <c r="K35" i="7"/>
  <c r="L35" i="7"/>
  <c r="M35" i="7"/>
  <c r="C591" i="6"/>
  <c r="D637" i="7"/>
  <c r="E637" i="7"/>
  <c r="F637" i="7"/>
  <c r="G637" i="7"/>
  <c r="H637" i="7"/>
  <c r="I637" i="7"/>
  <c r="J637" i="7"/>
  <c r="K637" i="7"/>
  <c r="L637" i="7"/>
  <c r="M637" i="7"/>
  <c r="D536" i="7"/>
  <c r="E536" i="7"/>
  <c r="F536" i="7"/>
  <c r="G536" i="7"/>
  <c r="H536" i="7"/>
  <c r="I536" i="7"/>
  <c r="J536" i="7"/>
  <c r="K536" i="7"/>
  <c r="L536" i="7"/>
  <c r="M536" i="7"/>
  <c r="D436" i="7"/>
  <c r="E436" i="7"/>
  <c r="F436" i="7"/>
  <c r="G436" i="7"/>
  <c r="H436" i="7"/>
  <c r="I436" i="7"/>
  <c r="J436" i="7"/>
  <c r="K436" i="7"/>
  <c r="L436" i="7"/>
  <c r="M436" i="7"/>
  <c r="D336" i="7"/>
  <c r="E336" i="7"/>
  <c r="F336" i="7"/>
  <c r="G336" i="7"/>
  <c r="H336" i="7"/>
  <c r="I336" i="7"/>
  <c r="J336" i="7"/>
  <c r="K336" i="7"/>
  <c r="L336" i="7"/>
  <c r="M336" i="7"/>
  <c r="D236" i="7"/>
  <c r="E236" i="7"/>
  <c r="F236" i="7"/>
  <c r="G236" i="7"/>
  <c r="H236" i="7"/>
  <c r="I236" i="7"/>
  <c r="J236" i="7"/>
  <c r="K236" i="7"/>
  <c r="L236" i="7"/>
  <c r="M236" i="7"/>
  <c r="D136" i="7"/>
  <c r="E136" i="7"/>
  <c r="F136" i="7"/>
  <c r="G136" i="7"/>
  <c r="H136" i="7"/>
  <c r="I136" i="7"/>
  <c r="J136" i="7"/>
  <c r="K136" i="7"/>
  <c r="L136" i="7"/>
  <c r="M136" i="7"/>
  <c r="D34" i="7"/>
  <c r="E34" i="7"/>
  <c r="F34" i="7"/>
  <c r="H34" i="7"/>
  <c r="I34" i="7"/>
  <c r="J34" i="7"/>
  <c r="K34" i="7"/>
  <c r="L34" i="7"/>
  <c r="M34" i="7"/>
  <c r="D636" i="7"/>
  <c r="E636" i="7"/>
  <c r="F636" i="7"/>
  <c r="G636" i="7"/>
  <c r="H636" i="7"/>
  <c r="I636" i="7"/>
  <c r="J636" i="7"/>
  <c r="K636" i="7"/>
  <c r="L636" i="7"/>
  <c r="M636" i="7"/>
  <c r="D535" i="7"/>
  <c r="E535" i="7"/>
  <c r="F535" i="7"/>
  <c r="G535" i="7"/>
  <c r="H535" i="7"/>
  <c r="I535" i="7"/>
  <c r="J535" i="7"/>
  <c r="K535" i="7"/>
  <c r="L535" i="7"/>
  <c r="M535" i="7"/>
  <c r="D435" i="7"/>
  <c r="E435" i="7"/>
  <c r="F435" i="7"/>
  <c r="G435" i="7"/>
  <c r="H435" i="7"/>
  <c r="I435" i="7"/>
  <c r="J435" i="7"/>
  <c r="K435" i="7"/>
  <c r="L435" i="7"/>
  <c r="M435" i="7"/>
  <c r="D335" i="7"/>
  <c r="E335" i="7"/>
  <c r="F335" i="7"/>
  <c r="G335" i="7"/>
  <c r="H335" i="7"/>
  <c r="I335" i="7"/>
  <c r="J335" i="7"/>
  <c r="K335" i="7"/>
  <c r="L335" i="7"/>
  <c r="M335" i="7"/>
  <c r="D235" i="7"/>
  <c r="E235" i="7"/>
  <c r="F235" i="7"/>
  <c r="G235" i="7"/>
  <c r="H235" i="7"/>
  <c r="I235" i="7"/>
  <c r="J235" i="7"/>
  <c r="K235" i="7"/>
  <c r="L235" i="7"/>
  <c r="M235" i="7"/>
  <c r="D135" i="7"/>
  <c r="E135" i="7"/>
  <c r="F135" i="7"/>
  <c r="G135" i="7"/>
  <c r="H135" i="7"/>
  <c r="I135" i="7"/>
  <c r="J135" i="7"/>
  <c r="K135" i="7"/>
  <c r="L135" i="7"/>
  <c r="M135" i="7"/>
  <c r="D33" i="7"/>
  <c r="E33" i="7"/>
  <c r="F33" i="7"/>
  <c r="H33" i="7"/>
  <c r="I33" i="7"/>
  <c r="J33" i="7"/>
  <c r="K33" i="7"/>
  <c r="L33" i="7"/>
  <c r="M33" i="7"/>
  <c r="D635" i="7"/>
  <c r="E635" i="7"/>
  <c r="F635" i="7"/>
  <c r="G635" i="7"/>
  <c r="H635" i="7"/>
  <c r="I635" i="7"/>
  <c r="J635" i="7"/>
  <c r="K635" i="7"/>
  <c r="L635" i="7"/>
  <c r="M635" i="7"/>
  <c r="D534" i="7"/>
  <c r="E534" i="7"/>
  <c r="F534" i="7"/>
  <c r="G534" i="7"/>
  <c r="H534" i="7"/>
  <c r="I534" i="7"/>
  <c r="J534" i="7"/>
  <c r="K534" i="7"/>
  <c r="L534" i="7"/>
  <c r="M534" i="7"/>
  <c r="D434" i="7"/>
  <c r="E434" i="7"/>
  <c r="F434" i="7"/>
  <c r="G434" i="7"/>
  <c r="H434" i="7"/>
  <c r="I434" i="7"/>
  <c r="J434" i="7"/>
  <c r="K434" i="7"/>
  <c r="L434" i="7"/>
  <c r="M434" i="7"/>
  <c r="D334" i="7"/>
  <c r="E334" i="7"/>
  <c r="F334" i="7"/>
  <c r="G334" i="7"/>
  <c r="H334" i="7"/>
  <c r="I334" i="7"/>
  <c r="J334" i="7"/>
  <c r="K334" i="7"/>
  <c r="L334" i="7"/>
  <c r="M334" i="7"/>
  <c r="D234" i="7"/>
  <c r="E234" i="7"/>
  <c r="F234" i="7"/>
  <c r="G234" i="7"/>
  <c r="H234" i="7"/>
  <c r="I234" i="7"/>
  <c r="J234" i="7"/>
  <c r="K234" i="7"/>
  <c r="L234" i="7"/>
  <c r="M234" i="7"/>
  <c r="D134" i="7"/>
  <c r="E134" i="7"/>
  <c r="F134" i="7"/>
  <c r="G134" i="7"/>
  <c r="H134" i="7"/>
  <c r="I134" i="7"/>
  <c r="J134" i="7"/>
  <c r="K134" i="7"/>
  <c r="L134" i="7"/>
  <c r="M134" i="7"/>
  <c r="D32" i="7"/>
  <c r="E32" i="7"/>
  <c r="F32" i="7"/>
  <c r="H32" i="7"/>
  <c r="I32" i="7"/>
  <c r="J32" i="7"/>
  <c r="K32" i="7"/>
  <c r="L32" i="7"/>
  <c r="M32" i="7"/>
  <c r="D634" i="7"/>
  <c r="E634" i="7"/>
  <c r="F634" i="7"/>
  <c r="G634" i="7"/>
  <c r="H634" i="7"/>
  <c r="I634" i="7"/>
  <c r="J634" i="7"/>
  <c r="K634" i="7"/>
  <c r="L634" i="7"/>
  <c r="M634" i="7"/>
  <c r="D533" i="7"/>
  <c r="E533" i="7"/>
  <c r="F533" i="7"/>
  <c r="G533" i="7"/>
  <c r="H533" i="7"/>
  <c r="I533" i="7"/>
  <c r="J533" i="7"/>
  <c r="K533" i="7"/>
  <c r="L533" i="7"/>
  <c r="M533" i="7"/>
  <c r="D433" i="7"/>
  <c r="E433" i="7"/>
  <c r="F433" i="7"/>
  <c r="G433" i="7"/>
  <c r="H433" i="7"/>
  <c r="I433" i="7"/>
  <c r="J433" i="7"/>
  <c r="K433" i="7"/>
  <c r="L433" i="7"/>
  <c r="M433" i="7"/>
  <c r="D333" i="7"/>
  <c r="E333" i="7"/>
  <c r="F333" i="7"/>
  <c r="G333" i="7"/>
  <c r="H333" i="7"/>
  <c r="I333" i="7"/>
  <c r="J333" i="7"/>
  <c r="K333" i="7"/>
  <c r="L333" i="7"/>
  <c r="M333" i="7"/>
  <c r="D233" i="7"/>
  <c r="E233" i="7"/>
  <c r="F233" i="7"/>
  <c r="G233" i="7"/>
  <c r="H233" i="7"/>
  <c r="I233" i="7"/>
  <c r="J233" i="7"/>
  <c r="K233" i="7"/>
  <c r="L233" i="7"/>
  <c r="M233" i="7"/>
  <c r="D133" i="7"/>
  <c r="E133" i="7"/>
  <c r="F133" i="7"/>
  <c r="G133" i="7"/>
  <c r="H133" i="7"/>
  <c r="I133" i="7"/>
  <c r="J133" i="7"/>
  <c r="K133" i="7"/>
  <c r="L133" i="7"/>
  <c r="M133" i="7"/>
  <c r="D31" i="7"/>
  <c r="E31" i="7"/>
  <c r="F31" i="7"/>
  <c r="H31" i="7"/>
  <c r="I31" i="7"/>
  <c r="J31" i="7"/>
  <c r="K31" i="7"/>
  <c r="L31" i="7"/>
  <c r="M31" i="7"/>
  <c r="D633" i="7"/>
  <c r="E633" i="7"/>
  <c r="F633" i="7"/>
  <c r="G633" i="7"/>
  <c r="H633" i="7"/>
  <c r="I633" i="7"/>
  <c r="J633" i="7"/>
  <c r="K633" i="7"/>
  <c r="L633" i="7"/>
  <c r="M633" i="7"/>
  <c r="D532" i="7"/>
  <c r="E532" i="7"/>
  <c r="F532" i="7"/>
  <c r="G532" i="7"/>
  <c r="H532" i="7"/>
  <c r="I532" i="7"/>
  <c r="J532" i="7"/>
  <c r="K532" i="7"/>
  <c r="L532" i="7"/>
  <c r="M532" i="7"/>
  <c r="D432" i="7"/>
  <c r="E432" i="7"/>
  <c r="F432" i="7"/>
  <c r="G432" i="7"/>
  <c r="H432" i="7"/>
  <c r="I432" i="7"/>
  <c r="J432" i="7"/>
  <c r="K432" i="7"/>
  <c r="L432" i="7"/>
  <c r="M432" i="7"/>
  <c r="D332" i="7"/>
  <c r="E332" i="7"/>
  <c r="F332" i="7"/>
  <c r="G332" i="7"/>
  <c r="H332" i="7"/>
  <c r="I332" i="7"/>
  <c r="J332" i="7"/>
  <c r="K332" i="7"/>
  <c r="L332" i="7"/>
  <c r="M332" i="7"/>
  <c r="D232" i="7"/>
  <c r="E232" i="7"/>
  <c r="F232" i="7"/>
  <c r="G232" i="7"/>
  <c r="H232" i="7"/>
  <c r="I232" i="7"/>
  <c r="J232" i="7"/>
  <c r="K232" i="7"/>
  <c r="L232" i="7"/>
  <c r="M232" i="7"/>
  <c r="D132" i="7"/>
  <c r="E132" i="7"/>
  <c r="F132" i="7"/>
  <c r="G132" i="7"/>
  <c r="H132" i="7"/>
  <c r="I132" i="7"/>
  <c r="J132" i="7"/>
  <c r="K132" i="7"/>
  <c r="L132" i="7"/>
  <c r="M132" i="7"/>
  <c r="D30" i="7"/>
  <c r="E30" i="7"/>
  <c r="F30" i="7"/>
  <c r="H30" i="7"/>
  <c r="I30" i="7"/>
  <c r="J30" i="7"/>
  <c r="K30" i="7"/>
  <c r="L30" i="7"/>
  <c r="M30" i="7"/>
  <c r="D632" i="7"/>
  <c r="E632" i="7"/>
  <c r="F632" i="7"/>
  <c r="G632" i="7"/>
  <c r="H632" i="7"/>
  <c r="I632" i="7"/>
  <c r="J632" i="7"/>
  <c r="K632" i="7"/>
  <c r="L632" i="7"/>
  <c r="M632" i="7"/>
  <c r="D531" i="7"/>
  <c r="E531" i="7"/>
  <c r="F531" i="7"/>
  <c r="G531" i="7"/>
  <c r="H531" i="7"/>
  <c r="I531" i="7"/>
  <c r="J531" i="7"/>
  <c r="K531" i="7"/>
  <c r="L531" i="7"/>
  <c r="M531" i="7"/>
  <c r="D431" i="7"/>
  <c r="E431" i="7"/>
  <c r="F431" i="7"/>
  <c r="G431" i="7"/>
  <c r="H431" i="7"/>
  <c r="I431" i="7"/>
  <c r="J431" i="7"/>
  <c r="K431" i="7"/>
  <c r="L431" i="7"/>
  <c r="M431" i="7"/>
  <c r="D331" i="7"/>
  <c r="E331" i="7"/>
  <c r="F331" i="7"/>
  <c r="G331" i="7"/>
  <c r="H331" i="7"/>
  <c r="I331" i="7"/>
  <c r="J331" i="7"/>
  <c r="K331" i="7"/>
  <c r="L331" i="7"/>
  <c r="M331" i="7"/>
  <c r="D231" i="7"/>
  <c r="E231" i="7"/>
  <c r="F231" i="7"/>
  <c r="G231" i="7"/>
  <c r="H231" i="7"/>
  <c r="I231" i="7"/>
  <c r="J231" i="7"/>
  <c r="K231" i="7"/>
  <c r="L231" i="7"/>
  <c r="M231" i="7"/>
  <c r="D131" i="7"/>
  <c r="E131" i="7"/>
  <c r="F131" i="7"/>
  <c r="G131" i="7"/>
  <c r="H131" i="7"/>
  <c r="I131" i="7"/>
  <c r="J131" i="7"/>
  <c r="K131" i="7"/>
  <c r="L131" i="7"/>
  <c r="M131" i="7"/>
  <c r="D29" i="7"/>
  <c r="E29" i="7"/>
  <c r="F29" i="7"/>
  <c r="H29" i="7"/>
  <c r="I29" i="7"/>
  <c r="J29" i="7"/>
  <c r="K29" i="7"/>
  <c r="L29" i="7"/>
  <c r="M29" i="7"/>
  <c r="D631" i="7"/>
  <c r="E631" i="7"/>
  <c r="F631" i="7"/>
  <c r="G631" i="7"/>
  <c r="H631" i="7"/>
  <c r="I631" i="7"/>
  <c r="J631" i="7"/>
  <c r="K631" i="7"/>
  <c r="L631" i="7"/>
  <c r="M631" i="7"/>
  <c r="D530" i="7"/>
  <c r="E530" i="7"/>
  <c r="F530" i="7"/>
  <c r="G530" i="7"/>
  <c r="H530" i="7"/>
  <c r="I530" i="7"/>
  <c r="J530" i="7"/>
  <c r="K530" i="7"/>
  <c r="L530" i="7"/>
  <c r="M530" i="7"/>
  <c r="D430" i="7"/>
  <c r="E430" i="7"/>
  <c r="F430" i="7"/>
  <c r="G430" i="7"/>
  <c r="H430" i="7"/>
  <c r="I430" i="7"/>
  <c r="J430" i="7"/>
  <c r="K430" i="7"/>
  <c r="L430" i="7"/>
  <c r="M430" i="7"/>
  <c r="D330" i="7"/>
  <c r="E330" i="7"/>
  <c r="F330" i="7"/>
  <c r="G330" i="7"/>
  <c r="H330" i="7"/>
  <c r="I330" i="7"/>
  <c r="J330" i="7"/>
  <c r="K330" i="7"/>
  <c r="L330" i="7"/>
  <c r="M330" i="7"/>
  <c r="D230" i="7"/>
  <c r="E230" i="7"/>
  <c r="F230" i="7"/>
  <c r="G230" i="7"/>
  <c r="H230" i="7"/>
  <c r="I230" i="7"/>
  <c r="J230" i="7"/>
  <c r="K230" i="7"/>
  <c r="L230" i="7"/>
  <c r="M230" i="7"/>
  <c r="D130" i="7"/>
  <c r="E130" i="7"/>
  <c r="F130" i="7"/>
  <c r="G130" i="7"/>
  <c r="H130" i="7"/>
  <c r="I130" i="7"/>
  <c r="J130" i="7"/>
  <c r="K130" i="7"/>
  <c r="L130" i="7"/>
  <c r="M130" i="7"/>
  <c r="D28" i="7"/>
  <c r="E28" i="7"/>
  <c r="F28" i="7"/>
  <c r="H28" i="7"/>
  <c r="I28" i="7"/>
  <c r="J28" i="7"/>
  <c r="K28" i="7"/>
  <c r="L28" i="7"/>
  <c r="M28" i="7"/>
  <c r="D630" i="7"/>
  <c r="E630" i="7"/>
  <c r="F630" i="7"/>
  <c r="G630" i="7"/>
  <c r="H630" i="7"/>
  <c r="I630" i="7"/>
  <c r="J630" i="7"/>
  <c r="K630" i="7"/>
  <c r="L630" i="7"/>
  <c r="M630" i="7"/>
  <c r="D529" i="7"/>
  <c r="E529" i="7"/>
  <c r="F529" i="7"/>
  <c r="G529" i="7"/>
  <c r="H529" i="7"/>
  <c r="I529" i="7"/>
  <c r="J529" i="7"/>
  <c r="K529" i="7"/>
  <c r="L529" i="7"/>
  <c r="M529" i="7"/>
  <c r="D429" i="7"/>
  <c r="E429" i="7"/>
  <c r="F429" i="7"/>
  <c r="G429" i="7"/>
  <c r="H429" i="7"/>
  <c r="I429" i="7"/>
  <c r="J429" i="7"/>
  <c r="K429" i="7"/>
  <c r="L429" i="7"/>
  <c r="M429" i="7"/>
  <c r="D329" i="7"/>
  <c r="E329" i="7"/>
  <c r="F329" i="7"/>
  <c r="G329" i="7"/>
  <c r="H329" i="7"/>
  <c r="I329" i="7"/>
  <c r="J329" i="7"/>
  <c r="K329" i="7"/>
  <c r="L329" i="7"/>
  <c r="M329" i="7"/>
  <c r="D229" i="7"/>
  <c r="E229" i="7"/>
  <c r="F229" i="7"/>
  <c r="G229" i="7"/>
  <c r="H229" i="7"/>
  <c r="I229" i="7"/>
  <c r="J229" i="7"/>
  <c r="K229" i="7"/>
  <c r="L229" i="7"/>
  <c r="M229" i="7"/>
  <c r="D129" i="7"/>
  <c r="E129" i="7"/>
  <c r="F129" i="7"/>
  <c r="G129" i="7"/>
  <c r="H129" i="7"/>
  <c r="I129" i="7"/>
  <c r="J129" i="7"/>
  <c r="K129" i="7"/>
  <c r="L129" i="7"/>
  <c r="M129" i="7"/>
  <c r="D128" i="7"/>
  <c r="E128" i="7"/>
  <c r="F128" i="7"/>
  <c r="G128" i="7"/>
  <c r="H128" i="7"/>
  <c r="I128" i="7"/>
  <c r="J128" i="7"/>
  <c r="K128" i="7"/>
  <c r="L128" i="7"/>
  <c r="M128" i="7"/>
  <c r="D27" i="7"/>
  <c r="E27" i="7"/>
  <c r="F27" i="7"/>
  <c r="H27" i="7"/>
  <c r="I27" i="7"/>
  <c r="J27" i="7"/>
  <c r="K27" i="7"/>
  <c r="L27" i="7"/>
  <c r="M27" i="7"/>
  <c r="D629" i="7"/>
  <c r="E629" i="7"/>
  <c r="F629" i="7"/>
  <c r="G629" i="7"/>
  <c r="H629" i="7"/>
  <c r="I629" i="7"/>
  <c r="J629" i="7"/>
  <c r="K629" i="7"/>
  <c r="L629" i="7"/>
  <c r="M629" i="7"/>
  <c r="D528" i="7"/>
  <c r="E528" i="7"/>
  <c r="F528" i="7"/>
  <c r="G528" i="7"/>
  <c r="H528" i="7"/>
  <c r="I528" i="7"/>
  <c r="J528" i="7"/>
  <c r="K528" i="7"/>
  <c r="L528" i="7"/>
  <c r="M528" i="7"/>
  <c r="D428" i="7"/>
  <c r="E428" i="7"/>
  <c r="F428" i="7"/>
  <c r="G428" i="7"/>
  <c r="H428" i="7"/>
  <c r="I428" i="7"/>
  <c r="J428" i="7"/>
  <c r="K428" i="7"/>
  <c r="L428" i="7"/>
  <c r="M428" i="7"/>
  <c r="D328" i="7"/>
  <c r="E328" i="7"/>
  <c r="F328" i="7"/>
  <c r="G328" i="7"/>
  <c r="H328" i="7"/>
  <c r="I328" i="7"/>
  <c r="J328" i="7"/>
  <c r="K328" i="7"/>
  <c r="L328" i="7"/>
  <c r="M328" i="7"/>
  <c r="D228" i="7"/>
  <c r="E228" i="7"/>
  <c r="F228" i="7"/>
  <c r="G228" i="7"/>
  <c r="H228" i="7"/>
  <c r="I228" i="7"/>
  <c r="J228" i="7"/>
  <c r="K228" i="7"/>
  <c r="L228" i="7"/>
  <c r="M228" i="7"/>
  <c r="D26" i="7"/>
  <c r="E26" i="7"/>
  <c r="F26" i="7"/>
  <c r="H26" i="7"/>
  <c r="I26" i="7"/>
  <c r="J26" i="7"/>
  <c r="K26" i="7"/>
  <c r="L26" i="7"/>
  <c r="M26" i="7"/>
  <c r="D25" i="7"/>
  <c r="E25" i="7"/>
  <c r="F25" i="7"/>
  <c r="H25" i="7"/>
  <c r="I25" i="7"/>
  <c r="J25" i="7"/>
  <c r="K25" i="7"/>
  <c r="L25" i="7"/>
  <c r="M25" i="7"/>
  <c r="D505" i="7"/>
  <c r="E505" i="7"/>
  <c r="F505" i="7"/>
  <c r="G505" i="7"/>
  <c r="H505" i="7"/>
  <c r="I505" i="7"/>
  <c r="J505" i="7"/>
  <c r="K505" i="7"/>
  <c r="L505" i="7"/>
  <c r="M505" i="7"/>
  <c r="D506" i="7"/>
  <c r="E506" i="7"/>
  <c r="F506" i="7"/>
  <c r="G506" i="7"/>
  <c r="H506" i="7"/>
  <c r="I506" i="7"/>
  <c r="J506" i="7"/>
  <c r="K506" i="7"/>
  <c r="L506" i="7"/>
  <c r="M506" i="7"/>
  <c r="D507" i="7"/>
  <c r="E507" i="7"/>
  <c r="F507" i="7"/>
  <c r="G507" i="7"/>
  <c r="H507" i="7"/>
  <c r="I507" i="7"/>
  <c r="J507" i="7"/>
  <c r="K507" i="7"/>
  <c r="L507" i="7"/>
  <c r="M507" i="7"/>
  <c r="D508" i="7"/>
  <c r="E508" i="7"/>
  <c r="F508" i="7"/>
  <c r="G508" i="7"/>
  <c r="H508" i="7"/>
  <c r="I508" i="7"/>
  <c r="J508" i="7"/>
  <c r="K508" i="7"/>
  <c r="L508" i="7"/>
  <c r="M508" i="7"/>
  <c r="D509" i="7"/>
  <c r="E509" i="7"/>
  <c r="F509" i="7"/>
  <c r="G509" i="7"/>
  <c r="H509" i="7"/>
  <c r="I509" i="7"/>
  <c r="J509" i="7"/>
  <c r="K509" i="7"/>
  <c r="L509" i="7"/>
  <c r="M509" i="7"/>
  <c r="D510" i="7"/>
  <c r="E510" i="7"/>
  <c r="F510" i="7"/>
  <c r="G510" i="7"/>
  <c r="H510" i="7"/>
  <c r="I510" i="7"/>
  <c r="J510" i="7"/>
  <c r="K510" i="7"/>
  <c r="L510" i="7"/>
  <c r="M510" i="7"/>
  <c r="D511" i="7"/>
  <c r="E511" i="7"/>
  <c r="F511" i="7"/>
  <c r="G511" i="7"/>
  <c r="H511" i="7"/>
  <c r="I511" i="7"/>
  <c r="J511" i="7"/>
  <c r="K511" i="7"/>
  <c r="L511" i="7"/>
  <c r="M511" i="7"/>
  <c r="D512" i="7"/>
  <c r="E512" i="7"/>
  <c r="F512" i="7"/>
  <c r="G512" i="7"/>
  <c r="H512" i="7"/>
  <c r="I512" i="7"/>
  <c r="J512" i="7"/>
  <c r="K512" i="7"/>
  <c r="L512" i="7"/>
  <c r="M512" i="7"/>
  <c r="D513" i="7"/>
  <c r="E513" i="7"/>
  <c r="F513" i="7"/>
  <c r="G513" i="7"/>
  <c r="H513" i="7"/>
  <c r="I513" i="7"/>
  <c r="J513" i="7"/>
  <c r="K513" i="7"/>
  <c r="L513" i="7"/>
  <c r="M513" i="7"/>
  <c r="D514" i="7"/>
  <c r="E514" i="7"/>
  <c r="F514" i="7"/>
  <c r="G514" i="7"/>
  <c r="H514" i="7"/>
  <c r="I514" i="7"/>
  <c r="J514" i="7"/>
  <c r="K514" i="7"/>
  <c r="L514" i="7"/>
  <c r="M514" i="7"/>
  <c r="D515" i="7"/>
  <c r="E515" i="7"/>
  <c r="F515" i="7"/>
  <c r="G515" i="7"/>
  <c r="H515" i="7"/>
  <c r="I515" i="7"/>
  <c r="J515" i="7"/>
  <c r="K515" i="7"/>
  <c r="L515" i="7"/>
  <c r="M515" i="7"/>
  <c r="D516" i="7"/>
  <c r="E516" i="7"/>
  <c r="F516" i="7"/>
  <c r="G516" i="7"/>
  <c r="H516" i="7"/>
  <c r="I516" i="7"/>
  <c r="J516" i="7"/>
  <c r="K516" i="7"/>
  <c r="L516" i="7"/>
  <c r="M516" i="7"/>
  <c r="D517" i="7"/>
  <c r="E517" i="7"/>
  <c r="F517" i="7"/>
  <c r="G517" i="7"/>
  <c r="H517" i="7"/>
  <c r="I517" i="7"/>
  <c r="J517" i="7"/>
  <c r="K517" i="7"/>
  <c r="L517" i="7"/>
  <c r="M517" i="7"/>
  <c r="D518" i="7"/>
  <c r="E518" i="7"/>
  <c r="F518" i="7"/>
  <c r="G518" i="7"/>
  <c r="H518" i="7"/>
  <c r="I518" i="7"/>
  <c r="J518" i="7"/>
  <c r="K518" i="7"/>
  <c r="L518" i="7"/>
  <c r="M518" i="7"/>
  <c r="D519" i="7"/>
  <c r="E519" i="7"/>
  <c r="F519" i="7"/>
  <c r="G519" i="7"/>
  <c r="H519" i="7"/>
  <c r="I519" i="7"/>
  <c r="J519" i="7"/>
  <c r="K519" i="7"/>
  <c r="L519" i="7"/>
  <c r="M519" i="7"/>
  <c r="D520" i="7"/>
  <c r="E520" i="7"/>
  <c r="F520" i="7"/>
  <c r="G520" i="7"/>
  <c r="H520" i="7"/>
  <c r="I520" i="7"/>
  <c r="J520" i="7"/>
  <c r="K520" i="7"/>
  <c r="L520" i="7"/>
  <c r="M520" i="7"/>
  <c r="D521" i="7"/>
  <c r="E521" i="7"/>
  <c r="F521" i="7"/>
  <c r="G521" i="7"/>
  <c r="H521" i="7"/>
  <c r="I521" i="7"/>
  <c r="J521" i="7"/>
  <c r="K521" i="7"/>
  <c r="L521" i="7"/>
  <c r="M521" i="7"/>
  <c r="D522" i="7"/>
  <c r="E522" i="7"/>
  <c r="F522" i="7"/>
  <c r="G522" i="7"/>
  <c r="H522" i="7"/>
  <c r="I522" i="7"/>
  <c r="J522" i="7"/>
  <c r="K522" i="7"/>
  <c r="L522" i="7"/>
  <c r="M522" i="7"/>
  <c r="D523" i="7"/>
  <c r="E523" i="7"/>
  <c r="F523" i="7"/>
  <c r="G523" i="7"/>
  <c r="H523" i="7"/>
  <c r="I523" i="7"/>
  <c r="J523" i="7"/>
  <c r="K523" i="7"/>
  <c r="L523" i="7"/>
  <c r="M523" i="7"/>
  <c r="D524" i="7"/>
  <c r="E524" i="7"/>
  <c r="F524" i="7"/>
  <c r="G524" i="7"/>
  <c r="H524" i="7"/>
  <c r="I524" i="7"/>
  <c r="J524" i="7"/>
  <c r="K524" i="7"/>
  <c r="L524" i="7"/>
  <c r="M524" i="7"/>
  <c r="D525" i="7"/>
  <c r="E525" i="7"/>
  <c r="F525" i="7"/>
  <c r="G525" i="7"/>
  <c r="H525" i="7"/>
  <c r="I525" i="7"/>
  <c r="J525" i="7"/>
  <c r="K525" i="7"/>
  <c r="L525" i="7"/>
  <c r="M525" i="7"/>
  <c r="D526" i="7"/>
  <c r="E526" i="7"/>
  <c r="F526" i="7"/>
  <c r="G526" i="7"/>
  <c r="H526" i="7"/>
  <c r="I526" i="7"/>
  <c r="J526" i="7"/>
  <c r="K526" i="7"/>
  <c r="L526" i="7"/>
  <c r="M526" i="7"/>
  <c r="D527" i="7"/>
  <c r="E527" i="7"/>
  <c r="F527" i="7"/>
  <c r="G527" i="7"/>
  <c r="H527" i="7"/>
  <c r="I527" i="7"/>
  <c r="J527" i="7"/>
  <c r="K527" i="7"/>
  <c r="L527" i="7"/>
  <c r="M527" i="7"/>
  <c r="E504" i="7"/>
  <c r="F504" i="7"/>
  <c r="G504" i="7"/>
  <c r="H504" i="7"/>
  <c r="I504" i="7"/>
  <c r="J504" i="7"/>
  <c r="K504" i="7"/>
  <c r="L504" i="7"/>
  <c r="M504" i="7"/>
  <c r="D504" i="7"/>
  <c r="E606" i="7"/>
  <c r="F606" i="7"/>
  <c r="G606" i="7"/>
  <c r="H606" i="7"/>
  <c r="I606" i="7"/>
  <c r="J606" i="7"/>
  <c r="K606" i="7"/>
  <c r="L606" i="7"/>
  <c r="M606" i="7"/>
  <c r="E607" i="7"/>
  <c r="F607" i="7"/>
  <c r="G607" i="7"/>
  <c r="H607" i="7"/>
  <c r="I607" i="7"/>
  <c r="J607" i="7"/>
  <c r="K607" i="7"/>
  <c r="L607" i="7"/>
  <c r="M607" i="7"/>
  <c r="E608" i="7"/>
  <c r="F608" i="7"/>
  <c r="G608" i="7"/>
  <c r="H608" i="7"/>
  <c r="I608" i="7"/>
  <c r="J608" i="7"/>
  <c r="K608" i="7"/>
  <c r="L608" i="7"/>
  <c r="M608" i="7"/>
  <c r="E609" i="7"/>
  <c r="F609" i="7"/>
  <c r="G609" i="7"/>
  <c r="H609" i="7"/>
  <c r="I609" i="7"/>
  <c r="J609" i="7"/>
  <c r="K609" i="7"/>
  <c r="L609" i="7"/>
  <c r="M609" i="7"/>
  <c r="E610" i="7"/>
  <c r="F610" i="7"/>
  <c r="G610" i="7"/>
  <c r="H610" i="7"/>
  <c r="I610" i="7"/>
  <c r="J610" i="7"/>
  <c r="K610" i="7"/>
  <c r="L610" i="7"/>
  <c r="M610" i="7"/>
  <c r="E611" i="7"/>
  <c r="F611" i="7"/>
  <c r="G611" i="7"/>
  <c r="H611" i="7"/>
  <c r="I611" i="7"/>
  <c r="J611" i="7"/>
  <c r="K611" i="7"/>
  <c r="L611" i="7"/>
  <c r="M611" i="7"/>
  <c r="E612" i="7"/>
  <c r="F612" i="7"/>
  <c r="G612" i="7"/>
  <c r="H612" i="7"/>
  <c r="I612" i="7"/>
  <c r="J612" i="7"/>
  <c r="K612" i="7"/>
  <c r="L612" i="7"/>
  <c r="M612" i="7"/>
  <c r="E613" i="7"/>
  <c r="F613" i="7"/>
  <c r="G613" i="7"/>
  <c r="H613" i="7"/>
  <c r="I613" i="7"/>
  <c r="J613" i="7"/>
  <c r="K613" i="7"/>
  <c r="L613" i="7"/>
  <c r="M613" i="7"/>
  <c r="E614" i="7"/>
  <c r="F614" i="7"/>
  <c r="G614" i="7"/>
  <c r="H614" i="7"/>
  <c r="I614" i="7"/>
  <c r="J614" i="7"/>
  <c r="K614" i="7"/>
  <c r="L614" i="7"/>
  <c r="M614" i="7"/>
  <c r="E615" i="7"/>
  <c r="F615" i="7"/>
  <c r="G615" i="7"/>
  <c r="H615" i="7"/>
  <c r="I615" i="7"/>
  <c r="J615" i="7"/>
  <c r="K615" i="7"/>
  <c r="L615" i="7"/>
  <c r="M615" i="7"/>
  <c r="E616" i="7"/>
  <c r="F616" i="7"/>
  <c r="G616" i="7"/>
  <c r="H616" i="7"/>
  <c r="I616" i="7"/>
  <c r="J616" i="7"/>
  <c r="K616" i="7"/>
  <c r="L616" i="7"/>
  <c r="M616" i="7"/>
  <c r="E617" i="7"/>
  <c r="F617" i="7"/>
  <c r="G617" i="7"/>
  <c r="H617" i="7"/>
  <c r="I617" i="7"/>
  <c r="J617" i="7"/>
  <c r="K617" i="7"/>
  <c r="L617" i="7"/>
  <c r="M617" i="7"/>
  <c r="E618" i="7"/>
  <c r="F618" i="7"/>
  <c r="G618" i="7"/>
  <c r="H618" i="7"/>
  <c r="I618" i="7"/>
  <c r="J618" i="7"/>
  <c r="K618" i="7"/>
  <c r="L618" i="7"/>
  <c r="M618" i="7"/>
  <c r="E619" i="7"/>
  <c r="F619" i="7"/>
  <c r="G619" i="7"/>
  <c r="H619" i="7"/>
  <c r="I619" i="7"/>
  <c r="J619" i="7"/>
  <c r="K619" i="7"/>
  <c r="L619" i="7"/>
  <c r="M619" i="7"/>
  <c r="E620" i="7"/>
  <c r="F620" i="7"/>
  <c r="G620" i="7"/>
  <c r="H620" i="7"/>
  <c r="I620" i="7"/>
  <c r="J620" i="7"/>
  <c r="K620" i="7"/>
  <c r="L620" i="7"/>
  <c r="M620" i="7"/>
  <c r="E621" i="7"/>
  <c r="F621" i="7"/>
  <c r="G621" i="7"/>
  <c r="H621" i="7"/>
  <c r="I621" i="7"/>
  <c r="J621" i="7"/>
  <c r="K621" i="7"/>
  <c r="L621" i="7"/>
  <c r="M621" i="7"/>
  <c r="E622" i="7"/>
  <c r="F622" i="7"/>
  <c r="G622" i="7"/>
  <c r="H622" i="7"/>
  <c r="I622" i="7"/>
  <c r="J622" i="7"/>
  <c r="K622" i="7"/>
  <c r="L622" i="7"/>
  <c r="M622" i="7"/>
  <c r="E623" i="7"/>
  <c r="F623" i="7"/>
  <c r="G623" i="7"/>
  <c r="H623" i="7"/>
  <c r="I623" i="7"/>
  <c r="J623" i="7"/>
  <c r="K623" i="7"/>
  <c r="L623" i="7"/>
  <c r="M623" i="7"/>
  <c r="E624" i="7"/>
  <c r="F624" i="7"/>
  <c r="G624" i="7"/>
  <c r="H624" i="7"/>
  <c r="I624" i="7"/>
  <c r="J624" i="7"/>
  <c r="K624" i="7"/>
  <c r="L624" i="7"/>
  <c r="M624" i="7"/>
  <c r="E625" i="7"/>
  <c r="F625" i="7"/>
  <c r="G625" i="7"/>
  <c r="H625" i="7"/>
  <c r="I625" i="7"/>
  <c r="J625" i="7"/>
  <c r="K625" i="7"/>
  <c r="L625" i="7"/>
  <c r="M625" i="7"/>
  <c r="E626" i="7"/>
  <c r="F626" i="7"/>
  <c r="G626" i="7"/>
  <c r="H626" i="7"/>
  <c r="I626" i="7"/>
  <c r="J626" i="7"/>
  <c r="K626" i="7"/>
  <c r="L626" i="7"/>
  <c r="M626" i="7"/>
  <c r="E627" i="7"/>
  <c r="F627" i="7"/>
  <c r="G627" i="7"/>
  <c r="H627" i="7"/>
  <c r="I627" i="7"/>
  <c r="J627" i="7"/>
  <c r="K627" i="7"/>
  <c r="L627" i="7"/>
  <c r="M627" i="7"/>
  <c r="E628" i="7"/>
  <c r="F628" i="7"/>
  <c r="G628" i="7"/>
  <c r="H628" i="7"/>
  <c r="I628" i="7"/>
  <c r="J628" i="7"/>
  <c r="K628" i="7"/>
  <c r="L628" i="7"/>
  <c r="M628" i="7"/>
  <c r="E605" i="7"/>
  <c r="F605" i="7"/>
  <c r="G605" i="7"/>
  <c r="H605" i="7"/>
  <c r="I605" i="7"/>
  <c r="J605" i="7"/>
  <c r="K605" i="7"/>
  <c r="L605" i="7"/>
  <c r="M605" i="7"/>
  <c r="D606" i="7"/>
  <c r="D607" i="7"/>
  <c r="D608" i="7"/>
  <c r="D609" i="7"/>
  <c r="D610" i="7"/>
  <c r="D611" i="7"/>
  <c r="D612" i="7"/>
  <c r="D613" i="7"/>
  <c r="D614" i="7"/>
  <c r="D615" i="7"/>
  <c r="D616" i="7"/>
  <c r="D617" i="7"/>
  <c r="D618" i="7"/>
  <c r="D619" i="7"/>
  <c r="D620" i="7"/>
  <c r="D621" i="7"/>
  <c r="D622" i="7"/>
  <c r="D623" i="7"/>
  <c r="D624" i="7"/>
  <c r="D625" i="7"/>
  <c r="D626" i="7"/>
  <c r="D627" i="7"/>
  <c r="D628" i="7"/>
  <c r="D605" i="7"/>
  <c r="D427" i="7"/>
  <c r="E427" i="7"/>
  <c r="F427" i="7"/>
  <c r="G427" i="7"/>
  <c r="H427" i="7"/>
  <c r="I427" i="7"/>
  <c r="J427" i="7"/>
  <c r="K427" i="7"/>
  <c r="L427" i="7"/>
  <c r="M427" i="7"/>
  <c r="D327" i="7"/>
  <c r="E327" i="7"/>
  <c r="F327" i="7"/>
  <c r="G327" i="7"/>
  <c r="H327" i="7"/>
  <c r="I327" i="7"/>
  <c r="J327" i="7"/>
  <c r="K327" i="7"/>
  <c r="L327" i="7"/>
  <c r="M327" i="7"/>
  <c r="D227" i="7"/>
  <c r="E227" i="7"/>
  <c r="F227" i="7"/>
  <c r="G227" i="7"/>
  <c r="H227" i="7"/>
  <c r="I227" i="7"/>
  <c r="J227" i="7"/>
  <c r="K227" i="7"/>
  <c r="L227" i="7"/>
  <c r="M227" i="7"/>
  <c r="D127" i="7"/>
  <c r="E127" i="7"/>
  <c r="F127" i="7"/>
  <c r="G127" i="7"/>
  <c r="H127" i="7"/>
  <c r="I127" i="7"/>
  <c r="J127" i="7"/>
  <c r="K127" i="7"/>
  <c r="L127" i="7"/>
  <c r="M127" i="7"/>
  <c r="D24" i="7"/>
  <c r="C582" i="6"/>
  <c r="C583" i="6"/>
  <c r="D767" i="6"/>
  <c r="D876" i="6" s="1"/>
  <c r="D779" i="6"/>
  <c r="D888" i="6" s="1"/>
  <c r="C581" i="6"/>
  <c r="D814" i="6"/>
  <c r="D813" i="6"/>
  <c r="D922" i="6" s="1"/>
  <c r="D812" i="6"/>
  <c r="D921" i="6" s="1"/>
  <c r="D811" i="6"/>
  <c r="D920" i="6" s="1"/>
  <c r="D810" i="6"/>
  <c r="D919" i="6" s="1"/>
  <c r="D809" i="6"/>
  <c r="D918" i="6" s="1"/>
  <c r="D808" i="6"/>
  <c r="D917" i="6" s="1"/>
  <c r="D807" i="6"/>
  <c r="D806" i="6"/>
  <c r="D915" i="6" s="1"/>
  <c r="D805" i="6"/>
  <c r="D914" i="6" s="1"/>
  <c r="D804" i="6"/>
  <c r="D913" i="6" s="1"/>
  <c r="D803" i="6"/>
  <c r="D912" i="6" s="1"/>
  <c r="D802" i="6"/>
  <c r="D911" i="6" s="1"/>
  <c r="D801" i="6"/>
  <c r="D910" i="6" s="1"/>
  <c r="D800" i="6"/>
  <c r="D799" i="6"/>
  <c r="D798" i="6"/>
  <c r="D907" i="6" s="1"/>
  <c r="D797" i="6"/>
  <c r="D906" i="6" s="1"/>
  <c r="D796" i="6"/>
  <c r="D905" i="6" s="1"/>
  <c r="D795" i="6"/>
  <c r="D904" i="6" s="1"/>
  <c r="D794" i="6"/>
  <c r="D903" i="6" s="1"/>
  <c r="D793" i="6"/>
  <c r="D902" i="6" s="1"/>
  <c r="D792" i="6"/>
  <c r="D791" i="6"/>
  <c r="D900" i="6" s="1"/>
  <c r="D790" i="6"/>
  <c r="D899" i="6" s="1"/>
  <c r="D789" i="6"/>
  <c r="D898" i="6" s="1"/>
  <c r="D788" i="6"/>
  <c r="D897" i="6" s="1"/>
  <c r="D787" i="6"/>
  <c r="D896" i="6" s="1"/>
  <c r="D786" i="6"/>
  <c r="D895" i="6" s="1"/>
  <c r="D785" i="6"/>
  <c r="D894" i="6" s="1"/>
  <c r="D784" i="6"/>
  <c r="D893" i="6" s="1"/>
  <c r="D783" i="6"/>
  <c r="D782" i="6"/>
  <c r="D891" i="6" s="1"/>
  <c r="D781" i="6"/>
  <c r="D890" i="6" s="1"/>
  <c r="D780" i="6"/>
  <c r="D889" i="6" s="1"/>
  <c r="D778" i="6"/>
  <c r="D887" i="6" s="1"/>
  <c r="D777" i="6"/>
  <c r="D886" i="6" s="1"/>
  <c r="D776" i="6"/>
  <c r="D885" i="6" s="1"/>
  <c r="D775" i="6"/>
  <c r="D884" i="6" s="1"/>
  <c r="D774" i="6"/>
  <c r="D883" i="6" s="1"/>
  <c r="D773" i="6"/>
  <c r="D882" i="6" s="1"/>
  <c r="D772" i="6"/>
  <c r="D881" i="6" s="1"/>
  <c r="D771" i="6"/>
  <c r="D880" i="6" s="1"/>
  <c r="D770" i="6"/>
  <c r="D879" i="6" s="1"/>
  <c r="D769" i="6"/>
  <c r="D878" i="6" s="1"/>
  <c r="D768" i="6"/>
  <c r="D877" i="6" s="1"/>
  <c r="M814" i="6"/>
  <c r="M923" i="6" s="1"/>
  <c r="L814" i="6"/>
  <c r="L923" i="6" s="1"/>
  <c r="K814" i="6"/>
  <c r="J814" i="6"/>
  <c r="J923" i="6" s="1"/>
  <c r="I814" i="6"/>
  <c r="I923" i="6" s="1"/>
  <c r="H814" i="6"/>
  <c r="H923" i="6" s="1"/>
  <c r="G814" i="6"/>
  <c r="G923" i="6" s="1"/>
  <c r="F814" i="6"/>
  <c r="F923" i="6" s="1"/>
  <c r="E814" i="6"/>
  <c r="E923" i="6" s="1"/>
  <c r="M813" i="6"/>
  <c r="L813" i="6"/>
  <c r="K813" i="6"/>
  <c r="K922" i="6" s="1"/>
  <c r="J813" i="6"/>
  <c r="J922" i="6" s="1"/>
  <c r="I813" i="6"/>
  <c r="I922" i="6" s="1"/>
  <c r="H813" i="6"/>
  <c r="G813" i="6"/>
  <c r="G922" i="6" s="1"/>
  <c r="F813" i="6"/>
  <c r="F922" i="6" s="1"/>
  <c r="E813" i="6"/>
  <c r="M812" i="6"/>
  <c r="L812" i="6"/>
  <c r="L921" i="6" s="1"/>
  <c r="K812" i="6"/>
  <c r="K921" i="6" s="1"/>
  <c r="J812" i="6"/>
  <c r="J921" i="6" s="1"/>
  <c r="I812" i="6"/>
  <c r="H812" i="6"/>
  <c r="H921" i="6" s="1"/>
  <c r="G812" i="6"/>
  <c r="G921" i="6" s="1"/>
  <c r="F812" i="6"/>
  <c r="E812" i="6"/>
  <c r="E921" i="6" s="1"/>
  <c r="M811" i="6"/>
  <c r="M920" i="6" s="1"/>
  <c r="L811" i="6"/>
  <c r="L920" i="6" s="1"/>
  <c r="K811" i="6"/>
  <c r="K920" i="6" s="1"/>
  <c r="J811" i="6"/>
  <c r="I811" i="6"/>
  <c r="H811" i="6"/>
  <c r="H920" i="6" s="1"/>
  <c r="G811" i="6"/>
  <c r="F811" i="6"/>
  <c r="F920" i="6" s="1"/>
  <c r="E811" i="6"/>
  <c r="E920" i="6" s="1"/>
  <c r="M810" i="6"/>
  <c r="M919" i="6" s="1"/>
  <c r="L810" i="6"/>
  <c r="L919" i="6" s="1"/>
  <c r="K810" i="6"/>
  <c r="K919" i="6" s="1"/>
  <c r="J810" i="6"/>
  <c r="J919" i="6" s="1"/>
  <c r="I810" i="6"/>
  <c r="I919" i="6" s="1"/>
  <c r="H810" i="6"/>
  <c r="G810" i="6"/>
  <c r="G919" i="6" s="1"/>
  <c r="F810" i="6"/>
  <c r="F919" i="6" s="1"/>
  <c r="E810" i="6"/>
  <c r="E919" i="6" s="1"/>
  <c r="M809" i="6"/>
  <c r="M918" i="6" s="1"/>
  <c r="L809" i="6"/>
  <c r="L918" i="6" s="1"/>
  <c r="K809" i="6"/>
  <c r="K918" i="6" s="1"/>
  <c r="J809" i="6"/>
  <c r="I809" i="6"/>
  <c r="I918" i="6" s="1"/>
  <c r="H809" i="6"/>
  <c r="H918" i="6" s="1"/>
  <c r="G809" i="6"/>
  <c r="G918" i="6" s="1"/>
  <c r="F809" i="6"/>
  <c r="F918" i="6" s="1"/>
  <c r="E809" i="6"/>
  <c r="E918" i="6" s="1"/>
  <c r="M808" i="6"/>
  <c r="M917" i="6" s="1"/>
  <c r="L808" i="6"/>
  <c r="L917" i="6" s="1"/>
  <c r="K808" i="6"/>
  <c r="K917" i="6" s="1"/>
  <c r="J808" i="6"/>
  <c r="J917" i="6" s="1"/>
  <c r="I808" i="6"/>
  <c r="I917" i="6" s="1"/>
  <c r="H808" i="6"/>
  <c r="H917" i="6" s="1"/>
  <c r="G808" i="6"/>
  <c r="F808" i="6"/>
  <c r="F917" i="6" s="1"/>
  <c r="E808" i="6"/>
  <c r="E917" i="6" s="1"/>
  <c r="M807" i="6"/>
  <c r="M916" i="6" s="1"/>
  <c r="L807" i="6"/>
  <c r="K807" i="6"/>
  <c r="K916" i="6" s="1"/>
  <c r="J807" i="6"/>
  <c r="J916" i="6" s="1"/>
  <c r="I807" i="6"/>
  <c r="I916" i="6" s="1"/>
  <c r="H807" i="6"/>
  <c r="H916" i="6" s="1"/>
  <c r="G807" i="6"/>
  <c r="G916" i="6" s="1"/>
  <c r="F807" i="6"/>
  <c r="F916" i="6" s="1"/>
  <c r="E807" i="6"/>
  <c r="M806" i="6"/>
  <c r="M915" i="6" s="1"/>
  <c r="L806" i="6"/>
  <c r="L915" i="6" s="1"/>
  <c r="K806" i="6"/>
  <c r="K915" i="6" s="1"/>
  <c r="J806" i="6"/>
  <c r="J915" i="6" s="1"/>
  <c r="I806" i="6"/>
  <c r="I915" i="6" s="1"/>
  <c r="H806" i="6"/>
  <c r="H915" i="6" s="1"/>
  <c r="G806" i="6"/>
  <c r="G915" i="6" s="1"/>
  <c r="F806" i="6"/>
  <c r="E806" i="6"/>
  <c r="E915" i="6" s="1"/>
  <c r="M805" i="6"/>
  <c r="M914" i="6" s="1"/>
  <c r="L805" i="6"/>
  <c r="L914" i="6" s="1"/>
  <c r="K805" i="6"/>
  <c r="K914" i="6" s="1"/>
  <c r="J805" i="6"/>
  <c r="I805" i="6"/>
  <c r="I914" i="6" s="1"/>
  <c r="H805" i="6"/>
  <c r="H914" i="6" s="1"/>
  <c r="G805" i="6"/>
  <c r="G914" i="6" s="1"/>
  <c r="F805" i="6"/>
  <c r="F914" i="6" s="1"/>
  <c r="E805" i="6"/>
  <c r="E914" i="6" s="1"/>
  <c r="M804" i="6"/>
  <c r="M913" i="6" s="1"/>
  <c r="L804" i="6"/>
  <c r="L913" i="6" s="1"/>
  <c r="K804" i="6"/>
  <c r="K913" i="6" s="1"/>
  <c r="J804" i="6"/>
  <c r="J913" i="6" s="1"/>
  <c r="I804" i="6"/>
  <c r="I913" i="6" s="1"/>
  <c r="H804" i="6"/>
  <c r="G804" i="6"/>
  <c r="G913" i="6" s="1"/>
  <c r="F804" i="6"/>
  <c r="F913" i="6" s="1"/>
  <c r="E804" i="6"/>
  <c r="E913" i="6" s="1"/>
  <c r="M803" i="6"/>
  <c r="M912" i="6" s="1"/>
  <c r="L803" i="6"/>
  <c r="K803" i="6"/>
  <c r="K912" i="6" s="1"/>
  <c r="J803" i="6"/>
  <c r="J912" i="6" s="1"/>
  <c r="I803" i="6"/>
  <c r="I912" i="6" s="1"/>
  <c r="H803" i="6"/>
  <c r="H912" i="6" s="1"/>
  <c r="G803" i="6"/>
  <c r="F803" i="6"/>
  <c r="F912" i="6" s="1"/>
  <c r="E803" i="6"/>
  <c r="M802" i="6"/>
  <c r="L802" i="6"/>
  <c r="L911" i="6" s="1"/>
  <c r="K802" i="6"/>
  <c r="K911" i="6" s="1"/>
  <c r="J802" i="6"/>
  <c r="I802" i="6"/>
  <c r="I911" i="6" s="1"/>
  <c r="H802" i="6"/>
  <c r="H911" i="6" s="1"/>
  <c r="G802" i="6"/>
  <c r="G911" i="6" s="1"/>
  <c r="F802" i="6"/>
  <c r="F911" i="6" s="1"/>
  <c r="E802" i="6"/>
  <c r="M801" i="6"/>
  <c r="M910" i="6" s="1"/>
  <c r="L801" i="6"/>
  <c r="L910" i="6" s="1"/>
  <c r="K801" i="6"/>
  <c r="K910" i="6" s="1"/>
  <c r="J801" i="6"/>
  <c r="J910" i="6" s="1"/>
  <c r="I801" i="6"/>
  <c r="I910" i="6" s="1"/>
  <c r="H801" i="6"/>
  <c r="H910" i="6" s="1"/>
  <c r="G801" i="6"/>
  <c r="F801" i="6"/>
  <c r="E801" i="6"/>
  <c r="E910" i="6" s="1"/>
  <c r="M800" i="6"/>
  <c r="M909" i="6" s="1"/>
  <c r="L800" i="6"/>
  <c r="L909" i="6" s="1"/>
  <c r="K800" i="6"/>
  <c r="K909" i="6" s="1"/>
  <c r="J800" i="6"/>
  <c r="J909" i="6" s="1"/>
  <c r="I800" i="6"/>
  <c r="I909" i="6" s="1"/>
  <c r="H800" i="6"/>
  <c r="G800" i="6"/>
  <c r="G909" i="6" s="1"/>
  <c r="F800" i="6"/>
  <c r="F909" i="6" s="1"/>
  <c r="E800" i="6"/>
  <c r="E909" i="6" s="1"/>
  <c r="M799" i="6"/>
  <c r="L799" i="6"/>
  <c r="L908" i="6" s="1"/>
  <c r="K799" i="6"/>
  <c r="K908" i="6" s="1"/>
  <c r="J799" i="6"/>
  <c r="J908" i="6" s="1"/>
  <c r="I799" i="6"/>
  <c r="I908" i="6" s="1"/>
  <c r="H799" i="6"/>
  <c r="H908" i="6" s="1"/>
  <c r="G799" i="6"/>
  <c r="G908" i="6" s="1"/>
  <c r="F799" i="6"/>
  <c r="F908" i="6" s="1"/>
  <c r="E799" i="6"/>
  <c r="E908" i="6" s="1"/>
  <c r="M798" i="6"/>
  <c r="M907" i="6" s="1"/>
  <c r="L798" i="6"/>
  <c r="L907" i="6" s="1"/>
  <c r="K798" i="6"/>
  <c r="K907" i="6" s="1"/>
  <c r="J798" i="6"/>
  <c r="I798" i="6"/>
  <c r="I907" i="6" s="1"/>
  <c r="H798" i="6"/>
  <c r="H907" i="6" s="1"/>
  <c r="G798" i="6"/>
  <c r="G907" i="6" s="1"/>
  <c r="F798" i="6"/>
  <c r="E798" i="6"/>
  <c r="E907" i="6" s="1"/>
  <c r="M797" i="6"/>
  <c r="M906" i="6" s="1"/>
  <c r="L797" i="6"/>
  <c r="L906" i="6" s="1"/>
  <c r="K797" i="6"/>
  <c r="J797" i="6"/>
  <c r="J906" i="6" s="1"/>
  <c r="I797" i="6"/>
  <c r="I906" i="6" s="1"/>
  <c r="H797" i="6"/>
  <c r="H906" i="6" s="1"/>
  <c r="G797" i="6"/>
  <c r="G906" i="6" s="1"/>
  <c r="F797" i="6"/>
  <c r="F906" i="6" s="1"/>
  <c r="E797" i="6"/>
  <c r="E906" i="6" s="1"/>
  <c r="M796" i="6"/>
  <c r="M905" i="6" s="1"/>
  <c r="L796" i="6"/>
  <c r="K796" i="6"/>
  <c r="J796" i="6"/>
  <c r="J905" i="6" s="1"/>
  <c r="I796" i="6"/>
  <c r="I905" i="6" s="1"/>
  <c r="H796" i="6"/>
  <c r="H905" i="6" s="1"/>
  <c r="G796" i="6"/>
  <c r="G905" i="6" s="1"/>
  <c r="F796" i="6"/>
  <c r="F905" i="6" s="1"/>
  <c r="E796" i="6"/>
  <c r="E905" i="6" s="1"/>
  <c r="M795" i="6"/>
  <c r="M904" i="6" s="1"/>
  <c r="L795" i="6"/>
  <c r="L904" i="6" s="1"/>
  <c r="K795" i="6"/>
  <c r="K904" i="6" s="1"/>
  <c r="J795" i="6"/>
  <c r="J904" i="6" s="1"/>
  <c r="I795" i="6"/>
  <c r="I904" i="6" s="1"/>
  <c r="H795" i="6"/>
  <c r="H904" i="6" s="1"/>
  <c r="G795" i="6"/>
  <c r="F795" i="6"/>
  <c r="F904" i="6" s="1"/>
  <c r="E795" i="6"/>
  <c r="E904" i="6" s="1"/>
  <c r="M794" i="6"/>
  <c r="L794" i="6"/>
  <c r="L903" i="6" s="1"/>
  <c r="K794" i="6"/>
  <c r="K903" i="6" s="1"/>
  <c r="J794" i="6"/>
  <c r="J903" i="6" s="1"/>
  <c r="I794" i="6"/>
  <c r="I903" i="6" s="1"/>
  <c r="H794" i="6"/>
  <c r="H903" i="6" s="1"/>
  <c r="G794" i="6"/>
  <c r="G903" i="6" s="1"/>
  <c r="F794" i="6"/>
  <c r="E794" i="6"/>
  <c r="M793" i="6"/>
  <c r="M902" i="6" s="1"/>
  <c r="L793" i="6"/>
  <c r="L902" i="6" s="1"/>
  <c r="K793" i="6"/>
  <c r="K902" i="6" s="1"/>
  <c r="J793" i="6"/>
  <c r="J902" i="6" s="1"/>
  <c r="I793" i="6"/>
  <c r="I902" i="6" s="1"/>
  <c r="H793" i="6"/>
  <c r="H902" i="6" s="1"/>
  <c r="G793" i="6"/>
  <c r="F793" i="6"/>
  <c r="F902" i="6" s="1"/>
  <c r="E793" i="6"/>
  <c r="E902" i="6" s="1"/>
  <c r="M792" i="6"/>
  <c r="M901" i="6" s="1"/>
  <c r="L792" i="6"/>
  <c r="L901" i="6" s="1"/>
  <c r="K792" i="6"/>
  <c r="K901" i="6" s="1"/>
  <c r="J792" i="6"/>
  <c r="J901" i="6" s="1"/>
  <c r="I792" i="6"/>
  <c r="I901" i="6" s="1"/>
  <c r="H792" i="6"/>
  <c r="G792" i="6"/>
  <c r="G901" i="6" s="1"/>
  <c r="F792" i="6"/>
  <c r="F901" i="6" s="1"/>
  <c r="E792" i="6"/>
  <c r="E901" i="6" s="1"/>
  <c r="M791" i="6"/>
  <c r="M900" i="6" s="1"/>
  <c r="L791" i="6"/>
  <c r="L900" i="6" s="1"/>
  <c r="K791" i="6"/>
  <c r="K900" i="6" s="1"/>
  <c r="J791" i="6"/>
  <c r="J900" i="6" s="1"/>
  <c r="I791" i="6"/>
  <c r="I900" i="6" s="1"/>
  <c r="H791" i="6"/>
  <c r="G791" i="6"/>
  <c r="F791" i="6"/>
  <c r="F900" i="6" s="1"/>
  <c r="E791" i="6"/>
  <c r="E900" i="6" s="1"/>
  <c r="M790" i="6"/>
  <c r="M899" i="6" s="1"/>
  <c r="L790" i="6"/>
  <c r="L899" i="6" s="1"/>
  <c r="K790" i="6"/>
  <c r="K899" i="6" s="1"/>
  <c r="J790" i="6"/>
  <c r="J899" i="6" s="1"/>
  <c r="I790" i="6"/>
  <c r="I899" i="6" s="1"/>
  <c r="H790" i="6"/>
  <c r="H899" i="6" s="1"/>
  <c r="G790" i="6"/>
  <c r="G899" i="6" s="1"/>
  <c r="F790" i="6"/>
  <c r="E790" i="6"/>
  <c r="E899" i="6" s="1"/>
  <c r="M789" i="6"/>
  <c r="M898" i="6" s="1"/>
  <c r="L789" i="6"/>
  <c r="L898" i="6" s="1"/>
  <c r="K789" i="6"/>
  <c r="J789" i="6"/>
  <c r="J898" i="6" s="1"/>
  <c r="I789" i="6"/>
  <c r="I898" i="6" s="1"/>
  <c r="H789" i="6"/>
  <c r="H898" i="6" s="1"/>
  <c r="G789" i="6"/>
  <c r="F789" i="6"/>
  <c r="F898" i="6" s="1"/>
  <c r="E789" i="6"/>
  <c r="E898" i="6" s="1"/>
  <c r="M788" i="6"/>
  <c r="M897" i="6" s="1"/>
  <c r="L788" i="6"/>
  <c r="K788" i="6"/>
  <c r="K897" i="6" s="1"/>
  <c r="J788" i="6"/>
  <c r="J897" i="6" s="1"/>
  <c r="I788" i="6"/>
  <c r="I897" i="6" s="1"/>
  <c r="H788" i="6"/>
  <c r="G788" i="6"/>
  <c r="G897" i="6" s="1"/>
  <c r="F788" i="6"/>
  <c r="F897" i="6" s="1"/>
  <c r="E788" i="6"/>
  <c r="E897" i="6" s="1"/>
  <c r="M787" i="6"/>
  <c r="M896" i="6" s="1"/>
  <c r="L787" i="6"/>
  <c r="K787" i="6"/>
  <c r="K896" i="6" s="1"/>
  <c r="J787" i="6"/>
  <c r="J896" i="6" s="1"/>
  <c r="I787" i="6"/>
  <c r="I896" i="6" s="1"/>
  <c r="H787" i="6"/>
  <c r="H896" i="6" s="1"/>
  <c r="G787" i="6"/>
  <c r="F787" i="6"/>
  <c r="E787" i="6"/>
  <c r="E896" i="6" s="1"/>
  <c r="M786" i="6"/>
  <c r="M895" i="6" s="1"/>
  <c r="L786" i="6"/>
  <c r="L895" i="6" s="1"/>
  <c r="K786" i="6"/>
  <c r="K895" i="6" s="1"/>
  <c r="J786" i="6"/>
  <c r="I786" i="6"/>
  <c r="I895" i="6" s="1"/>
  <c r="H786" i="6"/>
  <c r="H895" i="6" s="1"/>
  <c r="G786" i="6"/>
  <c r="G895" i="6" s="1"/>
  <c r="F786" i="6"/>
  <c r="E786" i="6"/>
  <c r="E895" i="6" s="1"/>
  <c r="M785" i="6"/>
  <c r="M894" i="6" s="1"/>
  <c r="L785" i="6"/>
  <c r="L894" i="6" s="1"/>
  <c r="K785" i="6"/>
  <c r="K894" i="6" s="1"/>
  <c r="J785" i="6"/>
  <c r="J894" i="6" s="1"/>
  <c r="I785" i="6"/>
  <c r="I894" i="6" s="1"/>
  <c r="H785" i="6"/>
  <c r="H894" i="6" s="1"/>
  <c r="G785" i="6"/>
  <c r="F785" i="6"/>
  <c r="F894" i="6" s="1"/>
  <c r="E785" i="6"/>
  <c r="E894" i="6" s="1"/>
  <c r="M784" i="6"/>
  <c r="M893" i="6" s="1"/>
  <c r="L784" i="6"/>
  <c r="L893" i="6" s="1"/>
  <c r="K784" i="6"/>
  <c r="K893" i="6" s="1"/>
  <c r="J784" i="6"/>
  <c r="J893" i="6" s="1"/>
  <c r="I784" i="6"/>
  <c r="I893" i="6" s="1"/>
  <c r="H784" i="6"/>
  <c r="H893" i="6" s="1"/>
  <c r="G784" i="6"/>
  <c r="G893" i="6" s="1"/>
  <c r="F784" i="6"/>
  <c r="F893" i="6" s="1"/>
  <c r="E784" i="6"/>
  <c r="E893" i="6" s="1"/>
  <c r="M783" i="6"/>
  <c r="L783" i="6"/>
  <c r="L892" i="6" s="1"/>
  <c r="K783" i="6"/>
  <c r="K892" i="6" s="1"/>
  <c r="J783" i="6"/>
  <c r="J892" i="6" s="1"/>
  <c r="I783" i="6"/>
  <c r="I892" i="6" s="1"/>
  <c r="H783" i="6"/>
  <c r="H892" i="6" s="1"/>
  <c r="G783" i="6"/>
  <c r="G892" i="6" s="1"/>
  <c r="F783" i="6"/>
  <c r="F892" i="6" s="1"/>
  <c r="E783" i="6"/>
  <c r="E892" i="6" s="1"/>
  <c r="M782" i="6"/>
  <c r="M891" i="6" s="1"/>
  <c r="L782" i="6"/>
  <c r="L891" i="6" s="1"/>
  <c r="K782" i="6"/>
  <c r="K891" i="6" s="1"/>
  <c r="J782" i="6"/>
  <c r="J891" i="6" s="1"/>
  <c r="I782" i="6"/>
  <c r="H782" i="6"/>
  <c r="H891" i="6" s="1"/>
  <c r="G782" i="6"/>
  <c r="G891" i="6" s="1"/>
  <c r="F782" i="6"/>
  <c r="F891" i="6" s="1"/>
  <c r="E782" i="6"/>
  <c r="E891" i="6" s="1"/>
  <c r="M781" i="6"/>
  <c r="M890" i="6" s="1"/>
  <c r="L781" i="6"/>
  <c r="L890" i="6" s="1"/>
  <c r="K781" i="6"/>
  <c r="J781" i="6"/>
  <c r="J890" i="6" s="1"/>
  <c r="I781" i="6"/>
  <c r="I890" i="6" s="1"/>
  <c r="H781" i="6"/>
  <c r="H890" i="6" s="1"/>
  <c r="G781" i="6"/>
  <c r="F781" i="6"/>
  <c r="F890" i="6" s="1"/>
  <c r="E781" i="6"/>
  <c r="E890" i="6" s="1"/>
  <c r="M780" i="6"/>
  <c r="M889" i="6" s="1"/>
  <c r="L780" i="6"/>
  <c r="K780" i="6"/>
  <c r="J780" i="6"/>
  <c r="J889" i="6" s="1"/>
  <c r="I780" i="6"/>
  <c r="I889" i="6" s="1"/>
  <c r="H780" i="6"/>
  <c r="H889" i="6" s="1"/>
  <c r="G780" i="6"/>
  <c r="G889" i="6" s="1"/>
  <c r="F780" i="6"/>
  <c r="F889" i="6" s="1"/>
  <c r="E780" i="6"/>
  <c r="E889" i="6" s="1"/>
  <c r="M779" i="6"/>
  <c r="M888" i="6" s="1"/>
  <c r="L779" i="6"/>
  <c r="K779" i="6"/>
  <c r="K888" i="6" s="1"/>
  <c r="J779" i="6"/>
  <c r="J888" i="6" s="1"/>
  <c r="I779" i="6"/>
  <c r="I888" i="6" s="1"/>
  <c r="H779" i="6"/>
  <c r="G779" i="6"/>
  <c r="G888" i="6" s="1"/>
  <c r="F779" i="6"/>
  <c r="F888" i="6" s="1"/>
  <c r="E779" i="6"/>
  <c r="E888" i="6" s="1"/>
  <c r="M778" i="6"/>
  <c r="M887" i="6" s="1"/>
  <c r="L778" i="6"/>
  <c r="L887" i="6" s="1"/>
  <c r="K778" i="6"/>
  <c r="K887" i="6" s="1"/>
  <c r="J778" i="6"/>
  <c r="J887" i="6" s="1"/>
  <c r="I778" i="6"/>
  <c r="I887" i="6" s="1"/>
  <c r="H778" i="6"/>
  <c r="H887" i="6" s="1"/>
  <c r="G778" i="6"/>
  <c r="G887" i="6" s="1"/>
  <c r="F778" i="6"/>
  <c r="F887" i="6" s="1"/>
  <c r="E778" i="6"/>
  <c r="E887" i="6" s="1"/>
  <c r="M777" i="6"/>
  <c r="M886" i="6" s="1"/>
  <c r="L777" i="6"/>
  <c r="L886" i="6" s="1"/>
  <c r="K777" i="6"/>
  <c r="K886" i="6" s="1"/>
  <c r="J777" i="6"/>
  <c r="J886" i="6" s="1"/>
  <c r="I777" i="6"/>
  <c r="I886" i="6" s="1"/>
  <c r="H777" i="6"/>
  <c r="H886" i="6" s="1"/>
  <c r="G777" i="6"/>
  <c r="G886" i="6" s="1"/>
  <c r="F777" i="6"/>
  <c r="F886" i="6" s="1"/>
  <c r="E777" i="6"/>
  <c r="E886" i="6" s="1"/>
  <c r="M776" i="6"/>
  <c r="M885" i="6" s="1"/>
  <c r="L776" i="6"/>
  <c r="L885" i="6" s="1"/>
  <c r="K776" i="6"/>
  <c r="K885" i="6" s="1"/>
  <c r="J776" i="6"/>
  <c r="J885" i="6" s="1"/>
  <c r="I776" i="6"/>
  <c r="I885" i="6" s="1"/>
  <c r="H776" i="6"/>
  <c r="H885" i="6" s="1"/>
  <c r="G776" i="6"/>
  <c r="G885" i="6" s="1"/>
  <c r="F776" i="6"/>
  <c r="F885" i="6" s="1"/>
  <c r="E776" i="6"/>
  <c r="E885" i="6" s="1"/>
  <c r="M775" i="6"/>
  <c r="M884" i="6" s="1"/>
  <c r="L775" i="6"/>
  <c r="L884" i="6" s="1"/>
  <c r="K775" i="6"/>
  <c r="K884" i="6" s="1"/>
  <c r="J775" i="6"/>
  <c r="J884" i="6" s="1"/>
  <c r="I775" i="6"/>
  <c r="I884" i="6" s="1"/>
  <c r="H775" i="6"/>
  <c r="H884" i="6" s="1"/>
  <c r="G775" i="6"/>
  <c r="G884" i="6" s="1"/>
  <c r="F775" i="6"/>
  <c r="F884" i="6" s="1"/>
  <c r="E775" i="6"/>
  <c r="E884" i="6" s="1"/>
  <c r="M774" i="6"/>
  <c r="M883" i="6" s="1"/>
  <c r="L774" i="6"/>
  <c r="L883" i="6" s="1"/>
  <c r="K774" i="6"/>
  <c r="K883" i="6" s="1"/>
  <c r="J774" i="6"/>
  <c r="J883" i="6" s="1"/>
  <c r="I774" i="6"/>
  <c r="I883" i="6" s="1"/>
  <c r="H774" i="6"/>
  <c r="H883" i="6" s="1"/>
  <c r="G774" i="6"/>
  <c r="G883" i="6" s="1"/>
  <c r="F774" i="6"/>
  <c r="F883" i="6" s="1"/>
  <c r="E774" i="6"/>
  <c r="M773" i="6"/>
  <c r="M882" i="6" s="1"/>
  <c r="L773" i="6"/>
  <c r="L882" i="6" s="1"/>
  <c r="K773" i="6"/>
  <c r="K882" i="6" s="1"/>
  <c r="J773" i="6"/>
  <c r="J882" i="6" s="1"/>
  <c r="I773" i="6"/>
  <c r="I882" i="6" s="1"/>
  <c r="H773" i="6"/>
  <c r="H882" i="6" s="1"/>
  <c r="G773" i="6"/>
  <c r="G882" i="6" s="1"/>
  <c r="F773" i="6"/>
  <c r="F882" i="6" s="1"/>
  <c r="E773" i="6"/>
  <c r="E882" i="6" s="1"/>
  <c r="M772" i="6"/>
  <c r="M881" i="6" s="1"/>
  <c r="L772" i="6"/>
  <c r="L881" i="6" s="1"/>
  <c r="K772" i="6"/>
  <c r="K881" i="6" s="1"/>
  <c r="J772" i="6"/>
  <c r="I772" i="6"/>
  <c r="I881" i="6" s="1"/>
  <c r="H772" i="6"/>
  <c r="H881" i="6" s="1"/>
  <c r="G772" i="6"/>
  <c r="G881" i="6" s="1"/>
  <c r="F772" i="6"/>
  <c r="F881" i="6" s="1"/>
  <c r="E772" i="6"/>
  <c r="E881" i="6" s="1"/>
  <c r="M771" i="6"/>
  <c r="M880" i="6" s="1"/>
  <c r="L771" i="6"/>
  <c r="L880" i="6" s="1"/>
  <c r="K771" i="6"/>
  <c r="K880" i="6" s="1"/>
  <c r="J771" i="6"/>
  <c r="J880" i="6" s="1"/>
  <c r="I771" i="6"/>
  <c r="I880" i="6" s="1"/>
  <c r="H771" i="6"/>
  <c r="H880" i="6" s="1"/>
  <c r="G771" i="6"/>
  <c r="G880" i="6" s="1"/>
  <c r="F771" i="6"/>
  <c r="F880" i="6" s="1"/>
  <c r="E771" i="6"/>
  <c r="E880" i="6" s="1"/>
  <c r="M770" i="6"/>
  <c r="M879" i="6" s="1"/>
  <c r="L770" i="6"/>
  <c r="L879" i="6" s="1"/>
  <c r="K770" i="6"/>
  <c r="K879" i="6" s="1"/>
  <c r="J770" i="6"/>
  <c r="J879" i="6" s="1"/>
  <c r="I770" i="6"/>
  <c r="I879" i="6" s="1"/>
  <c r="H770" i="6"/>
  <c r="H879" i="6" s="1"/>
  <c r="G770" i="6"/>
  <c r="G879" i="6" s="1"/>
  <c r="F770" i="6"/>
  <c r="F879" i="6" s="1"/>
  <c r="E770" i="6"/>
  <c r="E879" i="6" s="1"/>
  <c r="M769" i="6"/>
  <c r="M878" i="6" s="1"/>
  <c r="L769" i="6"/>
  <c r="L878" i="6" s="1"/>
  <c r="K769" i="6"/>
  <c r="K878" i="6" s="1"/>
  <c r="J769" i="6"/>
  <c r="J878" i="6" s="1"/>
  <c r="I769" i="6"/>
  <c r="I878" i="6" s="1"/>
  <c r="H769" i="6"/>
  <c r="H878" i="6" s="1"/>
  <c r="G769" i="6"/>
  <c r="G878" i="6" s="1"/>
  <c r="F769" i="6"/>
  <c r="F878" i="6" s="1"/>
  <c r="E769" i="6"/>
  <c r="E878" i="6" s="1"/>
  <c r="M768" i="6"/>
  <c r="M877" i="6" s="1"/>
  <c r="L768" i="6"/>
  <c r="L877" i="6" s="1"/>
  <c r="K768" i="6"/>
  <c r="J768" i="6"/>
  <c r="J877" i="6" s="1"/>
  <c r="I768" i="6"/>
  <c r="I877" i="6" s="1"/>
  <c r="H768" i="6"/>
  <c r="H877" i="6" s="1"/>
  <c r="G768" i="6"/>
  <c r="G877" i="6" s="1"/>
  <c r="F768" i="6"/>
  <c r="F877" i="6" s="1"/>
  <c r="E768" i="6"/>
  <c r="E877" i="6" s="1"/>
  <c r="M767" i="6"/>
  <c r="M876" i="6" s="1"/>
  <c r="L767" i="6"/>
  <c r="L876" i="6" s="1"/>
  <c r="K767" i="6"/>
  <c r="K876" i="6" s="1"/>
  <c r="J767" i="6"/>
  <c r="J876" i="6" s="1"/>
  <c r="I767" i="6"/>
  <c r="I876" i="6" s="1"/>
  <c r="H767" i="6"/>
  <c r="H876" i="6" s="1"/>
  <c r="G767" i="6"/>
  <c r="G876" i="6" s="1"/>
  <c r="F767" i="6"/>
  <c r="F876" i="6" s="1"/>
  <c r="E767" i="6"/>
  <c r="E876" i="6" s="1"/>
  <c r="C51" i="6"/>
  <c r="C50" i="6"/>
  <c r="C49" i="6"/>
  <c r="C48" i="6"/>
  <c r="C47" i="6"/>
  <c r="C46" i="6"/>
  <c r="C45" i="6"/>
  <c r="C44" i="6"/>
  <c r="C43" i="6"/>
  <c r="C42" i="6"/>
  <c r="C41" i="6"/>
  <c r="C40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595" i="6"/>
  <c r="C594" i="6"/>
  <c r="C593" i="6"/>
  <c r="C592" i="6"/>
  <c r="C590" i="6"/>
  <c r="C589" i="6"/>
  <c r="C588" i="6"/>
  <c r="C587" i="6"/>
  <c r="C586" i="6"/>
  <c r="C585" i="6"/>
  <c r="C584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705" i="6"/>
  <c r="C704" i="6"/>
  <c r="C703" i="6"/>
  <c r="C702" i="6"/>
  <c r="C701" i="6"/>
  <c r="C700" i="6"/>
  <c r="C699" i="6"/>
  <c r="C698" i="6"/>
  <c r="C697" i="6"/>
  <c r="C696" i="6"/>
  <c r="C695" i="6"/>
  <c r="C694" i="6"/>
  <c r="C693" i="6"/>
  <c r="C692" i="6"/>
  <c r="C691" i="6"/>
  <c r="C690" i="6"/>
  <c r="C689" i="6"/>
  <c r="C688" i="6"/>
  <c r="C687" i="6"/>
  <c r="C686" i="6"/>
  <c r="C685" i="6"/>
  <c r="C684" i="6"/>
  <c r="C683" i="6"/>
  <c r="C682" i="6"/>
  <c r="C681" i="6"/>
  <c r="C680" i="6"/>
  <c r="C679" i="6"/>
  <c r="C678" i="6"/>
  <c r="C677" i="6"/>
  <c r="C676" i="6"/>
  <c r="C675" i="6"/>
  <c r="C674" i="6"/>
  <c r="C673" i="6"/>
  <c r="C672" i="6"/>
  <c r="C671" i="6"/>
  <c r="C670" i="6"/>
  <c r="C669" i="6"/>
  <c r="C668" i="6"/>
  <c r="C667" i="6"/>
  <c r="C666" i="6"/>
  <c r="C665" i="6"/>
  <c r="C664" i="6"/>
  <c r="C663" i="6"/>
  <c r="C662" i="6"/>
  <c r="C661" i="6"/>
  <c r="C660" i="6"/>
  <c r="C659" i="6"/>
  <c r="C65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39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257" i="6"/>
  <c r="C331" i="6"/>
  <c r="C332" i="6"/>
  <c r="C333" i="6"/>
  <c r="C334" i="6"/>
  <c r="C335" i="6"/>
  <c r="C336" i="6"/>
  <c r="C337" i="6"/>
  <c r="C338" i="6"/>
  <c r="C339" i="6"/>
  <c r="C340" i="6"/>
  <c r="C341" i="6"/>
  <c r="C365" i="6"/>
  <c r="C474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D23" i="7"/>
  <c r="E23" i="7"/>
  <c r="F23" i="7"/>
  <c r="H23" i="7"/>
  <c r="I23" i="7"/>
  <c r="J23" i="7"/>
  <c r="K23" i="7"/>
  <c r="L23" i="7"/>
  <c r="M23" i="7"/>
  <c r="E24" i="7"/>
  <c r="F24" i="7"/>
  <c r="H24" i="7"/>
  <c r="I24" i="7"/>
  <c r="J24" i="7"/>
  <c r="K24" i="7"/>
  <c r="L24" i="7"/>
  <c r="M24" i="7"/>
  <c r="D125" i="7"/>
  <c r="E125" i="7"/>
  <c r="F125" i="7"/>
  <c r="G125" i="7"/>
  <c r="H125" i="7"/>
  <c r="I125" i="7"/>
  <c r="J125" i="7"/>
  <c r="K125" i="7"/>
  <c r="L125" i="7"/>
  <c r="M125" i="7"/>
  <c r="D126" i="7"/>
  <c r="E126" i="7"/>
  <c r="F126" i="7"/>
  <c r="G126" i="7"/>
  <c r="H126" i="7"/>
  <c r="I126" i="7"/>
  <c r="J126" i="7"/>
  <c r="K126" i="7"/>
  <c r="L126" i="7"/>
  <c r="M126" i="7"/>
  <c r="D225" i="7"/>
  <c r="E225" i="7"/>
  <c r="F225" i="7"/>
  <c r="G225" i="7"/>
  <c r="H225" i="7"/>
  <c r="I225" i="7"/>
  <c r="J225" i="7"/>
  <c r="K225" i="7"/>
  <c r="L225" i="7"/>
  <c r="M225" i="7"/>
  <c r="D226" i="7"/>
  <c r="E226" i="7"/>
  <c r="F226" i="7"/>
  <c r="G226" i="7"/>
  <c r="H226" i="7"/>
  <c r="I226" i="7"/>
  <c r="J226" i="7"/>
  <c r="K226" i="7"/>
  <c r="L226" i="7"/>
  <c r="M226" i="7"/>
  <c r="D325" i="7"/>
  <c r="E325" i="7"/>
  <c r="F325" i="7"/>
  <c r="G325" i="7"/>
  <c r="H325" i="7"/>
  <c r="I325" i="7"/>
  <c r="J325" i="7"/>
  <c r="K325" i="7"/>
  <c r="L325" i="7"/>
  <c r="M325" i="7"/>
  <c r="D326" i="7"/>
  <c r="E326" i="7"/>
  <c r="F326" i="7"/>
  <c r="G326" i="7"/>
  <c r="H326" i="7"/>
  <c r="I326" i="7"/>
  <c r="J326" i="7"/>
  <c r="K326" i="7"/>
  <c r="L326" i="7"/>
  <c r="M326" i="7"/>
  <c r="D425" i="7"/>
  <c r="E425" i="7"/>
  <c r="F425" i="7"/>
  <c r="G425" i="7"/>
  <c r="H425" i="7"/>
  <c r="I425" i="7"/>
  <c r="J425" i="7"/>
  <c r="K425" i="7"/>
  <c r="L425" i="7"/>
  <c r="M425" i="7"/>
  <c r="D426" i="7"/>
  <c r="E426" i="7"/>
  <c r="F426" i="7"/>
  <c r="G426" i="7"/>
  <c r="H426" i="7"/>
  <c r="I426" i="7"/>
  <c r="J426" i="7"/>
  <c r="K426" i="7"/>
  <c r="L426" i="7"/>
  <c r="M426" i="7"/>
  <c r="D424" i="7"/>
  <c r="E424" i="7"/>
  <c r="F424" i="7"/>
  <c r="G424" i="7"/>
  <c r="H424" i="7"/>
  <c r="I424" i="7"/>
  <c r="J424" i="7"/>
  <c r="K424" i="7"/>
  <c r="L424" i="7"/>
  <c r="M424" i="7"/>
  <c r="D324" i="7"/>
  <c r="E324" i="7"/>
  <c r="F324" i="7"/>
  <c r="G324" i="7"/>
  <c r="H324" i="7"/>
  <c r="I324" i="7"/>
  <c r="J324" i="7"/>
  <c r="K324" i="7"/>
  <c r="L324" i="7"/>
  <c r="M324" i="7"/>
  <c r="D224" i="7"/>
  <c r="E224" i="7"/>
  <c r="F224" i="7"/>
  <c r="G224" i="7"/>
  <c r="H224" i="7"/>
  <c r="I224" i="7"/>
  <c r="J224" i="7"/>
  <c r="K224" i="7"/>
  <c r="L224" i="7"/>
  <c r="M224" i="7"/>
  <c r="D124" i="7"/>
  <c r="E124" i="7"/>
  <c r="F124" i="7"/>
  <c r="G124" i="7"/>
  <c r="H124" i="7"/>
  <c r="I124" i="7"/>
  <c r="J124" i="7"/>
  <c r="K124" i="7"/>
  <c r="L124" i="7"/>
  <c r="M124" i="7"/>
  <c r="D22" i="7"/>
  <c r="E22" i="7"/>
  <c r="F22" i="7"/>
  <c r="H22" i="7"/>
  <c r="I22" i="7"/>
  <c r="J22" i="7"/>
  <c r="K22" i="7"/>
  <c r="L22" i="7"/>
  <c r="M22" i="7"/>
  <c r="D423" i="7"/>
  <c r="E423" i="7"/>
  <c r="F423" i="7"/>
  <c r="G423" i="7"/>
  <c r="H423" i="7"/>
  <c r="I423" i="7"/>
  <c r="J423" i="7"/>
  <c r="K423" i="7"/>
  <c r="L423" i="7"/>
  <c r="M423" i="7"/>
  <c r="D323" i="7"/>
  <c r="E323" i="7"/>
  <c r="F323" i="7"/>
  <c r="G323" i="7"/>
  <c r="H323" i="7"/>
  <c r="I323" i="7"/>
  <c r="J323" i="7"/>
  <c r="K323" i="7"/>
  <c r="L323" i="7"/>
  <c r="M323" i="7"/>
  <c r="D223" i="7"/>
  <c r="E223" i="7"/>
  <c r="F223" i="7"/>
  <c r="G223" i="7"/>
  <c r="H223" i="7"/>
  <c r="I223" i="7"/>
  <c r="J223" i="7"/>
  <c r="K223" i="7"/>
  <c r="L223" i="7"/>
  <c r="M223" i="7"/>
  <c r="D123" i="7"/>
  <c r="E123" i="7"/>
  <c r="F123" i="7"/>
  <c r="G123" i="7"/>
  <c r="H123" i="7"/>
  <c r="I123" i="7"/>
  <c r="J123" i="7"/>
  <c r="K123" i="7"/>
  <c r="L123" i="7"/>
  <c r="M123" i="7"/>
  <c r="D21" i="7"/>
  <c r="E21" i="7"/>
  <c r="F21" i="7"/>
  <c r="H21" i="7"/>
  <c r="I21" i="7"/>
  <c r="J21" i="7"/>
  <c r="K21" i="7"/>
  <c r="L21" i="7"/>
  <c r="M21" i="7"/>
  <c r="D322" i="7"/>
  <c r="E322" i="7"/>
  <c r="F322" i="7"/>
  <c r="G322" i="7"/>
  <c r="H322" i="7"/>
  <c r="I322" i="7"/>
  <c r="J322" i="7"/>
  <c r="K322" i="7"/>
  <c r="L322" i="7"/>
  <c r="M322" i="7"/>
  <c r="D222" i="7"/>
  <c r="E222" i="7"/>
  <c r="F222" i="7"/>
  <c r="G222" i="7"/>
  <c r="H222" i="7"/>
  <c r="I222" i="7"/>
  <c r="J222" i="7"/>
  <c r="K222" i="7"/>
  <c r="L222" i="7"/>
  <c r="M222" i="7"/>
  <c r="D122" i="7"/>
  <c r="E122" i="7"/>
  <c r="F122" i="7"/>
  <c r="G122" i="7"/>
  <c r="H122" i="7"/>
  <c r="I122" i="7"/>
  <c r="J122" i="7"/>
  <c r="K122" i="7"/>
  <c r="L122" i="7"/>
  <c r="M122" i="7"/>
  <c r="D20" i="7"/>
  <c r="E20" i="7"/>
  <c r="F20" i="7"/>
  <c r="H20" i="7"/>
  <c r="I20" i="7"/>
  <c r="J20" i="7"/>
  <c r="K20" i="7"/>
  <c r="L20" i="7"/>
  <c r="M20" i="7"/>
  <c r="D422" i="7"/>
  <c r="E422" i="7"/>
  <c r="F422" i="7"/>
  <c r="G422" i="7"/>
  <c r="H422" i="7"/>
  <c r="I422" i="7"/>
  <c r="J422" i="7"/>
  <c r="K422" i="7"/>
  <c r="L422" i="7"/>
  <c r="M422" i="7"/>
  <c r="D421" i="7"/>
  <c r="E421" i="7"/>
  <c r="F421" i="7"/>
  <c r="G421" i="7"/>
  <c r="H421" i="7"/>
  <c r="I421" i="7"/>
  <c r="J421" i="7"/>
  <c r="K421" i="7"/>
  <c r="L421" i="7"/>
  <c r="M421" i="7"/>
  <c r="D321" i="7"/>
  <c r="E321" i="7"/>
  <c r="F321" i="7"/>
  <c r="G321" i="7"/>
  <c r="H321" i="7"/>
  <c r="I321" i="7"/>
  <c r="J321" i="7"/>
  <c r="K321" i="7"/>
  <c r="L321" i="7"/>
  <c r="M321" i="7"/>
  <c r="D221" i="7"/>
  <c r="E221" i="7"/>
  <c r="F221" i="7"/>
  <c r="G221" i="7"/>
  <c r="H221" i="7"/>
  <c r="I221" i="7"/>
  <c r="J221" i="7"/>
  <c r="K221" i="7"/>
  <c r="L221" i="7"/>
  <c r="M221" i="7"/>
  <c r="D121" i="7"/>
  <c r="E121" i="7"/>
  <c r="F121" i="7"/>
  <c r="G121" i="7"/>
  <c r="H121" i="7"/>
  <c r="I121" i="7"/>
  <c r="J121" i="7"/>
  <c r="K121" i="7"/>
  <c r="L121" i="7"/>
  <c r="M121" i="7"/>
  <c r="D19" i="7"/>
  <c r="E19" i="7"/>
  <c r="F19" i="7"/>
  <c r="H19" i="7"/>
  <c r="I19" i="7"/>
  <c r="J19" i="7"/>
  <c r="K19" i="7"/>
  <c r="L19" i="7"/>
  <c r="M19" i="7"/>
  <c r="D420" i="7"/>
  <c r="E420" i="7"/>
  <c r="F420" i="7"/>
  <c r="G420" i="7"/>
  <c r="H420" i="7"/>
  <c r="I420" i="7"/>
  <c r="J420" i="7"/>
  <c r="K420" i="7"/>
  <c r="L420" i="7"/>
  <c r="M420" i="7"/>
  <c r="D320" i="7"/>
  <c r="E320" i="7"/>
  <c r="F320" i="7"/>
  <c r="G320" i="7"/>
  <c r="H320" i="7"/>
  <c r="I320" i="7"/>
  <c r="J320" i="7"/>
  <c r="K320" i="7"/>
  <c r="L320" i="7"/>
  <c r="M320" i="7"/>
  <c r="D220" i="7"/>
  <c r="E220" i="7"/>
  <c r="F220" i="7"/>
  <c r="G220" i="7"/>
  <c r="H220" i="7"/>
  <c r="I220" i="7"/>
  <c r="J220" i="7"/>
  <c r="K220" i="7"/>
  <c r="L220" i="7"/>
  <c r="M220" i="7"/>
  <c r="D120" i="7"/>
  <c r="E120" i="7"/>
  <c r="F120" i="7"/>
  <c r="G120" i="7"/>
  <c r="H120" i="7"/>
  <c r="I120" i="7"/>
  <c r="J120" i="7"/>
  <c r="K120" i="7"/>
  <c r="L120" i="7"/>
  <c r="M120" i="7"/>
  <c r="D18" i="7"/>
  <c r="E18" i="7"/>
  <c r="F18" i="7"/>
  <c r="H18" i="7"/>
  <c r="I18" i="7"/>
  <c r="J18" i="7"/>
  <c r="K18" i="7"/>
  <c r="L18" i="7"/>
  <c r="M18" i="7"/>
  <c r="D419" i="7"/>
  <c r="E419" i="7"/>
  <c r="F419" i="7"/>
  <c r="G419" i="7"/>
  <c r="H419" i="7"/>
  <c r="I419" i="7"/>
  <c r="J419" i="7"/>
  <c r="K419" i="7"/>
  <c r="L419" i="7"/>
  <c r="M419" i="7"/>
  <c r="D319" i="7"/>
  <c r="E319" i="7"/>
  <c r="F319" i="7"/>
  <c r="G319" i="7"/>
  <c r="H319" i="7"/>
  <c r="I319" i="7"/>
  <c r="J319" i="7"/>
  <c r="K319" i="7"/>
  <c r="L319" i="7"/>
  <c r="M319" i="7"/>
  <c r="D219" i="7"/>
  <c r="E219" i="7"/>
  <c r="F219" i="7"/>
  <c r="G219" i="7"/>
  <c r="H219" i="7"/>
  <c r="I219" i="7"/>
  <c r="J219" i="7"/>
  <c r="K219" i="7"/>
  <c r="L219" i="7"/>
  <c r="M219" i="7"/>
  <c r="D119" i="7"/>
  <c r="E119" i="7"/>
  <c r="F119" i="7"/>
  <c r="G119" i="7"/>
  <c r="H119" i="7"/>
  <c r="I119" i="7"/>
  <c r="J119" i="7"/>
  <c r="K119" i="7"/>
  <c r="L119" i="7"/>
  <c r="M119" i="7"/>
  <c r="D17" i="7"/>
  <c r="E17" i="7"/>
  <c r="F17" i="7"/>
  <c r="H17" i="7"/>
  <c r="I17" i="7"/>
  <c r="J17" i="7"/>
  <c r="K17" i="7"/>
  <c r="L17" i="7"/>
  <c r="M17" i="7"/>
  <c r="C139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22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40" i="6"/>
  <c r="C141" i="6"/>
  <c r="C142" i="6"/>
  <c r="C143" i="6"/>
  <c r="C144" i="6"/>
  <c r="C145" i="6"/>
  <c r="C146" i="6"/>
  <c r="C147" i="6"/>
  <c r="C148" i="6"/>
  <c r="D405" i="7"/>
  <c r="E405" i="7"/>
  <c r="F405" i="7"/>
  <c r="G405" i="7"/>
  <c r="H405" i="7"/>
  <c r="I405" i="7"/>
  <c r="J405" i="7"/>
  <c r="K405" i="7"/>
  <c r="L405" i="7"/>
  <c r="M405" i="7"/>
  <c r="D406" i="7"/>
  <c r="E406" i="7"/>
  <c r="F406" i="7"/>
  <c r="G406" i="7"/>
  <c r="H406" i="7"/>
  <c r="I406" i="7"/>
  <c r="J406" i="7"/>
  <c r="K406" i="7"/>
  <c r="L406" i="7"/>
  <c r="M406" i="7"/>
  <c r="D407" i="7"/>
  <c r="E407" i="7"/>
  <c r="F407" i="7"/>
  <c r="G407" i="7"/>
  <c r="H407" i="7"/>
  <c r="I407" i="7"/>
  <c r="J407" i="7"/>
  <c r="K407" i="7"/>
  <c r="L407" i="7"/>
  <c r="M407" i="7"/>
  <c r="D408" i="7"/>
  <c r="E408" i="7"/>
  <c r="F408" i="7"/>
  <c r="G408" i="7"/>
  <c r="H408" i="7"/>
  <c r="I408" i="7"/>
  <c r="J408" i="7"/>
  <c r="K408" i="7"/>
  <c r="L408" i="7"/>
  <c r="M408" i="7"/>
  <c r="D409" i="7"/>
  <c r="E409" i="7"/>
  <c r="F409" i="7"/>
  <c r="G409" i="7"/>
  <c r="H409" i="7"/>
  <c r="I409" i="7"/>
  <c r="J409" i="7"/>
  <c r="K409" i="7"/>
  <c r="L409" i="7"/>
  <c r="M409" i="7"/>
  <c r="D410" i="7"/>
  <c r="E410" i="7"/>
  <c r="F410" i="7"/>
  <c r="G410" i="7"/>
  <c r="H410" i="7"/>
  <c r="I410" i="7"/>
  <c r="J410" i="7"/>
  <c r="K410" i="7"/>
  <c r="L410" i="7"/>
  <c r="M410" i="7"/>
  <c r="D411" i="7"/>
  <c r="E411" i="7"/>
  <c r="F411" i="7"/>
  <c r="G411" i="7"/>
  <c r="H411" i="7"/>
  <c r="I411" i="7"/>
  <c r="J411" i="7"/>
  <c r="K411" i="7"/>
  <c r="L411" i="7"/>
  <c r="M411" i="7"/>
  <c r="D412" i="7"/>
  <c r="E412" i="7"/>
  <c r="F412" i="7"/>
  <c r="G412" i="7"/>
  <c r="H412" i="7"/>
  <c r="I412" i="7"/>
  <c r="J412" i="7"/>
  <c r="K412" i="7"/>
  <c r="L412" i="7"/>
  <c r="M412" i="7"/>
  <c r="D413" i="7"/>
  <c r="E413" i="7"/>
  <c r="F413" i="7"/>
  <c r="G413" i="7"/>
  <c r="H413" i="7"/>
  <c r="I413" i="7"/>
  <c r="J413" i="7"/>
  <c r="K413" i="7"/>
  <c r="L413" i="7"/>
  <c r="M413" i="7"/>
  <c r="D414" i="7"/>
  <c r="E414" i="7"/>
  <c r="F414" i="7"/>
  <c r="G414" i="7"/>
  <c r="H414" i="7"/>
  <c r="I414" i="7"/>
  <c r="J414" i="7"/>
  <c r="K414" i="7"/>
  <c r="L414" i="7"/>
  <c r="M414" i="7"/>
  <c r="D415" i="7"/>
  <c r="E415" i="7"/>
  <c r="F415" i="7"/>
  <c r="G415" i="7"/>
  <c r="H415" i="7"/>
  <c r="I415" i="7"/>
  <c r="J415" i="7"/>
  <c r="K415" i="7"/>
  <c r="L415" i="7"/>
  <c r="M415" i="7"/>
  <c r="D416" i="7"/>
  <c r="E416" i="7"/>
  <c r="F416" i="7"/>
  <c r="G416" i="7"/>
  <c r="H416" i="7"/>
  <c r="I416" i="7"/>
  <c r="J416" i="7"/>
  <c r="K416" i="7"/>
  <c r="L416" i="7"/>
  <c r="M416" i="7"/>
  <c r="D417" i="7"/>
  <c r="E417" i="7"/>
  <c r="F417" i="7"/>
  <c r="G417" i="7"/>
  <c r="H417" i="7"/>
  <c r="I417" i="7"/>
  <c r="J417" i="7"/>
  <c r="K417" i="7"/>
  <c r="L417" i="7"/>
  <c r="M417" i="7"/>
  <c r="D418" i="7"/>
  <c r="E418" i="7"/>
  <c r="F418" i="7"/>
  <c r="G418" i="7"/>
  <c r="H418" i="7"/>
  <c r="I418" i="7"/>
  <c r="J418" i="7"/>
  <c r="K418" i="7"/>
  <c r="L418" i="7"/>
  <c r="M418" i="7"/>
  <c r="E404" i="7"/>
  <c r="F404" i="7"/>
  <c r="G404" i="7"/>
  <c r="H404" i="7"/>
  <c r="I404" i="7"/>
  <c r="J404" i="7"/>
  <c r="K404" i="7"/>
  <c r="L404" i="7"/>
  <c r="M404" i="7"/>
  <c r="D404" i="7"/>
  <c r="D305" i="7"/>
  <c r="E305" i="7"/>
  <c r="F305" i="7"/>
  <c r="G305" i="7"/>
  <c r="H305" i="7"/>
  <c r="I305" i="7"/>
  <c r="J305" i="7"/>
  <c r="K305" i="7"/>
  <c r="L305" i="7"/>
  <c r="M305" i="7"/>
  <c r="D306" i="7"/>
  <c r="E306" i="7"/>
  <c r="F306" i="7"/>
  <c r="G306" i="7"/>
  <c r="H306" i="7"/>
  <c r="I306" i="7"/>
  <c r="J306" i="7"/>
  <c r="K306" i="7"/>
  <c r="L306" i="7"/>
  <c r="M306" i="7"/>
  <c r="D307" i="7"/>
  <c r="E307" i="7"/>
  <c r="F307" i="7"/>
  <c r="G307" i="7"/>
  <c r="H307" i="7"/>
  <c r="I307" i="7"/>
  <c r="J307" i="7"/>
  <c r="K307" i="7"/>
  <c r="L307" i="7"/>
  <c r="M307" i="7"/>
  <c r="D308" i="7"/>
  <c r="E308" i="7"/>
  <c r="F308" i="7"/>
  <c r="G308" i="7"/>
  <c r="H308" i="7"/>
  <c r="I308" i="7"/>
  <c r="J308" i="7"/>
  <c r="K308" i="7"/>
  <c r="L308" i="7"/>
  <c r="M308" i="7"/>
  <c r="D309" i="7"/>
  <c r="E309" i="7"/>
  <c r="F309" i="7"/>
  <c r="G309" i="7"/>
  <c r="H309" i="7"/>
  <c r="I309" i="7"/>
  <c r="J309" i="7"/>
  <c r="K309" i="7"/>
  <c r="L309" i="7"/>
  <c r="M309" i="7"/>
  <c r="D310" i="7"/>
  <c r="E310" i="7"/>
  <c r="F310" i="7"/>
  <c r="G310" i="7"/>
  <c r="H310" i="7"/>
  <c r="I310" i="7"/>
  <c r="J310" i="7"/>
  <c r="K310" i="7"/>
  <c r="L310" i="7"/>
  <c r="M310" i="7"/>
  <c r="D311" i="7"/>
  <c r="E311" i="7"/>
  <c r="F311" i="7"/>
  <c r="G311" i="7"/>
  <c r="H311" i="7"/>
  <c r="I311" i="7"/>
  <c r="J311" i="7"/>
  <c r="K311" i="7"/>
  <c r="L311" i="7"/>
  <c r="M311" i="7"/>
  <c r="D312" i="7"/>
  <c r="E312" i="7"/>
  <c r="F312" i="7"/>
  <c r="G312" i="7"/>
  <c r="H312" i="7"/>
  <c r="I312" i="7"/>
  <c r="J312" i="7"/>
  <c r="K312" i="7"/>
  <c r="L312" i="7"/>
  <c r="M312" i="7"/>
  <c r="D313" i="7"/>
  <c r="E313" i="7"/>
  <c r="F313" i="7"/>
  <c r="G313" i="7"/>
  <c r="H313" i="7"/>
  <c r="I313" i="7"/>
  <c r="J313" i="7"/>
  <c r="K313" i="7"/>
  <c r="L313" i="7"/>
  <c r="M313" i="7"/>
  <c r="D314" i="7"/>
  <c r="E314" i="7"/>
  <c r="F314" i="7"/>
  <c r="G314" i="7"/>
  <c r="H314" i="7"/>
  <c r="I314" i="7"/>
  <c r="J314" i="7"/>
  <c r="K314" i="7"/>
  <c r="L314" i="7"/>
  <c r="M314" i="7"/>
  <c r="D315" i="7"/>
  <c r="E315" i="7"/>
  <c r="F315" i="7"/>
  <c r="G315" i="7"/>
  <c r="H315" i="7"/>
  <c r="I315" i="7"/>
  <c r="J315" i="7"/>
  <c r="K315" i="7"/>
  <c r="L315" i="7"/>
  <c r="M315" i="7"/>
  <c r="D316" i="7"/>
  <c r="E316" i="7"/>
  <c r="F316" i="7"/>
  <c r="G316" i="7"/>
  <c r="H316" i="7"/>
  <c r="I316" i="7"/>
  <c r="J316" i="7"/>
  <c r="K316" i="7"/>
  <c r="L316" i="7"/>
  <c r="M316" i="7"/>
  <c r="D317" i="7"/>
  <c r="E317" i="7"/>
  <c r="F317" i="7"/>
  <c r="G317" i="7"/>
  <c r="H317" i="7"/>
  <c r="I317" i="7"/>
  <c r="J317" i="7"/>
  <c r="K317" i="7"/>
  <c r="L317" i="7"/>
  <c r="M317" i="7"/>
  <c r="D318" i="7"/>
  <c r="E318" i="7"/>
  <c r="F318" i="7"/>
  <c r="G318" i="7"/>
  <c r="H318" i="7"/>
  <c r="I318" i="7"/>
  <c r="J318" i="7"/>
  <c r="K318" i="7"/>
  <c r="L318" i="7"/>
  <c r="M318" i="7"/>
  <c r="E304" i="7"/>
  <c r="F304" i="7"/>
  <c r="G304" i="7"/>
  <c r="H304" i="7"/>
  <c r="I304" i="7"/>
  <c r="J304" i="7"/>
  <c r="K304" i="7"/>
  <c r="L304" i="7"/>
  <c r="M304" i="7"/>
  <c r="D304" i="7"/>
  <c r="D205" i="7"/>
  <c r="E205" i="7"/>
  <c r="F205" i="7"/>
  <c r="G205" i="7"/>
  <c r="H205" i="7"/>
  <c r="I205" i="7"/>
  <c r="J205" i="7"/>
  <c r="K205" i="7"/>
  <c r="L205" i="7"/>
  <c r="M205" i="7"/>
  <c r="D206" i="7"/>
  <c r="E206" i="7"/>
  <c r="F206" i="7"/>
  <c r="G206" i="7"/>
  <c r="H206" i="7"/>
  <c r="I206" i="7"/>
  <c r="J206" i="7"/>
  <c r="K206" i="7"/>
  <c r="L206" i="7"/>
  <c r="M206" i="7"/>
  <c r="D207" i="7"/>
  <c r="E207" i="7"/>
  <c r="F207" i="7"/>
  <c r="G207" i="7"/>
  <c r="H207" i="7"/>
  <c r="I207" i="7"/>
  <c r="J207" i="7"/>
  <c r="K207" i="7"/>
  <c r="L207" i="7"/>
  <c r="M207" i="7"/>
  <c r="D208" i="7"/>
  <c r="E208" i="7"/>
  <c r="F208" i="7"/>
  <c r="G208" i="7"/>
  <c r="H208" i="7"/>
  <c r="I208" i="7"/>
  <c r="J208" i="7"/>
  <c r="K208" i="7"/>
  <c r="L208" i="7"/>
  <c r="M208" i="7"/>
  <c r="D209" i="7"/>
  <c r="E209" i="7"/>
  <c r="F209" i="7"/>
  <c r="G209" i="7"/>
  <c r="H209" i="7"/>
  <c r="I209" i="7"/>
  <c r="J209" i="7"/>
  <c r="K209" i="7"/>
  <c r="L209" i="7"/>
  <c r="M209" i="7"/>
  <c r="D210" i="7"/>
  <c r="E210" i="7"/>
  <c r="F210" i="7"/>
  <c r="G210" i="7"/>
  <c r="H210" i="7"/>
  <c r="I210" i="7"/>
  <c r="J210" i="7"/>
  <c r="K210" i="7"/>
  <c r="L210" i="7"/>
  <c r="M210" i="7"/>
  <c r="D211" i="7"/>
  <c r="E211" i="7"/>
  <c r="F211" i="7"/>
  <c r="G211" i="7"/>
  <c r="H211" i="7"/>
  <c r="I211" i="7"/>
  <c r="J211" i="7"/>
  <c r="K211" i="7"/>
  <c r="L211" i="7"/>
  <c r="M211" i="7"/>
  <c r="D212" i="7"/>
  <c r="E212" i="7"/>
  <c r="F212" i="7"/>
  <c r="G212" i="7"/>
  <c r="H212" i="7"/>
  <c r="I212" i="7"/>
  <c r="J212" i="7"/>
  <c r="K212" i="7"/>
  <c r="L212" i="7"/>
  <c r="M212" i="7"/>
  <c r="D213" i="7"/>
  <c r="E213" i="7"/>
  <c r="F213" i="7"/>
  <c r="G213" i="7"/>
  <c r="H213" i="7"/>
  <c r="I213" i="7"/>
  <c r="J213" i="7"/>
  <c r="K213" i="7"/>
  <c r="L213" i="7"/>
  <c r="M213" i="7"/>
  <c r="D214" i="7"/>
  <c r="E214" i="7"/>
  <c r="F214" i="7"/>
  <c r="G214" i="7"/>
  <c r="H214" i="7"/>
  <c r="I214" i="7"/>
  <c r="J214" i="7"/>
  <c r="K214" i="7"/>
  <c r="L214" i="7"/>
  <c r="M214" i="7"/>
  <c r="D215" i="7"/>
  <c r="E215" i="7"/>
  <c r="F215" i="7"/>
  <c r="G215" i="7"/>
  <c r="H215" i="7"/>
  <c r="I215" i="7"/>
  <c r="J215" i="7"/>
  <c r="K215" i="7"/>
  <c r="L215" i="7"/>
  <c r="M215" i="7"/>
  <c r="D216" i="7"/>
  <c r="E216" i="7"/>
  <c r="F216" i="7"/>
  <c r="G216" i="7"/>
  <c r="H216" i="7"/>
  <c r="I216" i="7"/>
  <c r="J216" i="7"/>
  <c r="K216" i="7"/>
  <c r="L216" i="7"/>
  <c r="M216" i="7"/>
  <c r="D217" i="7"/>
  <c r="E217" i="7"/>
  <c r="F217" i="7"/>
  <c r="G217" i="7"/>
  <c r="H217" i="7"/>
  <c r="I217" i="7"/>
  <c r="J217" i="7"/>
  <c r="K217" i="7"/>
  <c r="L217" i="7"/>
  <c r="M217" i="7"/>
  <c r="D218" i="7"/>
  <c r="E218" i="7"/>
  <c r="F218" i="7"/>
  <c r="G218" i="7"/>
  <c r="H218" i="7"/>
  <c r="I218" i="7"/>
  <c r="J218" i="7"/>
  <c r="K218" i="7"/>
  <c r="L218" i="7"/>
  <c r="M218" i="7"/>
  <c r="E204" i="7"/>
  <c r="F204" i="7"/>
  <c r="G204" i="7"/>
  <c r="H204" i="7"/>
  <c r="I204" i="7"/>
  <c r="J204" i="7"/>
  <c r="K204" i="7"/>
  <c r="L204" i="7"/>
  <c r="M204" i="7"/>
  <c r="D204" i="7"/>
  <c r="D105" i="7"/>
  <c r="E105" i="7"/>
  <c r="F105" i="7"/>
  <c r="G105" i="7"/>
  <c r="H105" i="7"/>
  <c r="I105" i="7"/>
  <c r="J105" i="7"/>
  <c r="K105" i="7"/>
  <c r="L105" i="7"/>
  <c r="M105" i="7"/>
  <c r="D106" i="7"/>
  <c r="E106" i="7"/>
  <c r="F106" i="7"/>
  <c r="G106" i="7"/>
  <c r="H106" i="7"/>
  <c r="I106" i="7"/>
  <c r="J106" i="7"/>
  <c r="K106" i="7"/>
  <c r="L106" i="7"/>
  <c r="M106" i="7"/>
  <c r="D107" i="7"/>
  <c r="E107" i="7"/>
  <c r="F107" i="7"/>
  <c r="G107" i="7"/>
  <c r="H107" i="7"/>
  <c r="I107" i="7"/>
  <c r="J107" i="7"/>
  <c r="K107" i="7"/>
  <c r="L107" i="7"/>
  <c r="M107" i="7"/>
  <c r="D108" i="7"/>
  <c r="E108" i="7"/>
  <c r="F108" i="7"/>
  <c r="G108" i="7"/>
  <c r="H108" i="7"/>
  <c r="I108" i="7"/>
  <c r="J108" i="7"/>
  <c r="K108" i="7"/>
  <c r="L108" i="7"/>
  <c r="M108" i="7"/>
  <c r="D109" i="7"/>
  <c r="E109" i="7"/>
  <c r="F109" i="7"/>
  <c r="G109" i="7"/>
  <c r="H109" i="7"/>
  <c r="I109" i="7"/>
  <c r="J109" i="7"/>
  <c r="K109" i="7"/>
  <c r="L109" i="7"/>
  <c r="M109" i="7"/>
  <c r="D110" i="7"/>
  <c r="E110" i="7"/>
  <c r="F110" i="7"/>
  <c r="G110" i="7"/>
  <c r="H110" i="7"/>
  <c r="I110" i="7"/>
  <c r="J110" i="7"/>
  <c r="K110" i="7"/>
  <c r="L110" i="7"/>
  <c r="M110" i="7"/>
  <c r="D111" i="7"/>
  <c r="E111" i="7"/>
  <c r="F111" i="7"/>
  <c r="G111" i="7"/>
  <c r="H111" i="7"/>
  <c r="I111" i="7"/>
  <c r="J111" i="7"/>
  <c r="K111" i="7"/>
  <c r="L111" i="7"/>
  <c r="M111" i="7"/>
  <c r="D112" i="7"/>
  <c r="E112" i="7"/>
  <c r="F112" i="7"/>
  <c r="G112" i="7"/>
  <c r="H112" i="7"/>
  <c r="I112" i="7"/>
  <c r="J112" i="7"/>
  <c r="K112" i="7"/>
  <c r="L112" i="7"/>
  <c r="M112" i="7"/>
  <c r="D113" i="7"/>
  <c r="E113" i="7"/>
  <c r="F113" i="7"/>
  <c r="G113" i="7"/>
  <c r="H113" i="7"/>
  <c r="I113" i="7"/>
  <c r="J113" i="7"/>
  <c r="K113" i="7"/>
  <c r="L113" i="7"/>
  <c r="M113" i="7"/>
  <c r="D114" i="7"/>
  <c r="E114" i="7"/>
  <c r="F114" i="7"/>
  <c r="G114" i="7"/>
  <c r="H114" i="7"/>
  <c r="I114" i="7"/>
  <c r="J114" i="7"/>
  <c r="K114" i="7"/>
  <c r="L114" i="7"/>
  <c r="M114" i="7"/>
  <c r="D115" i="7"/>
  <c r="E115" i="7"/>
  <c r="F115" i="7"/>
  <c r="G115" i="7"/>
  <c r="H115" i="7"/>
  <c r="I115" i="7"/>
  <c r="J115" i="7"/>
  <c r="K115" i="7"/>
  <c r="L115" i="7"/>
  <c r="M115" i="7"/>
  <c r="D116" i="7"/>
  <c r="E116" i="7"/>
  <c r="F116" i="7"/>
  <c r="G116" i="7"/>
  <c r="H116" i="7"/>
  <c r="I116" i="7"/>
  <c r="J116" i="7"/>
  <c r="K116" i="7"/>
  <c r="L116" i="7"/>
  <c r="M116" i="7"/>
  <c r="D117" i="7"/>
  <c r="E117" i="7"/>
  <c r="F117" i="7"/>
  <c r="G117" i="7"/>
  <c r="H117" i="7"/>
  <c r="I117" i="7"/>
  <c r="J117" i="7"/>
  <c r="K117" i="7"/>
  <c r="L117" i="7"/>
  <c r="M117" i="7"/>
  <c r="D118" i="7"/>
  <c r="E118" i="7"/>
  <c r="F118" i="7"/>
  <c r="G118" i="7"/>
  <c r="H118" i="7"/>
  <c r="I118" i="7"/>
  <c r="J118" i="7"/>
  <c r="K118" i="7"/>
  <c r="L118" i="7"/>
  <c r="M118" i="7"/>
  <c r="E104" i="7"/>
  <c r="F104" i="7"/>
  <c r="G104" i="7"/>
  <c r="H104" i="7"/>
  <c r="I104" i="7"/>
  <c r="J104" i="7"/>
  <c r="K104" i="7"/>
  <c r="L104" i="7"/>
  <c r="M104" i="7"/>
  <c r="D104" i="7"/>
  <c r="D3" i="7"/>
  <c r="E3" i="7"/>
  <c r="F3" i="7"/>
  <c r="H3" i="7"/>
  <c r="I3" i="7"/>
  <c r="J3" i="7"/>
  <c r="K3" i="7"/>
  <c r="L3" i="7"/>
  <c r="M3" i="7"/>
  <c r="D4" i="7"/>
  <c r="E4" i="7"/>
  <c r="F4" i="7"/>
  <c r="H4" i="7"/>
  <c r="I4" i="7"/>
  <c r="J4" i="7"/>
  <c r="K4" i="7"/>
  <c r="L4" i="7"/>
  <c r="M4" i="7"/>
  <c r="D5" i="7"/>
  <c r="E5" i="7"/>
  <c r="F5" i="7"/>
  <c r="H5" i="7"/>
  <c r="I5" i="7"/>
  <c r="J5" i="7"/>
  <c r="K5" i="7"/>
  <c r="L5" i="7"/>
  <c r="M5" i="7"/>
  <c r="D6" i="7"/>
  <c r="E6" i="7"/>
  <c r="F6" i="7"/>
  <c r="H6" i="7"/>
  <c r="I6" i="7"/>
  <c r="J6" i="7"/>
  <c r="K6" i="7"/>
  <c r="L6" i="7"/>
  <c r="M6" i="7"/>
  <c r="E7" i="7"/>
  <c r="F7" i="7"/>
  <c r="H7" i="7"/>
  <c r="I7" i="7"/>
  <c r="J7" i="7"/>
  <c r="K7" i="7"/>
  <c r="L7" i="7"/>
  <c r="M7" i="7"/>
  <c r="D8" i="7"/>
  <c r="E8" i="7"/>
  <c r="F8" i="7"/>
  <c r="H8" i="7"/>
  <c r="I8" i="7"/>
  <c r="J8" i="7"/>
  <c r="K8" i="7"/>
  <c r="L8" i="7"/>
  <c r="M8" i="7"/>
  <c r="D9" i="7"/>
  <c r="E9" i="7"/>
  <c r="F9" i="7"/>
  <c r="H9" i="7"/>
  <c r="I9" i="7"/>
  <c r="J9" i="7"/>
  <c r="K9" i="7"/>
  <c r="L9" i="7"/>
  <c r="M9" i="7"/>
  <c r="D10" i="7"/>
  <c r="E10" i="7"/>
  <c r="F10" i="7"/>
  <c r="H10" i="7"/>
  <c r="I10" i="7"/>
  <c r="J10" i="7"/>
  <c r="K10" i="7"/>
  <c r="L10" i="7"/>
  <c r="M10" i="7"/>
  <c r="D11" i="7"/>
  <c r="E11" i="7"/>
  <c r="F11" i="7"/>
  <c r="H11" i="7"/>
  <c r="I11" i="7"/>
  <c r="J11" i="7"/>
  <c r="K11" i="7"/>
  <c r="L11" i="7"/>
  <c r="M11" i="7"/>
  <c r="D12" i="7"/>
  <c r="E12" i="7"/>
  <c r="F12" i="7"/>
  <c r="H12" i="7"/>
  <c r="I12" i="7"/>
  <c r="J12" i="7"/>
  <c r="K12" i="7"/>
  <c r="L12" i="7"/>
  <c r="M12" i="7"/>
  <c r="D13" i="7"/>
  <c r="E13" i="7"/>
  <c r="F13" i="7"/>
  <c r="H13" i="7"/>
  <c r="I13" i="7"/>
  <c r="J13" i="7"/>
  <c r="K13" i="7"/>
  <c r="L13" i="7"/>
  <c r="M13" i="7"/>
  <c r="D14" i="7"/>
  <c r="E14" i="7"/>
  <c r="F14" i="7"/>
  <c r="H14" i="7"/>
  <c r="I14" i="7"/>
  <c r="J14" i="7"/>
  <c r="K14" i="7"/>
  <c r="L14" i="7"/>
  <c r="M14" i="7"/>
  <c r="D15" i="7"/>
  <c r="E15" i="7"/>
  <c r="F15" i="7"/>
  <c r="H15" i="7"/>
  <c r="I15" i="7"/>
  <c r="J15" i="7"/>
  <c r="K15" i="7"/>
  <c r="L15" i="7"/>
  <c r="M15" i="7"/>
  <c r="D16" i="7"/>
  <c r="E16" i="7"/>
  <c r="F16" i="7"/>
  <c r="H16" i="7"/>
  <c r="I16" i="7"/>
  <c r="J16" i="7"/>
  <c r="K16" i="7"/>
  <c r="L16" i="7"/>
  <c r="M16" i="7"/>
  <c r="E2" i="7"/>
  <c r="F2" i="7"/>
  <c r="H2" i="7"/>
  <c r="I2" i="7"/>
  <c r="J2" i="7"/>
  <c r="K2" i="7"/>
  <c r="L2" i="7"/>
  <c r="M2" i="7"/>
  <c r="D2" i="7"/>
  <c r="C115" i="4"/>
  <c r="B115" i="4"/>
  <c r="C114" i="4"/>
  <c r="B114" i="4"/>
  <c r="C99" i="4"/>
  <c r="B99" i="4"/>
  <c r="C98" i="4"/>
  <c r="B98" i="4"/>
  <c r="C83" i="4"/>
  <c r="B83" i="4"/>
  <c r="C82" i="4"/>
  <c r="B82" i="4"/>
  <c r="C67" i="4"/>
  <c r="B67" i="4"/>
  <c r="C66" i="4"/>
  <c r="B66" i="4"/>
  <c r="C51" i="4"/>
  <c r="B51" i="4"/>
  <c r="C50" i="4"/>
  <c r="B50" i="4"/>
  <c r="C35" i="4"/>
  <c r="B35" i="4"/>
  <c r="C34" i="4"/>
  <c r="B34" i="4"/>
  <c r="C19" i="4"/>
  <c r="B19" i="4"/>
  <c r="C18" i="4"/>
  <c r="B18" i="4"/>
  <c r="C3" i="4"/>
  <c r="C2" i="4"/>
  <c r="B3" i="4"/>
  <c r="B2" i="4"/>
  <c r="B2" i="3"/>
  <c r="C3" i="3"/>
  <c r="C2" i="3"/>
  <c r="B3" i="3"/>
  <c r="H7" i="2"/>
  <c r="H20" i="2"/>
  <c r="I20" i="2"/>
  <c r="H8" i="2"/>
  <c r="H21" i="2"/>
  <c r="I21" i="2"/>
  <c r="H9" i="2"/>
  <c r="H22" i="2"/>
  <c r="I22" i="2"/>
  <c r="H10" i="2"/>
  <c r="H23" i="2"/>
  <c r="I23" i="2"/>
  <c r="H11" i="2"/>
  <c r="H24" i="2"/>
  <c r="I24" i="2"/>
  <c r="H12" i="2"/>
  <c r="H25" i="2"/>
  <c r="I25" i="2"/>
  <c r="H13" i="2"/>
  <c r="H26" i="2"/>
  <c r="I26" i="2"/>
  <c r="H6" i="2"/>
  <c r="H19" i="2"/>
  <c r="I19" i="2"/>
  <c r="H5" i="2"/>
  <c r="H18" i="2"/>
  <c r="I18" i="2"/>
  <c r="G26" i="2"/>
  <c r="E26" i="2"/>
  <c r="G25" i="2"/>
  <c r="E25" i="2"/>
  <c r="G24" i="2"/>
  <c r="E24" i="2"/>
  <c r="G23" i="2"/>
  <c r="E23" i="2"/>
  <c r="G22" i="2"/>
  <c r="E22" i="2"/>
  <c r="G21" i="2"/>
  <c r="E21" i="2"/>
  <c r="G20" i="2"/>
  <c r="E20" i="2"/>
  <c r="G19" i="2"/>
  <c r="E19" i="2"/>
  <c r="G18" i="2"/>
  <c r="E18" i="2"/>
  <c r="G13" i="2"/>
  <c r="E13" i="2"/>
  <c r="I13" i="2"/>
  <c r="G12" i="2"/>
  <c r="E12" i="2"/>
  <c r="I12" i="2"/>
  <c r="G11" i="2"/>
  <c r="E11" i="2"/>
  <c r="I11" i="2"/>
  <c r="G10" i="2"/>
  <c r="E10" i="2"/>
  <c r="I10" i="2"/>
  <c r="G9" i="2"/>
  <c r="E9" i="2"/>
  <c r="I9" i="2"/>
  <c r="G8" i="2"/>
  <c r="E8" i="2"/>
  <c r="I8" i="2"/>
  <c r="E7" i="2"/>
  <c r="I7" i="2"/>
  <c r="G6" i="2"/>
  <c r="E6" i="2"/>
  <c r="I6" i="2"/>
  <c r="G5" i="2"/>
  <c r="E5" i="2"/>
  <c r="I5" i="2"/>
  <c r="Q13" i="1"/>
  <c r="Q14" i="1"/>
  <c r="Q12" i="1"/>
  <c r="Q7" i="1"/>
  <c r="Q8" i="1"/>
  <c r="Q9" i="1"/>
  <c r="Q10" i="1"/>
  <c r="Q6" i="1"/>
  <c r="O13" i="1"/>
  <c r="O14" i="1"/>
  <c r="O12" i="1"/>
  <c r="O7" i="1"/>
  <c r="O8" i="1"/>
  <c r="O9" i="1"/>
  <c r="O10" i="1"/>
  <c r="O6" i="1"/>
  <c r="Q20" i="1"/>
  <c r="Q21" i="1"/>
  <c r="Q22" i="1"/>
  <c r="Q23" i="1"/>
  <c r="Q19" i="1"/>
  <c r="O20" i="1"/>
  <c r="O21" i="1"/>
  <c r="O22" i="1"/>
  <c r="O23" i="1"/>
  <c r="O19" i="1"/>
  <c r="Q26" i="1"/>
  <c r="Q27" i="1"/>
  <c r="Q25" i="1"/>
  <c r="O26" i="1"/>
  <c r="O27" i="1"/>
  <c r="O25" i="1"/>
  <c r="L27" i="1"/>
  <c r="G24" i="1"/>
  <c r="E24" i="1"/>
  <c r="G11" i="1"/>
  <c r="E11" i="1"/>
  <c r="L20" i="1"/>
  <c r="L21" i="1"/>
  <c r="L22" i="1"/>
  <c r="L23" i="1"/>
  <c r="L25" i="1"/>
  <c r="L26" i="1"/>
  <c r="L19" i="1"/>
  <c r="J20" i="1"/>
  <c r="J21" i="1"/>
  <c r="J22" i="1"/>
  <c r="J23" i="1"/>
  <c r="J25" i="1"/>
  <c r="J26" i="1"/>
  <c r="J27" i="1"/>
  <c r="J19" i="1"/>
  <c r="G23" i="1"/>
  <c r="G27" i="1"/>
  <c r="BH27" i="1"/>
  <c r="AZ27" i="1"/>
  <c r="AX27" i="1"/>
  <c r="AU27" i="1"/>
  <c r="AS27" i="1"/>
  <c r="AP27" i="1"/>
  <c r="AN27" i="1"/>
  <c r="AK27" i="1"/>
  <c r="AI27" i="1"/>
  <c r="AF27" i="1"/>
  <c r="AD27" i="1"/>
  <c r="AA27" i="1"/>
  <c r="Y27" i="1"/>
  <c r="V27" i="1"/>
  <c r="T27" i="1"/>
  <c r="E27" i="1"/>
  <c r="BH26" i="1"/>
  <c r="AZ26" i="1"/>
  <c r="AX26" i="1"/>
  <c r="AU26" i="1"/>
  <c r="AS26" i="1"/>
  <c r="AP26" i="1"/>
  <c r="AN26" i="1"/>
  <c r="AK26" i="1"/>
  <c r="AI26" i="1"/>
  <c r="AF26" i="1"/>
  <c r="AD26" i="1"/>
  <c r="AA26" i="1"/>
  <c r="Y26" i="1"/>
  <c r="V26" i="1"/>
  <c r="T26" i="1"/>
  <c r="G26" i="1"/>
  <c r="E26" i="1"/>
  <c r="BJ25" i="1"/>
  <c r="BH25" i="1"/>
  <c r="AZ25" i="1"/>
  <c r="AX25" i="1"/>
  <c r="AU25" i="1"/>
  <c r="AS25" i="1"/>
  <c r="AP25" i="1"/>
  <c r="AN25" i="1"/>
  <c r="AK25" i="1"/>
  <c r="AI25" i="1"/>
  <c r="AF25" i="1"/>
  <c r="AD25" i="1"/>
  <c r="AA25" i="1"/>
  <c r="Y25" i="1"/>
  <c r="V25" i="1"/>
  <c r="T25" i="1"/>
  <c r="G25" i="1"/>
  <c r="E25" i="1"/>
  <c r="BJ23" i="1"/>
  <c r="BH23" i="1"/>
  <c r="AZ23" i="1"/>
  <c r="AX23" i="1"/>
  <c r="AU23" i="1"/>
  <c r="AS23" i="1"/>
  <c r="AP23" i="1"/>
  <c r="AN23" i="1"/>
  <c r="AK23" i="1"/>
  <c r="AI23" i="1"/>
  <c r="AF23" i="1"/>
  <c r="AD23" i="1"/>
  <c r="AA23" i="1"/>
  <c r="Y23" i="1"/>
  <c r="V23" i="1"/>
  <c r="T23" i="1"/>
  <c r="E23" i="1"/>
  <c r="BJ22" i="1"/>
  <c r="BH22" i="1"/>
  <c r="AZ22" i="1"/>
  <c r="AX22" i="1"/>
  <c r="AU22" i="1"/>
  <c r="AS22" i="1"/>
  <c r="AP22" i="1"/>
  <c r="AN22" i="1"/>
  <c r="AK22" i="1"/>
  <c r="AI22" i="1"/>
  <c r="AF22" i="1"/>
  <c r="AD22" i="1"/>
  <c r="AA22" i="1"/>
  <c r="Y22" i="1"/>
  <c r="V22" i="1"/>
  <c r="T22" i="1"/>
  <c r="G22" i="1"/>
  <c r="E22" i="1"/>
  <c r="BH21" i="1"/>
  <c r="AU21" i="1"/>
  <c r="AS21" i="1"/>
  <c r="AF21" i="1"/>
  <c r="AD21" i="1"/>
  <c r="G21" i="1"/>
  <c r="E21" i="1"/>
  <c r="AU20" i="1"/>
  <c r="AS20" i="1"/>
  <c r="AK20" i="1"/>
  <c r="AI20" i="1"/>
  <c r="AF20" i="1"/>
  <c r="AA20" i="1"/>
  <c r="Y20" i="1"/>
  <c r="G20" i="1"/>
  <c r="E20" i="1"/>
  <c r="BO19" i="1"/>
  <c r="BJ19" i="1"/>
  <c r="BH19" i="1"/>
  <c r="BE19" i="1"/>
  <c r="BC19" i="1"/>
  <c r="AZ19" i="1"/>
  <c r="AX19" i="1"/>
  <c r="AU19" i="1"/>
  <c r="AS19" i="1"/>
  <c r="AP19" i="1"/>
  <c r="AN19" i="1"/>
  <c r="AK19" i="1"/>
  <c r="AI19" i="1"/>
  <c r="AF19" i="1"/>
  <c r="AD19" i="1"/>
  <c r="AA19" i="1"/>
  <c r="Y19" i="1"/>
  <c r="V19" i="1"/>
  <c r="T19" i="1"/>
  <c r="G19" i="1"/>
  <c r="E19" i="1"/>
  <c r="G7" i="1"/>
  <c r="G9" i="1"/>
  <c r="G10" i="1"/>
  <c r="G12" i="1"/>
  <c r="G13" i="1"/>
  <c r="G14" i="1"/>
  <c r="J6" i="1"/>
  <c r="J8" i="1"/>
  <c r="J9" i="1"/>
  <c r="J10" i="1"/>
  <c r="J12" i="1"/>
  <c r="J13" i="1"/>
  <c r="J14" i="1"/>
  <c r="J7" i="1"/>
  <c r="L6" i="1"/>
  <c r="L9" i="1"/>
  <c r="L10" i="1"/>
  <c r="L12" i="1"/>
  <c r="L13" i="1"/>
  <c r="L14" i="1"/>
  <c r="L7" i="1"/>
  <c r="E14" i="1"/>
  <c r="E13" i="1"/>
  <c r="E12" i="1"/>
  <c r="E10" i="1"/>
  <c r="E9" i="1"/>
  <c r="E8" i="1"/>
  <c r="E7" i="1"/>
  <c r="G6" i="1"/>
  <c r="E6" i="1"/>
  <c r="BO6" i="1"/>
  <c r="BJ14" i="1"/>
  <c r="BJ13" i="1"/>
  <c r="BJ12" i="1"/>
  <c r="BJ10" i="1"/>
  <c r="BJ9" i="1"/>
  <c r="BJ6" i="1"/>
  <c r="BE6" i="1"/>
  <c r="AZ14" i="1"/>
  <c r="AZ13" i="1"/>
  <c r="AZ12" i="1"/>
  <c r="AZ10" i="1"/>
  <c r="AZ9" i="1"/>
  <c r="AZ6" i="1"/>
  <c r="AU14" i="1"/>
  <c r="AU13" i="1"/>
  <c r="AU12" i="1"/>
  <c r="AU10" i="1"/>
  <c r="AU9" i="1"/>
  <c r="AU8" i="1"/>
  <c r="AU7" i="1"/>
  <c r="AU6" i="1"/>
  <c r="AP14" i="1"/>
  <c r="AP13" i="1"/>
  <c r="AP12" i="1"/>
  <c r="AP10" i="1"/>
  <c r="AP9" i="1"/>
  <c r="AP6" i="1"/>
  <c r="AK14" i="1"/>
  <c r="AK13" i="1"/>
  <c r="AK12" i="1"/>
  <c r="AK10" i="1"/>
  <c r="AK9" i="1"/>
  <c r="AK7" i="1"/>
  <c r="AK6" i="1"/>
  <c r="AF14" i="1"/>
  <c r="AF13" i="1"/>
  <c r="AF12" i="1"/>
  <c r="AF10" i="1"/>
  <c r="AF9" i="1"/>
  <c r="AF7" i="1"/>
  <c r="AF6" i="1"/>
  <c r="AA14" i="1"/>
  <c r="AA13" i="1"/>
  <c r="AA12" i="1"/>
  <c r="AA10" i="1"/>
  <c r="AA9" i="1"/>
  <c r="AA7" i="1"/>
  <c r="AA6" i="1"/>
  <c r="V14" i="1"/>
  <c r="V13" i="1"/>
  <c r="V12" i="1"/>
  <c r="V10" i="1"/>
  <c r="V9" i="1"/>
  <c r="V6" i="1"/>
  <c r="BH14" i="1"/>
  <c r="BH13" i="1"/>
  <c r="BH12" i="1"/>
  <c r="BH10" i="1"/>
  <c r="BH9" i="1"/>
  <c r="BH6" i="1"/>
  <c r="BC6" i="1"/>
  <c r="AX14" i="1"/>
  <c r="AX13" i="1"/>
  <c r="AX12" i="1"/>
  <c r="AX10" i="1"/>
  <c r="AX9" i="1"/>
  <c r="AX8" i="1"/>
  <c r="AX6" i="1"/>
  <c r="AS14" i="1"/>
  <c r="AS13" i="1"/>
  <c r="AS12" i="1"/>
  <c r="AS10" i="1"/>
  <c r="AS9" i="1"/>
  <c r="AS8" i="1"/>
  <c r="AS7" i="1"/>
  <c r="AS6" i="1"/>
  <c r="AN14" i="1"/>
  <c r="AN13" i="1"/>
  <c r="AN12" i="1"/>
  <c r="AN10" i="1"/>
  <c r="AN9" i="1"/>
  <c r="AN6" i="1"/>
  <c r="AI14" i="1"/>
  <c r="AI13" i="1"/>
  <c r="AI12" i="1"/>
  <c r="AI10" i="1"/>
  <c r="AI9" i="1"/>
  <c r="AI7" i="1"/>
  <c r="AI6" i="1"/>
  <c r="AD14" i="1"/>
  <c r="AD13" i="1"/>
  <c r="AD12" i="1"/>
  <c r="AD10" i="1"/>
  <c r="AD9" i="1"/>
  <c r="AD8" i="1"/>
  <c r="AD6" i="1"/>
  <c r="Y14" i="1"/>
  <c r="Y13" i="1"/>
  <c r="Y12" i="1"/>
  <c r="Y10" i="1"/>
  <c r="Y9" i="1"/>
  <c r="Y7" i="1"/>
  <c r="Y6" i="1"/>
  <c r="T14" i="1"/>
  <c r="T13" i="1"/>
  <c r="T12" i="1"/>
  <c r="T10" i="1"/>
  <c r="T9" i="1"/>
  <c r="T8" i="1"/>
  <c r="T6" i="1"/>
  <c r="I905" i="7" l="1"/>
  <c r="I908" i="7" s="1"/>
  <c r="I907" i="7"/>
  <c r="G905" i="7"/>
  <c r="G908" i="7" s="1"/>
  <c r="G907" i="7"/>
  <c r="H912" i="7"/>
  <c r="H907" i="7"/>
  <c r="H905" i="7"/>
  <c r="H908" i="7" s="1"/>
  <c r="K907" i="7"/>
  <c r="K905" i="7"/>
  <c r="K908" i="7" s="1"/>
  <c r="M907" i="7"/>
  <c r="M905" i="7"/>
  <c r="M908" i="7" s="1"/>
  <c r="M912" i="7"/>
  <c r="F905" i="7"/>
  <c r="F908" i="7" s="1"/>
  <c r="F907" i="7"/>
  <c r="L907" i="7"/>
  <c r="L905" i="7"/>
  <c r="L908" i="7" s="1"/>
  <c r="E905" i="7"/>
  <c r="E908" i="7" s="1"/>
  <c r="E912" i="7"/>
  <c r="E907" i="7"/>
  <c r="N907" i="7"/>
  <c r="N905" i="7"/>
  <c r="N908" i="7" s="1"/>
  <c r="J905" i="7"/>
  <c r="J908" i="7" s="1"/>
  <c r="J907" i="7"/>
  <c r="D182" i="7"/>
  <c r="I784" i="7"/>
  <c r="D783" i="7"/>
  <c r="C188" i="6"/>
  <c r="D784" i="7"/>
  <c r="I783" i="7"/>
  <c r="D782" i="7"/>
  <c r="I181" i="7"/>
  <c r="I782" i="7"/>
  <c r="D781" i="7"/>
  <c r="G782" i="7"/>
  <c r="G882" i="7" s="1"/>
  <c r="M952" i="6"/>
  <c r="M782" i="7"/>
  <c r="M882" i="7" s="1"/>
  <c r="E952" i="6"/>
  <c r="E782" i="7"/>
  <c r="E882" i="7" s="1"/>
  <c r="K953" i="6"/>
  <c r="K783" i="7"/>
  <c r="K883" i="7" s="1"/>
  <c r="L954" i="6"/>
  <c r="L784" i="7"/>
  <c r="L884" i="7" s="1"/>
  <c r="O955" i="6"/>
  <c r="O785" i="7"/>
  <c r="G955" i="6"/>
  <c r="G785" i="7"/>
  <c r="G885" i="7" s="1"/>
  <c r="L952" i="6"/>
  <c r="L782" i="7"/>
  <c r="L882" i="7" s="1"/>
  <c r="J953" i="6"/>
  <c r="J783" i="7"/>
  <c r="J883" i="7" s="1"/>
  <c r="K954" i="6"/>
  <c r="K784" i="7"/>
  <c r="K884" i="7" s="1"/>
  <c r="N955" i="6"/>
  <c r="N785" i="7"/>
  <c r="F955" i="6"/>
  <c r="F785" i="7"/>
  <c r="F885" i="7" s="1"/>
  <c r="K952" i="6"/>
  <c r="K782" i="7"/>
  <c r="K882" i="7" s="1"/>
  <c r="J954" i="6"/>
  <c r="J784" i="7"/>
  <c r="J884" i="7" s="1"/>
  <c r="M955" i="6"/>
  <c r="M785" i="7"/>
  <c r="E955" i="6"/>
  <c r="E785" i="7"/>
  <c r="E885" i="7" s="1"/>
  <c r="D181" i="7"/>
  <c r="J952" i="6"/>
  <c r="J782" i="7"/>
  <c r="J882" i="7" s="1"/>
  <c r="P953" i="6"/>
  <c r="P783" i="7"/>
  <c r="P883" i="7" s="1"/>
  <c r="H953" i="6"/>
  <c r="H783" i="7"/>
  <c r="H883" i="7" s="1"/>
  <c r="L955" i="6"/>
  <c r="L785" i="7"/>
  <c r="O953" i="6"/>
  <c r="O783" i="7"/>
  <c r="O883" i="7" s="1"/>
  <c r="G953" i="6"/>
  <c r="G783" i="7"/>
  <c r="G883" i="7" s="1"/>
  <c r="P954" i="6"/>
  <c r="P784" i="7"/>
  <c r="P884" i="7" s="1"/>
  <c r="H954" i="6"/>
  <c r="H784" i="7"/>
  <c r="H884" i="7" s="1"/>
  <c r="K955" i="6"/>
  <c r="K785" i="7"/>
  <c r="I180" i="7"/>
  <c r="C786" i="7"/>
  <c r="C886" i="7" s="1"/>
  <c r="L912" i="7" s="1"/>
  <c r="D886" i="7"/>
  <c r="P952" i="6"/>
  <c r="P782" i="7"/>
  <c r="P882" i="7" s="1"/>
  <c r="H952" i="6"/>
  <c r="H782" i="7"/>
  <c r="H882" i="7" s="1"/>
  <c r="N953" i="6"/>
  <c r="N783" i="7"/>
  <c r="N883" i="7" s="1"/>
  <c r="F953" i="6"/>
  <c r="F783" i="7"/>
  <c r="F883" i="7" s="1"/>
  <c r="O954" i="6"/>
  <c r="O784" i="7"/>
  <c r="O884" i="7" s="1"/>
  <c r="G954" i="6"/>
  <c r="G784" i="7"/>
  <c r="G884" i="7" s="1"/>
  <c r="I885" i="7"/>
  <c r="D180" i="7"/>
  <c r="O952" i="6"/>
  <c r="O782" i="7"/>
  <c r="O882" i="7" s="1"/>
  <c r="M953" i="6"/>
  <c r="M783" i="7"/>
  <c r="M883" i="7" s="1"/>
  <c r="E953" i="6"/>
  <c r="E783" i="7"/>
  <c r="E883" i="7" s="1"/>
  <c r="N954" i="6"/>
  <c r="N784" i="7"/>
  <c r="N884" i="7" s="1"/>
  <c r="F954" i="6"/>
  <c r="F784" i="7"/>
  <c r="F884" i="7" s="1"/>
  <c r="D885" i="7"/>
  <c r="C183" i="7"/>
  <c r="N952" i="6"/>
  <c r="N782" i="7"/>
  <c r="N882" i="7" s="1"/>
  <c r="F952" i="6"/>
  <c r="F782" i="7"/>
  <c r="F882" i="7" s="1"/>
  <c r="L953" i="6"/>
  <c r="L783" i="7"/>
  <c r="L883" i="7" s="1"/>
  <c r="M954" i="6"/>
  <c r="M784" i="7"/>
  <c r="M884" i="7" s="1"/>
  <c r="E954" i="6"/>
  <c r="E784" i="7"/>
  <c r="E884" i="7" s="1"/>
  <c r="P955" i="6"/>
  <c r="P785" i="7"/>
  <c r="H955" i="6"/>
  <c r="H785" i="7"/>
  <c r="H885" i="7" s="1"/>
  <c r="I182" i="7"/>
  <c r="G951" i="6"/>
  <c r="G781" i="7"/>
  <c r="G881" i="7" s="1"/>
  <c r="N951" i="6"/>
  <c r="N781" i="7"/>
  <c r="N881" i="7" s="1"/>
  <c r="F951" i="6"/>
  <c r="F781" i="7"/>
  <c r="F881" i="7" s="1"/>
  <c r="M951" i="6"/>
  <c r="M781" i="7"/>
  <c r="M881" i="7" s="1"/>
  <c r="E951" i="6"/>
  <c r="E781" i="7"/>
  <c r="E881" i="7" s="1"/>
  <c r="O951" i="6"/>
  <c r="O781" i="7"/>
  <c r="O881" i="7" s="1"/>
  <c r="L951" i="6"/>
  <c r="L781" i="7"/>
  <c r="L881" i="7" s="1"/>
  <c r="K951" i="6"/>
  <c r="K781" i="7"/>
  <c r="K881" i="7" s="1"/>
  <c r="J951" i="6"/>
  <c r="J781" i="7"/>
  <c r="J881" i="7" s="1"/>
  <c r="I951" i="6"/>
  <c r="I781" i="7"/>
  <c r="D179" i="7"/>
  <c r="P951" i="6"/>
  <c r="P781" i="7"/>
  <c r="P881" i="7" s="1"/>
  <c r="H951" i="6"/>
  <c r="H781" i="7"/>
  <c r="H881" i="7" s="1"/>
  <c r="I169" i="7"/>
  <c r="I179" i="7"/>
  <c r="C956" i="6"/>
  <c r="D951" i="6"/>
  <c r="C190" i="6"/>
  <c r="I952" i="6"/>
  <c r="D953" i="6"/>
  <c r="I955" i="6"/>
  <c r="P950" i="6"/>
  <c r="P780" i="7"/>
  <c r="P880" i="7" s="1"/>
  <c r="H950" i="6"/>
  <c r="H780" i="7"/>
  <c r="H880" i="7" s="1"/>
  <c r="O950" i="6"/>
  <c r="O780" i="7"/>
  <c r="O880" i="7" s="1"/>
  <c r="G950" i="6"/>
  <c r="G780" i="7"/>
  <c r="G880" i="7" s="1"/>
  <c r="N950" i="6"/>
  <c r="N780" i="7"/>
  <c r="N880" i="7" s="1"/>
  <c r="F950" i="6"/>
  <c r="F780" i="7"/>
  <c r="F880" i="7" s="1"/>
  <c r="C191" i="6"/>
  <c r="M950" i="6"/>
  <c r="M780" i="7"/>
  <c r="M880" i="7" s="1"/>
  <c r="E950" i="6"/>
  <c r="E780" i="7"/>
  <c r="E880" i="7" s="1"/>
  <c r="L950" i="6"/>
  <c r="L780" i="7"/>
  <c r="L880" i="7" s="1"/>
  <c r="D950" i="6"/>
  <c r="D780" i="7"/>
  <c r="K950" i="6"/>
  <c r="K780" i="7"/>
  <c r="J950" i="6"/>
  <c r="J780" i="7"/>
  <c r="J880" i="7" s="1"/>
  <c r="D178" i="7"/>
  <c r="I950" i="6"/>
  <c r="I780" i="7"/>
  <c r="I178" i="7"/>
  <c r="G726" i="7"/>
  <c r="G826" i="7" s="1"/>
  <c r="I710" i="7"/>
  <c r="I810" i="7" s="1"/>
  <c r="D171" i="7"/>
  <c r="H716" i="7"/>
  <c r="H816" i="7" s="1"/>
  <c r="M752" i="7"/>
  <c r="M852" i="7" s="1"/>
  <c r="D759" i="7"/>
  <c r="D859" i="7" s="1"/>
  <c r="K725" i="7"/>
  <c r="K825" i="7" s="1"/>
  <c r="E755" i="7"/>
  <c r="E855" i="7" s="1"/>
  <c r="O728" i="7"/>
  <c r="O828" i="7" s="1"/>
  <c r="E752" i="7"/>
  <c r="E852" i="7" s="1"/>
  <c r="H888" i="6"/>
  <c r="K711" i="7"/>
  <c r="K811" i="7" s="1"/>
  <c r="I170" i="7"/>
  <c r="C787" i="6"/>
  <c r="D726" i="7"/>
  <c r="D826" i="7" s="1"/>
  <c r="M728" i="7"/>
  <c r="M828" i="7" s="1"/>
  <c r="E773" i="7"/>
  <c r="E873" i="7" s="1"/>
  <c r="E753" i="7"/>
  <c r="E853" i="7" s="1"/>
  <c r="L764" i="7"/>
  <c r="L864" i="7" s="1"/>
  <c r="H772" i="7"/>
  <c r="H872" i="7" s="1"/>
  <c r="I752" i="7"/>
  <c r="I852" i="7" s="1"/>
  <c r="G709" i="7"/>
  <c r="G809" i="7" s="1"/>
  <c r="J734" i="7"/>
  <c r="J834" i="7" s="1"/>
  <c r="G719" i="7"/>
  <c r="G819" i="7" s="1"/>
  <c r="F716" i="7"/>
  <c r="F816" i="7" s="1"/>
  <c r="M721" i="7"/>
  <c r="M821" i="7" s="1"/>
  <c r="J724" i="7"/>
  <c r="J824" i="7" s="1"/>
  <c r="H726" i="7"/>
  <c r="H826" i="7" s="1"/>
  <c r="G727" i="7"/>
  <c r="G827" i="7" s="1"/>
  <c r="F728" i="7"/>
  <c r="F828" i="7" s="1"/>
  <c r="H735" i="7"/>
  <c r="H835" i="7" s="1"/>
  <c r="F736" i="7"/>
  <c r="F836" i="7" s="1"/>
  <c r="M738" i="7"/>
  <c r="M838" i="7" s="1"/>
  <c r="J740" i="7"/>
  <c r="J840" i="7" s="1"/>
  <c r="E746" i="7"/>
  <c r="E846" i="7" s="1"/>
  <c r="F896" i="6"/>
  <c r="I736" i="7"/>
  <c r="I836" i="7" s="1"/>
  <c r="D954" i="6"/>
  <c r="I171" i="7"/>
  <c r="C808" i="6"/>
  <c r="C917" i="6" s="1"/>
  <c r="H719" i="7"/>
  <c r="H819" i="7" s="1"/>
  <c r="I721" i="7"/>
  <c r="I821" i="7" s="1"/>
  <c r="J743" i="7"/>
  <c r="J843" i="7" s="1"/>
  <c r="J749" i="7"/>
  <c r="J849" i="7" s="1"/>
  <c r="I747" i="7"/>
  <c r="I847" i="7" s="1"/>
  <c r="H750" i="7"/>
  <c r="H850" i="7" s="1"/>
  <c r="K772" i="7"/>
  <c r="K872" i="7" s="1"/>
  <c r="H721" i="7"/>
  <c r="H821" i="7" s="1"/>
  <c r="G729" i="7"/>
  <c r="G829" i="7" s="1"/>
  <c r="I746" i="7"/>
  <c r="I846" i="7" s="1"/>
  <c r="L717" i="7"/>
  <c r="L817" i="7" s="1"/>
  <c r="G890" i="6"/>
  <c r="M908" i="6"/>
  <c r="J911" i="6"/>
  <c r="M757" i="7"/>
  <c r="M857" i="7" s="1"/>
  <c r="C779" i="6"/>
  <c r="C888" i="6" s="1"/>
  <c r="E732" i="7"/>
  <c r="E832" i="7" s="1"/>
  <c r="F735" i="7"/>
  <c r="F835" i="7" s="1"/>
  <c r="K719" i="7"/>
  <c r="K819" i="7" s="1"/>
  <c r="L726" i="7"/>
  <c r="L826" i="7" s="1"/>
  <c r="M733" i="7"/>
  <c r="M833" i="7" s="1"/>
  <c r="G746" i="7"/>
  <c r="G846" i="7" s="1"/>
  <c r="D730" i="7"/>
  <c r="D830" i="7" s="1"/>
  <c r="I755" i="7"/>
  <c r="I855" i="7" s="1"/>
  <c r="M708" i="7"/>
  <c r="M808" i="7" s="1"/>
  <c r="D715" i="7"/>
  <c r="D815" i="7" s="1"/>
  <c r="D731" i="7"/>
  <c r="D831" i="7" s="1"/>
  <c r="C800" i="6"/>
  <c r="C909" i="6" s="1"/>
  <c r="I925" i="6"/>
  <c r="G770" i="7"/>
  <c r="G870" i="7" s="1"/>
  <c r="C959" i="6"/>
  <c r="J719" i="7"/>
  <c r="J819" i="7" s="1"/>
  <c r="C796" i="6"/>
  <c r="C905" i="6" s="1"/>
  <c r="C802" i="6"/>
  <c r="C911" i="6" s="1"/>
  <c r="D738" i="7"/>
  <c r="D838" i="7" s="1"/>
  <c r="M745" i="7"/>
  <c r="M845" i="7" s="1"/>
  <c r="H706" i="7"/>
  <c r="H806" i="7" s="1"/>
  <c r="M714" i="7"/>
  <c r="M814" i="7" s="1"/>
  <c r="I708" i="7"/>
  <c r="I808" i="7" s="1"/>
  <c r="H897" i="6"/>
  <c r="K905" i="6"/>
  <c r="M724" i="7"/>
  <c r="M824" i="7" s="1"/>
  <c r="J728" i="7"/>
  <c r="J828" i="7" s="1"/>
  <c r="F732" i="7"/>
  <c r="F832" i="7" s="1"/>
  <c r="I920" i="6"/>
  <c r="D760" i="7"/>
  <c r="D860" i="7" s="1"/>
  <c r="I953" i="6"/>
  <c r="H727" i="7"/>
  <c r="H827" i="7" s="1"/>
  <c r="J732" i="7"/>
  <c r="J832" i="7" s="1"/>
  <c r="M739" i="7"/>
  <c r="M839" i="7" s="1"/>
  <c r="G707" i="7"/>
  <c r="G807" i="7" s="1"/>
  <c r="G900" i="6"/>
  <c r="G898" i="6"/>
  <c r="F910" i="6"/>
  <c r="M922" i="6"/>
  <c r="K749" i="7"/>
  <c r="K849" i="7" s="1"/>
  <c r="E712" i="7"/>
  <c r="E812" i="7" s="1"/>
  <c r="G725" i="7"/>
  <c r="G825" i="7" s="1"/>
  <c r="H733" i="7"/>
  <c r="H833" i="7" s="1"/>
  <c r="G733" i="7"/>
  <c r="G833" i="7" s="1"/>
  <c r="K737" i="7"/>
  <c r="K837" i="7" s="1"/>
  <c r="D732" i="7"/>
  <c r="D832" i="7" s="1"/>
  <c r="D748" i="7"/>
  <c r="D848" i="7" s="1"/>
  <c r="D764" i="7"/>
  <c r="D864" i="7" s="1"/>
  <c r="H768" i="7"/>
  <c r="H868" i="7" s="1"/>
  <c r="H777" i="7"/>
  <c r="H877" i="7" s="1"/>
  <c r="L778" i="7"/>
  <c r="L878" i="7" s="1"/>
  <c r="I718" i="7"/>
  <c r="I818" i="7" s="1"/>
  <c r="L734" i="7"/>
  <c r="L834" i="7" s="1"/>
  <c r="L739" i="7"/>
  <c r="L839" i="7" s="1"/>
  <c r="D717" i="7"/>
  <c r="D817" i="7" s="1"/>
  <c r="M720" i="7"/>
  <c r="M820" i="7" s="1"/>
  <c r="G713" i="7"/>
  <c r="G813" i="7" s="1"/>
  <c r="I720" i="7"/>
  <c r="I820" i="7" s="1"/>
  <c r="F713" i="7"/>
  <c r="F813" i="7" s="1"/>
  <c r="D707" i="7"/>
  <c r="D807" i="7" s="1"/>
  <c r="F899" i="6"/>
  <c r="G896" i="6"/>
  <c r="K889" i="6"/>
  <c r="L888" i="6"/>
  <c r="G904" i="6"/>
  <c r="E911" i="6"/>
  <c r="K738" i="7"/>
  <c r="K838" i="7" s="1"/>
  <c r="D741" i="7"/>
  <c r="D841" i="7" s="1"/>
  <c r="M753" i="7"/>
  <c r="M853" i="7" s="1"/>
  <c r="E757" i="7"/>
  <c r="E857" i="7" s="1"/>
  <c r="H758" i="7"/>
  <c r="H858" i="7" s="1"/>
  <c r="H771" i="7"/>
  <c r="H871" i="7" s="1"/>
  <c r="O774" i="7"/>
  <c r="O874" i="7" s="1"/>
  <c r="N779" i="7"/>
  <c r="N879" i="7" s="1"/>
  <c r="L766" i="7"/>
  <c r="L866" i="7" s="1"/>
  <c r="O773" i="7"/>
  <c r="O873" i="7" s="1"/>
  <c r="N712" i="7"/>
  <c r="N812" i="7" s="1"/>
  <c r="G711" i="7"/>
  <c r="G811" i="7" s="1"/>
  <c r="C788" i="6"/>
  <c r="C897" i="6" s="1"/>
  <c r="I891" i="6"/>
  <c r="J725" i="7"/>
  <c r="J825" i="7" s="1"/>
  <c r="I751" i="7"/>
  <c r="I851" i="7" s="1"/>
  <c r="E718" i="7"/>
  <c r="E818" i="7" s="1"/>
  <c r="M723" i="7"/>
  <c r="M823" i="7" s="1"/>
  <c r="M747" i="7"/>
  <c r="M847" i="7" s="1"/>
  <c r="G754" i="7"/>
  <c r="G854" i="7" s="1"/>
  <c r="D756" i="7"/>
  <c r="D856" i="7" s="1"/>
  <c r="L763" i="7"/>
  <c r="L863" i="7" s="1"/>
  <c r="H762" i="7"/>
  <c r="H862" i="7" s="1"/>
  <c r="H942" i="6"/>
  <c r="D773" i="7"/>
  <c r="K773" i="7"/>
  <c r="K873" i="7" s="1"/>
  <c r="L774" i="7"/>
  <c r="L874" i="7" s="1"/>
  <c r="E774" i="7"/>
  <c r="E874" i="7" s="1"/>
  <c r="O772" i="7"/>
  <c r="O872" i="7" s="1"/>
  <c r="O729" i="7"/>
  <c r="O829" i="7" s="1"/>
  <c r="D779" i="7"/>
  <c r="D742" i="7"/>
  <c r="D842" i="7" s="1"/>
  <c r="L934" i="6"/>
  <c r="E943" i="6"/>
  <c r="K774" i="7"/>
  <c r="K874" i="7" s="1"/>
  <c r="K766" i="7"/>
  <c r="K866" i="7" s="1"/>
  <c r="K764" i="7"/>
  <c r="K864" i="7" s="1"/>
  <c r="K936" i="6"/>
  <c r="H720" i="7"/>
  <c r="H820" i="7" s="1"/>
  <c r="D719" i="7"/>
  <c r="D819" i="7" s="1"/>
  <c r="K717" i="7"/>
  <c r="K817" i="7" s="1"/>
  <c r="E716" i="7"/>
  <c r="E816" i="7" s="1"/>
  <c r="L714" i="7"/>
  <c r="L814" i="7" s="1"/>
  <c r="D713" i="7"/>
  <c r="D813" i="7" s="1"/>
  <c r="J711" i="7"/>
  <c r="J811" i="7" s="1"/>
  <c r="E710" i="7"/>
  <c r="E810" i="7" s="1"/>
  <c r="H708" i="7"/>
  <c r="H808" i="7" s="1"/>
  <c r="C784" i="6"/>
  <c r="C893" i="6" s="1"/>
  <c r="E721" i="7"/>
  <c r="E821" i="7" s="1"/>
  <c r="J895" i="6"/>
  <c r="M892" i="6"/>
  <c r="F907" i="6"/>
  <c r="D909" i="6"/>
  <c r="C805" i="6"/>
  <c r="C914" i="6" s="1"/>
  <c r="M730" i="7"/>
  <c r="M830" i="7" s="1"/>
  <c r="I738" i="7"/>
  <c r="I838" i="7" s="1"/>
  <c r="H732" i="7"/>
  <c r="H832" i="7" s="1"/>
  <c r="L912" i="6"/>
  <c r="I743" i="7"/>
  <c r="I843" i="7" s="1"/>
  <c r="E922" i="6"/>
  <c r="M749" i="7"/>
  <c r="M849" i="7" s="1"/>
  <c r="H740" i="7"/>
  <c r="H840" i="7" s="1"/>
  <c r="E926" i="6"/>
  <c r="E756" i="7"/>
  <c r="E856" i="7" s="1"/>
  <c r="L932" i="6"/>
  <c r="L762" i="7"/>
  <c r="L862" i="7" s="1"/>
  <c r="L760" i="7"/>
  <c r="L860" i="7" s="1"/>
  <c r="L761" i="7"/>
  <c r="L861" i="7" s="1"/>
  <c r="D932" i="6"/>
  <c r="D762" i="7"/>
  <c r="D862" i="7" s="1"/>
  <c r="I764" i="7"/>
  <c r="I864" i="7" s="1"/>
  <c r="I935" i="6"/>
  <c r="N886" i="6"/>
  <c r="N715" i="7"/>
  <c r="N815" i="7" s="1"/>
  <c r="N926" i="6"/>
  <c r="N754" i="7"/>
  <c r="N854" i="7" s="1"/>
  <c r="G767" i="7"/>
  <c r="G867" i="7" s="1"/>
  <c r="G937" i="6"/>
  <c r="M706" i="7"/>
  <c r="M806" i="7" s="1"/>
  <c r="F720" i="7"/>
  <c r="F820" i="7" s="1"/>
  <c r="M718" i="7"/>
  <c r="M818" i="7" s="1"/>
  <c r="G717" i="7"/>
  <c r="G817" i="7" s="1"/>
  <c r="D716" i="7"/>
  <c r="D816" i="7" s="1"/>
  <c r="J714" i="7"/>
  <c r="J814" i="7" s="1"/>
  <c r="M712" i="7"/>
  <c r="M812" i="7" s="1"/>
  <c r="H711" i="7"/>
  <c r="H811" i="7" s="1"/>
  <c r="D710" i="7"/>
  <c r="D810" i="7" s="1"/>
  <c r="F708" i="7"/>
  <c r="F808" i="7" s="1"/>
  <c r="C801" i="6"/>
  <c r="C910" i="6" s="1"/>
  <c r="C780" i="6"/>
  <c r="C889" i="6" s="1"/>
  <c r="D721" i="7"/>
  <c r="D821" i="7" s="1"/>
  <c r="E903" i="6"/>
  <c r="D892" i="6"/>
  <c r="L722" i="7"/>
  <c r="L822" i="7" s="1"/>
  <c r="I723" i="7"/>
  <c r="I823" i="7" s="1"/>
  <c r="F724" i="7"/>
  <c r="F824" i="7" s="1"/>
  <c r="D725" i="7"/>
  <c r="D825" i="7" s="1"/>
  <c r="D908" i="6"/>
  <c r="E728" i="7"/>
  <c r="E828" i="7" s="1"/>
  <c r="M911" i="6"/>
  <c r="I732" i="7"/>
  <c r="I832" i="7" s="1"/>
  <c r="E738" i="7"/>
  <c r="E838" i="7" s="1"/>
  <c r="I729" i="7"/>
  <c r="I829" i="7" s="1"/>
  <c r="L741" i="7"/>
  <c r="L841" i="7" s="1"/>
  <c r="D739" i="7"/>
  <c r="D839" i="7" s="1"/>
  <c r="G745" i="7"/>
  <c r="G845" i="7" s="1"/>
  <c r="K748" i="7"/>
  <c r="K848" i="7" s="1"/>
  <c r="G750" i="7"/>
  <c r="G850" i="7" s="1"/>
  <c r="L751" i="7"/>
  <c r="L851" i="7" s="1"/>
  <c r="E883" i="6"/>
  <c r="E744" i="7"/>
  <c r="E844" i="7" s="1"/>
  <c r="J752" i="7"/>
  <c r="J852" i="7" s="1"/>
  <c r="J753" i="7"/>
  <c r="J853" i="7" s="1"/>
  <c r="D747" i="7"/>
  <c r="D847" i="7" s="1"/>
  <c r="K754" i="7"/>
  <c r="K854" i="7" s="1"/>
  <c r="K924" i="6"/>
  <c r="J925" i="6"/>
  <c r="J755" i="7"/>
  <c r="J855" i="7" s="1"/>
  <c r="J754" i="7"/>
  <c r="J854" i="7" s="1"/>
  <c r="I927" i="6"/>
  <c r="D927" i="6"/>
  <c r="D757" i="7"/>
  <c r="D857" i="7" s="1"/>
  <c r="H760" i="7"/>
  <c r="H860" i="7" s="1"/>
  <c r="L706" i="7"/>
  <c r="L806" i="7" s="1"/>
  <c r="E720" i="7"/>
  <c r="E820" i="7" s="1"/>
  <c r="L718" i="7"/>
  <c r="L818" i="7" s="1"/>
  <c r="F717" i="7"/>
  <c r="F817" i="7" s="1"/>
  <c r="K715" i="7"/>
  <c r="K815" i="7" s="1"/>
  <c r="I714" i="7"/>
  <c r="I814" i="7" s="1"/>
  <c r="I712" i="7"/>
  <c r="I812" i="7" s="1"/>
  <c r="K709" i="7"/>
  <c r="K809" i="7" s="1"/>
  <c r="E708" i="7"/>
  <c r="E808" i="7" s="1"/>
  <c r="M903" i="6"/>
  <c r="H900" i="6"/>
  <c r="K722" i="7"/>
  <c r="K822" i="7" s="1"/>
  <c r="H723" i="7"/>
  <c r="H823" i="7" s="1"/>
  <c r="E724" i="7"/>
  <c r="E824" i="7" s="1"/>
  <c r="D728" i="7"/>
  <c r="D828" i="7" s="1"/>
  <c r="C776" i="6"/>
  <c r="C885" i="6" s="1"/>
  <c r="H738" i="7"/>
  <c r="H838" i="7" s="1"/>
  <c r="C811" i="6"/>
  <c r="C920" i="6" s="1"/>
  <c r="J741" i="7"/>
  <c r="J841" i="7" s="1"/>
  <c r="C768" i="6"/>
  <c r="C877" i="6" s="1"/>
  <c r="J744" i="7"/>
  <c r="J844" i="7" s="1"/>
  <c r="H744" i="7"/>
  <c r="H844" i="7" s="1"/>
  <c r="L753" i="7"/>
  <c r="L853" i="7" s="1"/>
  <c r="F753" i="7"/>
  <c r="F853" i="7" s="1"/>
  <c r="D734" i="7"/>
  <c r="D834" i="7" s="1"/>
  <c r="N750" i="7"/>
  <c r="N850" i="7" s="1"/>
  <c r="K757" i="7"/>
  <c r="K857" i="7" s="1"/>
  <c r="L759" i="7"/>
  <c r="L859" i="7" s="1"/>
  <c r="D720" i="7"/>
  <c r="D820" i="7" s="1"/>
  <c r="J718" i="7"/>
  <c r="J818" i="7" s="1"/>
  <c r="J715" i="7"/>
  <c r="J815" i="7" s="1"/>
  <c r="E714" i="7"/>
  <c r="H712" i="7"/>
  <c r="H812" i="7" s="1"/>
  <c r="F711" i="7"/>
  <c r="F811" i="7" s="1"/>
  <c r="L707" i="7"/>
  <c r="L807" i="7" s="1"/>
  <c r="H722" i="7"/>
  <c r="H822" i="7" s="1"/>
  <c r="E723" i="7"/>
  <c r="E823" i="7" s="1"/>
  <c r="D724" i="7"/>
  <c r="D824" i="7" s="1"/>
  <c r="L727" i="7"/>
  <c r="L827" i="7" s="1"/>
  <c r="C771" i="6"/>
  <c r="C880" i="6" s="1"/>
  <c r="G737" i="7"/>
  <c r="G837" i="7" s="1"/>
  <c r="E739" i="7"/>
  <c r="E839" i="7" s="1"/>
  <c r="J914" i="6"/>
  <c r="H745" i="7"/>
  <c r="H845" i="7" s="1"/>
  <c r="I750" i="7"/>
  <c r="I850" i="7" s="1"/>
  <c r="H922" i="6"/>
  <c r="F749" i="7"/>
  <c r="F849" i="7" s="1"/>
  <c r="C804" i="6"/>
  <c r="C913" i="6" s="1"/>
  <c r="G744" i="7"/>
  <c r="G844" i="7" s="1"/>
  <c r="F745" i="7"/>
  <c r="F845" i="7" s="1"/>
  <c r="G749" i="7"/>
  <c r="G849" i="7" s="1"/>
  <c r="H753" i="7"/>
  <c r="H853" i="7" s="1"/>
  <c r="H755" i="7"/>
  <c r="H855" i="7" s="1"/>
  <c r="E759" i="7"/>
  <c r="E859" i="7" s="1"/>
  <c r="E933" i="6"/>
  <c r="H715" i="7"/>
  <c r="H815" i="7" s="1"/>
  <c r="F712" i="7"/>
  <c r="F812" i="7" s="1"/>
  <c r="K707" i="7"/>
  <c r="K807" i="7" s="1"/>
  <c r="C795" i="6"/>
  <c r="C904" i="6" s="1"/>
  <c r="L896" i="6"/>
  <c r="I730" i="7"/>
  <c r="I830" i="7" s="1"/>
  <c r="L738" i="7"/>
  <c r="L838" i="7" s="1"/>
  <c r="J737" i="7"/>
  <c r="J837" i="7" s="1"/>
  <c r="G753" i="7"/>
  <c r="G853" i="7" s="1"/>
  <c r="M751" i="7"/>
  <c r="M851" i="7" s="1"/>
  <c r="I735" i="7"/>
  <c r="I835" i="7" s="1"/>
  <c r="H736" i="7"/>
  <c r="H836" i="7" s="1"/>
  <c r="G751" i="7"/>
  <c r="G851" i="7" s="1"/>
  <c r="D706" i="7"/>
  <c r="D806" i="7" s="1"/>
  <c r="H754" i="7"/>
  <c r="H854" i="7" s="1"/>
  <c r="N729" i="7"/>
  <c r="N829" i="7" s="1"/>
  <c r="J929" i="6"/>
  <c r="J758" i="7"/>
  <c r="J858" i="7" s="1"/>
  <c r="G706" i="7"/>
  <c r="G806" i="7" s="1"/>
  <c r="M716" i="7"/>
  <c r="M816" i="7" s="1"/>
  <c r="D714" i="7"/>
  <c r="D814" i="7" s="1"/>
  <c r="D711" i="7"/>
  <c r="D811" i="7" s="1"/>
  <c r="F709" i="7"/>
  <c r="F809" i="7" s="1"/>
  <c r="D901" i="6"/>
  <c r="D722" i="7"/>
  <c r="D822" i="7" s="1"/>
  <c r="D723" i="7"/>
  <c r="D823" i="7" s="1"/>
  <c r="E706" i="7"/>
  <c r="E806" i="7" s="1"/>
  <c r="I716" i="7"/>
  <c r="I816" i="7" s="1"/>
  <c r="G715" i="7"/>
  <c r="G815" i="7" s="1"/>
  <c r="K713" i="7"/>
  <c r="K813" i="7" s="1"/>
  <c r="M710" i="7"/>
  <c r="M810" i="7" s="1"/>
  <c r="D709" i="7"/>
  <c r="D809" i="7" s="1"/>
  <c r="J707" i="7"/>
  <c r="J807" i="7" s="1"/>
  <c r="C792" i="6"/>
  <c r="C901" i="6" s="1"/>
  <c r="H743" i="7"/>
  <c r="H843" i="7" s="1"/>
  <c r="M748" i="7"/>
  <c r="M848" i="7" s="1"/>
  <c r="J751" i="7"/>
  <c r="J851" i="7" s="1"/>
  <c r="J735" i="7"/>
  <c r="J835" i="7" s="1"/>
  <c r="G752" i="7"/>
  <c r="G852" i="7" s="1"/>
  <c r="P756" i="7"/>
  <c r="P856" i="7" s="1"/>
  <c r="H756" i="7"/>
  <c r="H856" i="7" s="1"/>
  <c r="H927" i="6"/>
  <c r="H757" i="7"/>
  <c r="H857" i="7" s="1"/>
  <c r="H934" i="6"/>
  <c r="H763" i="7"/>
  <c r="H863" i="7" s="1"/>
  <c r="H764" i="7"/>
  <c r="H864" i="7" s="1"/>
  <c r="D718" i="7"/>
  <c r="D818" i="7" s="1"/>
  <c r="D712" i="7"/>
  <c r="D812" i="7" s="1"/>
  <c r="L710" i="7"/>
  <c r="L810" i="7" s="1"/>
  <c r="D727" i="7"/>
  <c r="D827" i="7" s="1"/>
  <c r="C769" i="6"/>
  <c r="C878" i="6" s="1"/>
  <c r="F750" i="7"/>
  <c r="F850" i="7" s="1"/>
  <c r="F748" i="7"/>
  <c r="F848" i="7" s="1"/>
  <c r="D751" i="7"/>
  <c r="D851" i="7" s="1"/>
  <c r="E925" i="6"/>
  <c r="C816" i="6"/>
  <c r="C925" i="6" s="1"/>
  <c r="N751" i="7"/>
  <c r="N851" i="7" s="1"/>
  <c r="I772" i="7"/>
  <c r="I942" i="6"/>
  <c r="I947" i="6"/>
  <c r="I777" i="7"/>
  <c r="N948" i="6"/>
  <c r="N778" i="7"/>
  <c r="N878" i="7" s="1"/>
  <c r="F949" i="6"/>
  <c r="F779" i="7"/>
  <c r="F879" i="7" s="1"/>
  <c r="H765" i="7"/>
  <c r="H865" i="7" s="1"/>
  <c r="K943" i="6"/>
  <c r="M774" i="7"/>
  <c r="M874" i="7" s="1"/>
  <c r="O944" i="6"/>
  <c r="O732" i="7"/>
  <c r="O832" i="7" s="1"/>
  <c r="N777" i="7"/>
  <c r="N877" i="7" s="1"/>
  <c r="H947" i="6"/>
  <c r="M948" i="6"/>
  <c r="M778" i="7"/>
  <c r="M878" i="7" s="1"/>
  <c r="G778" i="7"/>
  <c r="G878" i="7" s="1"/>
  <c r="M949" i="6"/>
  <c r="M779" i="7"/>
  <c r="M879" i="7" s="1"/>
  <c r="E779" i="7"/>
  <c r="E879" i="7" s="1"/>
  <c r="D754" i="7"/>
  <c r="D854" i="7" s="1"/>
  <c r="G755" i="7"/>
  <c r="G855" i="7" s="1"/>
  <c r="I756" i="7"/>
  <c r="I856" i="7" s="1"/>
  <c r="K759" i="7"/>
  <c r="K859" i="7" s="1"/>
  <c r="G764" i="7"/>
  <c r="G864" i="7" s="1"/>
  <c r="G762" i="7"/>
  <c r="G862" i="7" s="1"/>
  <c r="N772" i="7"/>
  <c r="N872" i="7" s="1"/>
  <c r="G774" i="7"/>
  <c r="G874" i="7" s="1"/>
  <c r="M947" i="6"/>
  <c r="M777" i="7"/>
  <c r="M877" i="7" s="1"/>
  <c r="F778" i="7"/>
  <c r="F878" i="7" s="1"/>
  <c r="L949" i="6"/>
  <c r="L779" i="7"/>
  <c r="L879" i="7" s="1"/>
  <c r="K706" i="7"/>
  <c r="K806" i="7" s="1"/>
  <c r="E717" i="7"/>
  <c r="E817" i="7" s="1"/>
  <c r="M707" i="7"/>
  <c r="M807" i="7" s="1"/>
  <c r="L711" i="7"/>
  <c r="L811" i="7" s="1"/>
  <c r="C781" i="6"/>
  <c r="C890" i="6" s="1"/>
  <c r="J721" i="7"/>
  <c r="J821" i="7" s="1"/>
  <c r="I717" i="7"/>
  <c r="I817" i="7" s="1"/>
  <c r="G724" i="7"/>
  <c r="G824" i="7" s="1"/>
  <c r="F714" i="7"/>
  <c r="F814" i="7" s="1"/>
  <c r="E722" i="7"/>
  <c r="E822" i="7" s="1"/>
  <c r="M722" i="7"/>
  <c r="M822" i="7" s="1"/>
  <c r="L725" i="7"/>
  <c r="L825" i="7" s="1"/>
  <c r="C789" i="6"/>
  <c r="C898" i="6" s="1"/>
  <c r="J729" i="7"/>
  <c r="J829" i="7" s="1"/>
  <c r="I727" i="7"/>
  <c r="I827" i="7" s="1"/>
  <c r="H729" i="7"/>
  <c r="H829" i="7" s="1"/>
  <c r="G732" i="7"/>
  <c r="G832" i="7" s="1"/>
  <c r="F729" i="7"/>
  <c r="F829" i="7" s="1"/>
  <c r="E730" i="7"/>
  <c r="E830" i="7" s="1"/>
  <c r="M734" i="7"/>
  <c r="M834" i="7" s="1"/>
  <c r="L735" i="7"/>
  <c r="L835" i="7" s="1"/>
  <c r="K736" i="7"/>
  <c r="K836" i="7" s="1"/>
  <c r="J730" i="7"/>
  <c r="J830" i="7" s="1"/>
  <c r="H737" i="7"/>
  <c r="H837" i="7" s="1"/>
  <c r="G735" i="7"/>
  <c r="G835" i="7" s="1"/>
  <c r="F741" i="7"/>
  <c r="F841" i="7" s="1"/>
  <c r="E742" i="7"/>
  <c r="E842" i="7" s="1"/>
  <c r="G758" i="7"/>
  <c r="G858" i="7" s="1"/>
  <c r="E762" i="7"/>
  <c r="E862" i="7" s="1"/>
  <c r="M932" i="6"/>
  <c r="K763" i="7"/>
  <c r="K863" i="7" s="1"/>
  <c r="M766" i="7"/>
  <c r="M866" i="7" s="1"/>
  <c r="H766" i="7"/>
  <c r="H866" i="7" s="1"/>
  <c r="L767" i="7"/>
  <c r="L867" i="7" s="1"/>
  <c r="J771" i="7"/>
  <c r="J871" i="7" s="1"/>
  <c r="L773" i="7"/>
  <c r="L873" i="7" s="1"/>
  <c r="K944" i="6"/>
  <c r="O942" i="6"/>
  <c r="O731" i="7"/>
  <c r="O831" i="7" s="1"/>
  <c r="G947" i="6"/>
  <c r="G777" i="7"/>
  <c r="G877" i="7" s="1"/>
  <c r="K778" i="7"/>
  <c r="K878" i="7" s="1"/>
  <c r="E948" i="6"/>
  <c r="E778" i="7"/>
  <c r="E878" i="7" s="1"/>
  <c r="D949" i="6"/>
  <c r="K779" i="7"/>
  <c r="K879" i="7" s="1"/>
  <c r="F754" i="7"/>
  <c r="F854" i="7" s="1"/>
  <c r="G756" i="7"/>
  <c r="G856" i="7" s="1"/>
  <c r="H759" i="7"/>
  <c r="H859" i="7" s="1"/>
  <c r="F760" i="7"/>
  <c r="F860" i="7" s="1"/>
  <c r="G766" i="7"/>
  <c r="G866" i="7" s="1"/>
  <c r="G940" i="6"/>
  <c r="M772" i="7"/>
  <c r="M872" i="7" s="1"/>
  <c r="G773" i="7"/>
  <c r="G873" i="7" s="1"/>
  <c r="O730" i="7"/>
  <c r="O830" i="7" s="1"/>
  <c r="O771" i="7"/>
  <c r="O871" i="7" s="1"/>
  <c r="O770" i="7"/>
  <c r="O870" i="7" s="1"/>
  <c r="O776" i="7"/>
  <c r="O876" i="7" s="1"/>
  <c r="L777" i="7"/>
  <c r="L877" i="7" s="1"/>
  <c r="J948" i="6"/>
  <c r="J778" i="7"/>
  <c r="J878" i="7" s="1"/>
  <c r="D778" i="7"/>
  <c r="P949" i="6"/>
  <c r="P779" i="7"/>
  <c r="P879" i="7" s="1"/>
  <c r="J949" i="6"/>
  <c r="J779" i="7"/>
  <c r="J879" i="7" s="1"/>
  <c r="I172" i="7"/>
  <c r="E758" i="7"/>
  <c r="E858" i="7" s="1"/>
  <c r="K758" i="7"/>
  <c r="K858" i="7" s="1"/>
  <c r="C823" i="6"/>
  <c r="C932" i="6" s="1"/>
  <c r="D763" i="7"/>
  <c r="D863" i="7" s="1"/>
  <c r="L765" i="7"/>
  <c r="L865" i="7" s="1"/>
  <c r="K769" i="7"/>
  <c r="K869" i="7" s="1"/>
  <c r="J768" i="7"/>
  <c r="J868" i="7" s="1"/>
  <c r="K771" i="7"/>
  <c r="K871" i="7" s="1"/>
  <c r="H773" i="7"/>
  <c r="H873" i="7" s="1"/>
  <c r="M773" i="7"/>
  <c r="M873" i="7" s="1"/>
  <c r="J774" i="7"/>
  <c r="J874" i="7" s="1"/>
  <c r="K947" i="6"/>
  <c r="K777" i="7"/>
  <c r="K877" i="7" s="1"/>
  <c r="F777" i="7"/>
  <c r="F877" i="7" s="1"/>
  <c r="K948" i="6"/>
  <c r="I949" i="6"/>
  <c r="I779" i="7"/>
  <c r="C189" i="6"/>
  <c r="D952" i="6"/>
  <c r="D170" i="7"/>
  <c r="I954" i="6"/>
  <c r="D172" i="7"/>
  <c r="C772" i="6"/>
  <c r="C881" i="6" s="1"/>
  <c r="M741" i="7"/>
  <c r="M841" i="7" s="1"/>
  <c r="L745" i="7"/>
  <c r="L845" i="7" s="1"/>
  <c r="J739" i="7"/>
  <c r="J839" i="7" s="1"/>
  <c r="H748" i="7"/>
  <c r="H848" i="7" s="1"/>
  <c r="E748" i="7"/>
  <c r="E848" i="7" s="1"/>
  <c r="M750" i="7"/>
  <c r="M850" i="7" s="1"/>
  <c r="L748" i="7"/>
  <c r="L848" i="7" s="1"/>
  <c r="K752" i="7"/>
  <c r="K852" i="7" s="1"/>
  <c r="D736" i="7"/>
  <c r="D836" i="7" s="1"/>
  <c r="D753" i="7"/>
  <c r="D853" i="7" s="1"/>
  <c r="N714" i="7"/>
  <c r="N814" i="7" s="1"/>
  <c r="N722" i="7"/>
  <c r="N822" i="7" s="1"/>
  <c r="M756" i="7"/>
  <c r="M856" i="7" s="1"/>
  <c r="J756" i="7"/>
  <c r="J856" i="7" s="1"/>
  <c r="D761" i="7"/>
  <c r="D861" i="7" s="1"/>
  <c r="D934" i="6"/>
  <c r="K768" i="7"/>
  <c r="K868" i="7" s="1"/>
  <c r="D774" i="7"/>
  <c r="P777" i="7"/>
  <c r="P877" i="7" s="1"/>
  <c r="E947" i="6"/>
  <c r="E777" i="7"/>
  <c r="E877" i="7" s="1"/>
  <c r="P948" i="6"/>
  <c r="P778" i="7"/>
  <c r="P878" i="7" s="1"/>
  <c r="I778" i="7"/>
  <c r="F948" i="6"/>
  <c r="O779" i="7"/>
  <c r="O879" i="7" s="1"/>
  <c r="H949" i="6"/>
  <c r="H779" i="7"/>
  <c r="H879" i="7" s="1"/>
  <c r="D169" i="7"/>
  <c r="D177" i="7"/>
  <c r="D176" i="7"/>
  <c r="D175" i="7"/>
  <c r="K761" i="7"/>
  <c r="K861" i="7" s="1"/>
  <c r="C825" i="6"/>
  <c r="C934" i="6" s="1"/>
  <c r="H767" i="7"/>
  <c r="H867" i="7" s="1"/>
  <c r="I773" i="7"/>
  <c r="I774" i="7"/>
  <c r="O947" i="6"/>
  <c r="O777" i="7"/>
  <c r="O877" i="7" s="1"/>
  <c r="J777" i="7"/>
  <c r="J877" i="7" s="1"/>
  <c r="D777" i="7"/>
  <c r="O948" i="6"/>
  <c r="O778" i="7"/>
  <c r="O878" i="7" s="1"/>
  <c r="H948" i="6"/>
  <c r="H778" i="7"/>
  <c r="H878" i="7" s="1"/>
  <c r="N949" i="6"/>
  <c r="G779" i="7"/>
  <c r="G879" i="7" s="1"/>
  <c r="I176" i="7"/>
  <c r="I175" i="7"/>
  <c r="I177" i="7"/>
  <c r="I879" i="7" s="1"/>
  <c r="C818" i="6"/>
  <c r="C927" i="6" s="1"/>
  <c r="P745" i="7"/>
  <c r="P845" i="7" s="1"/>
  <c r="C829" i="6"/>
  <c r="C938" i="6" s="1"/>
  <c r="F706" i="7"/>
  <c r="F806" i="7" s="1"/>
  <c r="G720" i="7"/>
  <c r="G820" i="7" s="1"/>
  <c r="I719" i="7"/>
  <c r="I819" i="7" s="1"/>
  <c r="K718" i="7"/>
  <c r="K818" i="7" s="1"/>
  <c r="M717" i="7"/>
  <c r="M817" i="7" s="1"/>
  <c r="G716" i="7"/>
  <c r="G816" i="7" s="1"/>
  <c r="I715" i="7"/>
  <c r="I815" i="7" s="1"/>
  <c r="K714" i="7"/>
  <c r="K814" i="7" s="1"/>
  <c r="M713" i="7"/>
  <c r="M813" i="7" s="1"/>
  <c r="E713" i="7"/>
  <c r="E813" i="7" s="1"/>
  <c r="G712" i="7"/>
  <c r="G812" i="7" s="1"/>
  <c r="I711" i="7"/>
  <c r="I811" i="7" s="1"/>
  <c r="K710" i="7"/>
  <c r="K810" i="7" s="1"/>
  <c r="M709" i="7"/>
  <c r="M809" i="7" s="1"/>
  <c r="E709" i="7"/>
  <c r="G708" i="7"/>
  <c r="G808" i="7" s="1"/>
  <c r="I707" i="7"/>
  <c r="I807" i="7" s="1"/>
  <c r="C794" i="6"/>
  <c r="C903" i="6" s="1"/>
  <c r="C786" i="6"/>
  <c r="C895" i="6" s="1"/>
  <c r="G721" i="7"/>
  <c r="G821" i="7" s="1"/>
  <c r="K898" i="6"/>
  <c r="K890" i="6"/>
  <c r="J722" i="7"/>
  <c r="J822" i="7" s="1"/>
  <c r="G723" i="7"/>
  <c r="G823" i="7" s="1"/>
  <c r="L724" i="7"/>
  <c r="L824" i="7" s="1"/>
  <c r="I725" i="7"/>
  <c r="I825" i="7" s="1"/>
  <c r="F726" i="7"/>
  <c r="F826" i="7" s="1"/>
  <c r="L728" i="7"/>
  <c r="L828" i="7" s="1"/>
  <c r="F727" i="7"/>
  <c r="E912" i="6"/>
  <c r="C778" i="6"/>
  <c r="C887" i="6" s="1"/>
  <c r="C770" i="6"/>
  <c r="C879" i="6" s="1"/>
  <c r="C803" i="6"/>
  <c r="C912" i="6" s="1"/>
  <c r="I733" i="7"/>
  <c r="I833" i="7" s="1"/>
  <c r="C810" i="6"/>
  <c r="C919" i="6" s="1"/>
  <c r="D735" i="7"/>
  <c r="D835" i="7" s="1"/>
  <c r="L737" i="7"/>
  <c r="L837" i="7" s="1"/>
  <c r="G738" i="7"/>
  <c r="G838" i="7" s="1"/>
  <c r="K731" i="7"/>
  <c r="K831" i="7" s="1"/>
  <c r="M732" i="7"/>
  <c r="M832" i="7" s="1"/>
  <c r="E735" i="7"/>
  <c r="E835" i="7" s="1"/>
  <c r="K734" i="7"/>
  <c r="K834" i="7" s="1"/>
  <c r="M742" i="7"/>
  <c r="M842" i="7" s="1"/>
  <c r="K739" i="7"/>
  <c r="K839" i="7" s="1"/>
  <c r="G740" i="7"/>
  <c r="G840" i="7" s="1"/>
  <c r="I734" i="7"/>
  <c r="I834" i="7" s="1"/>
  <c r="E740" i="7"/>
  <c r="E840" i="7" s="1"/>
  <c r="H734" i="7"/>
  <c r="H834" i="7" s="1"/>
  <c r="I744" i="7"/>
  <c r="I844" i="7" s="1"/>
  <c r="D746" i="7"/>
  <c r="D846" i="7" s="1"/>
  <c r="D745" i="7"/>
  <c r="D845" i="7" s="1"/>
  <c r="L916" i="6"/>
  <c r="G748" i="7"/>
  <c r="G848" i="7" s="1"/>
  <c r="K750" i="7"/>
  <c r="K850" i="7" s="1"/>
  <c r="H751" i="7"/>
  <c r="H851" i="7" s="1"/>
  <c r="M921" i="6"/>
  <c r="D733" i="7"/>
  <c r="D833" i="7" s="1"/>
  <c r="D740" i="7"/>
  <c r="D840" i="7" s="1"/>
  <c r="L713" i="7"/>
  <c r="L813" i="7" s="1"/>
  <c r="J710" i="7"/>
  <c r="J810" i="7" s="1"/>
  <c r="L709" i="7"/>
  <c r="L809" i="7" s="1"/>
  <c r="H707" i="7"/>
  <c r="H807" i="7" s="1"/>
  <c r="C793" i="6"/>
  <c r="C902" i="6" s="1"/>
  <c r="C785" i="6"/>
  <c r="C894" i="6" s="1"/>
  <c r="F721" i="7"/>
  <c r="F821" i="7" s="1"/>
  <c r="L897" i="6"/>
  <c r="L889" i="6"/>
  <c r="I722" i="7"/>
  <c r="I822" i="7" s="1"/>
  <c r="F723" i="7"/>
  <c r="F823" i="7" s="1"/>
  <c r="K724" i="7"/>
  <c r="K824" i="7" s="1"/>
  <c r="H725" i="7"/>
  <c r="H825" i="7" s="1"/>
  <c r="J907" i="6"/>
  <c r="M726" i="7"/>
  <c r="M826" i="7" s="1"/>
  <c r="E726" i="7"/>
  <c r="E826" i="7" s="1"/>
  <c r="K728" i="7"/>
  <c r="K828" i="7" s="1"/>
  <c r="M727" i="7"/>
  <c r="M827" i="7" s="1"/>
  <c r="E727" i="7"/>
  <c r="E827" i="7" s="1"/>
  <c r="E916" i="6"/>
  <c r="C777" i="6"/>
  <c r="C886" i="6" s="1"/>
  <c r="C767" i="6"/>
  <c r="C876" i="6" s="1"/>
  <c r="F730" i="7"/>
  <c r="F830" i="7" s="1"/>
  <c r="C807" i="6"/>
  <c r="C916" i="6" s="1"/>
  <c r="L736" i="7"/>
  <c r="L836" i="7" s="1"/>
  <c r="G731" i="7"/>
  <c r="G831" i="7" s="1"/>
  <c r="M737" i="7"/>
  <c r="M837" i="7" s="1"/>
  <c r="K729" i="7"/>
  <c r="G734" i="7"/>
  <c r="G834" i="7" s="1"/>
  <c r="J742" i="7"/>
  <c r="J842" i="7" s="1"/>
  <c r="G910" i="6"/>
  <c r="E734" i="7"/>
  <c r="E834" i="7" s="1"/>
  <c r="K733" i="7"/>
  <c r="K833" i="7" s="1"/>
  <c r="K746" i="7"/>
  <c r="K846" i="7" s="1"/>
  <c r="M746" i="7"/>
  <c r="M846" i="7" s="1"/>
  <c r="J745" i="7"/>
  <c r="J845" i="7" s="1"/>
  <c r="J747" i="7"/>
  <c r="J847" i="7" s="1"/>
  <c r="J748" i="7"/>
  <c r="J848" i="7" s="1"/>
  <c r="J750" i="7"/>
  <c r="J850" i="7" s="1"/>
  <c r="K877" i="6"/>
  <c r="J881" i="6"/>
  <c r="E731" i="7"/>
  <c r="E831" i="7" s="1"/>
  <c r="E733" i="7"/>
  <c r="E833" i="7" s="1"/>
  <c r="M731" i="7"/>
  <c r="M831" i="7" s="1"/>
  <c r="K732" i="7"/>
  <c r="K832" i="7" s="1"/>
  <c r="G736" i="7"/>
  <c r="G836" i="7" s="1"/>
  <c r="G739" i="7"/>
  <c r="G839" i="7" s="1"/>
  <c r="F740" i="7"/>
  <c r="F840" i="7" s="1"/>
  <c r="F737" i="7"/>
  <c r="F837" i="7" s="1"/>
  <c r="K740" i="7"/>
  <c r="K840" i="7" s="1"/>
  <c r="K741" i="7"/>
  <c r="K841" i="7" s="1"/>
  <c r="E754" i="7"/>
  <c r="E854" i="7" s="1"/>
  <c r="E924" i="6"/>
  <c r="C815" i="6"/>
  <c r="C924" i="6" s="1"/>
  <c r="K755" i="7"/>
  <c r="K855" i="7" s="1"/>
  <c r="K926" i="6"/>
  <c r="K756" i="7"/>
  <c r="K856" i="7" s="1"/>
  <c r="N775" i="7"/>
  <c r="N875" i="7" s="1"/>
  <c r="N945" i="6"/>
  <c r="N767" i="7"/>
  <c r="N867" i="7" s="1"/>
  <c r="F775" i="7"/>
  <c r="F875" i="7" s="1"/>
  <c r="F945" i="6"/>
  <c r="C836" i="6"/>
  <c r="C945" i="6" s="1"/>
  <c r="F771" i="7"/>
  <c r="F871" i="7" s="1"/>
  <c r="F773" i="7"/>
  <c r="F873" i="7" s="1"/>
  <c r="I749" i="7"/>
  <c r="I849" i="7" s="1"/>
  <c r="I921" i="6"/>
  <c r="L720" i="7"/>
  <c r="L820" i="7" s="1"/>
  <c r="F719" i="7"/>
  <c r="F819" i="7" s="1"/>
  <c r="H718" i="7"/>
  <c r="H818" i="7" s="1"/>
  <c r="J717" i="7"/>
  <c r="J817" i="7" s="1"/>
  <c r="L716" i="7"/>
  <c r="L816" i="7" s="1"/>
  <c r="F715" i="7"/>
  <c r="F815" i="7" s="1"/>
  <c r="H714" i="7"/>
  <c r="H814" i="7" s="1"/>
  <c r="J713" i="7"/>
  <c r="L712" i="7"/>
  <c r="L812" i="7" s="1"/>
  <c r="H710" i="7"/>
  <c r="H810" i="7" s="1"/>
  <c r="J709" i="7"/>
  <c r="J809" i="7" s="1"/>
  <c r="L708" i="7"/>
  <c r="L808" i="7" s="1"/>
  <c r="D708" i="7"/>
  <c r="D808" i="7" s="1"/>
  <c r="F707" i="7"/>
  <c r="F807" i="7" s="1"/>
  <c r="C799" i="6"/>
  <c r="C908" i="6" s="1"/>
  <c r="C791" i="6"/>
  <c r="C900" i="6" s="1"/>
  <c r="C783" i="6"/>
  <c r="C892" i="6" s="1"/>
  <c r="L721" i="7"/>
  <c r="L821" i="7" s="1"/>
  <c r="F903" i="6"/>
  <c r="F895" i="6"/>
  <c r="G722" i="7"/>
  <c r="G822" i="7" s="1"/>
  <c r="L723" i="7"/>
  <c r="L823" i="7" s="1"/>
  <c r="I724" i="7"/>
  <c r="I824" i="7" s="1"/>
  <c r="K906" i="6"/>
  <c r="F725" i="7"/>
  <c r="K726" i="7"/>
  <c r="K826" i="7" s="1"/>
  <c r="I728" i="7"/>
  <c r="I828" i="7" s="1"/>
  <c r="K727" i="7"/>
  <c r="K827" i="7" s="1"/>
  <c r="C775" i="6"/>
  <c r="C884" i="6" s="1"/>
  <c r="L730" i="7"/>
  <c r="L830" i="7" s="1"/>
  <c r="F733" i="7"/>
  <c r="F833" i="7" s="1"/>
  <c r="J733" i="7"/>
  <c r="J833" i="7" s="1"/>
  <c r="C809" i="6"/>
  <c r="C918" i="6" s="1"/>
  <c r="H919" i="6"/>
  <c r="J738" i="7"/>
  <c r="J838" i="7" s="1"/>
  <c r="K735" i="7"/>
  <c r="K835" i="7" s="1"/>
  <c r="E729" i="7"/>
  <c r="E829" i="7" s="1"/>
  <c r="G730" i="7"/>
  <c r="I737" i="7"/>
  <c r="I837" i="7" s="1"/>
  <c r="L731" i="7"/>
  <c r="L831" i="7" s="1"/>
  <c r="E741" i="7"/>
  <c r="E841" i="7" s="1"/>
  <c r="I742" i="7"/>
  <c r="I842" i="7" s="1"/>
  <c r="J731" i="7"/>
  <c r="J831" i="7" s="1"/>
  <c r="K742" i="7"/>
  <c r="K842" i="7" s="1"/>
  <c r="H739" i="7"/>
  <c r="H839" i="7" s="1"/>
  <c r="K744" i="7"/>
  <c r="K844" i="7" s="1"/>
  <c r="F746" i="7"/>
  <c r="F846" i="7" s="1"/>
  <c r="H746" i="7"/>
  <c r="H846" i="7" s="1"/>
  <c r="F747" i="7"/>
  <c r="F847" i="7" s="1"/>
  <c r="L747" i="7"/>
  <c r="L847" i="7" s="1"/>
  <c r="G920" i="6"/>
  <c r="K751" i="7"/>
  <c r="K851" i="7" s="1"/>
  <c r="L750" i="7"/>
  <c r="L850" i="7" s="1"/>
  <c r="L749" i="7"/>
  <c r="L849" i="7" s="1"/>
  <c r="L743" i="7"/>
  <c r="L843" i="7" s="1"/>
  <c r="L742" i="7"/>
  <c r="L842" i="7" s="1"/>
  <c r="K743" i="7"/>
  <c r="K843" i="7" s="1"/>
  <c r="E749" i="7"/>
  <c r="E849" i="7" s="1"/>
  <c r="N883" i="6"/>
  <c r="N713" i="7"/>
  <c r="N813" i="7" s="1"/>
  <c r="N706" i="7"/>
  <c r="N806" i="7" s="1"/>
  <c r="N891" i="6"/>
  <c r="N719" i="7"/>
  <c r="N819" i="7" s="1"/>
  <c r="N721" i="7"/>
  <c r="N821" i="7" s="1"/>
  <c r="N718" i="7"/>
  <c r="N818" i="7" s="1"/>
  <c r="N720" i="7"/>
  <c r="N820" i="7" s="1"/>
  <c r="N899" i="6"/>
  <c r="N726" i="7"/>
  <c r="N826" i="7" s="1"/>
  <c r="N727" i="7"/>
  <c r="N827" i="7" s="1"/>
  <c r="N724" i="7"/>
  <c r="N728" i="7"/>
  <c r="N828" i="7" s="1"/>
  <c r="N725" i="7"/>
  <c r="N825" i="7" s="1"/>
  <c r="N907" i="6"/>
  <c r="N736" i="7"/>
  <c r="N836" i="7" s="1"/>
  <c r="N737" i="7"/>
  <c r="N837" i="7" s="1"/>
  <c r="N733" i="7"/>
  <c r="N833" i="7" s="1"/>
  <c r="N735" i="7"/>
  <c r="N835" i="7" s="1"/>
  <c r="N732" i="7"/>
  <c r="N832" i="7" s="1"/>
  <c r="N742" i="7"/>
  <c r="N842" i="7" s="1"/>
  <c r="N743" i="7"/>
  <c r="N843" i="7" s="1"/>
  <c r="N741" i="7"/>
  <c r="N841" i="7" s="1"/>
  <c r="N915" i="6"/>
  <c r="N744" i="7"/>
  <c r="N844" i="7" s="1"/>
  <c r="N745" i="7"/>
  <c r="N845" i="7" s="1"/>
  <c r="N738" i="7"/>
  <c r="N838" i="7" s="1"/>
  <c r="N753" i="7"/>
  <c r="N853" i="7" s="1"/>
  <c r="N749" i="7"/>
  <c r="N849" i="7" s="1"/>
  <c r="N746" i="7"/>
  <c r="N846" i="7" s="1"/>
  <c r="N923" i="6"/>
  <c r="N747" i="7"/>
  <c r="N847" i="7" s="1"/>
  <c r="N766" i="7"/>
  <c r="N866" i="7" s="1"/>
  <c r="N936" i="6"/>
  <c r="N755" i="7"/>
  <c r="N855" i="7" s="1"/>
  <c r="N757" i="7"/>
  <c r="N857" i="7" s="1"/>
  <c r="N756" i="7"/>
  <c r="N856" i="7" s="1"/>
  <c r="F766" i="7"/>
  <c r="F866" i="7" s="1"/>
  <c r="F936" i="6"/>
  <c r="F757" i="7"/>
  <c r="F857" i="7" s="1"/>
  <c r="J764" i="7"/>
  <c r="J864" i="7" s="1"/>
  <c r="J763" i="7"/>
  <c r="J863" i="7" s="1"/>
  <c r="J762" i="7"/>
  <c r="J862" i="7" s="1"/>
  <c r="J937" i="6"/>
  <c r="J767" i="7"/>
  <c r="J867" i="7" s="1"/>
  <c r="J757" i="7"/>
  <c r="J857" i="7" s="1"/>
  <c r="J706" i="7"/>
  <c r="J806" i="7" s="1"/>
  <c r="K720" i="7"/>
  <c r="K820" i="7" s="1"/>
  <c r="M719" i="7"/>
  <c r="M819" i="7" s="1"/>
  <c r="E719" i="7"/>
  <c r="E819" i="7" s="1"/>
  <c r="G718" i="7"/>
  <c r="K716" i="7"/>
  <c r="K816" i="7" s="1"/>
  <c r="M715" i="7"/>
  <c r="M815" i="7" s="1"/>
  <c r="E715" i="7"/>
  <c r="E815" i="7" s="1"/>
  <c r="G714" i="7"/>
  <c r="G814" i="7" s="1"/>
  <c r="I713" i="7"/>
  <c r="I813" i="7" s="1"/>
  <c r="K712" i="7"/>
  <c r="K812" i="7" s="1"/>
  <c r="M711" i="7"/>
  <c r="M811" i="7" s="1"/>
  <c r="E711" i="7"/>
  <c r="G710" i="7"/>
  <c r="G810" i="7" s="1"/>
  <c r="I709" i="7"/>
  <c r="I809" i="7" s="1"/>
  <c r="K708" i="7"/>
  <c r="E707" i="7"/>
  <c r="E807" i="7" s="1"/>
  <c r="C798" i="6"/>
  <c r="C907" i="6" s="1"/>
  <c r="C790" i="6"/>
  <c r="C899" i="6" s="1"/>
  <c r="C782" i="6"/>
  <c r="C891" i="6" s="1"/>
  <c r="K721" i="7"/>
  <c r="K821" i="7" s="1"/>
  <c r="G902" i="6"/>
  <c r="G894" i="6"/>
  <c r="F722" i="7"/>
  <c r="F822" i="7" s="1"/>
  <c r="K723" i="7"/>
  <c r="K823" i="7" s="1"/>
  <c r="H724" i="7"/>
  <c r="H824" i="7" s="1"/>
  <c r="M725" i="7"/>
  <c r="M825" i="7" s="1"/>
  <c r="E725" i="7"/>
  <c r="E825" i="7" s="1"/>
  <c r="J726" i="7"/>
  <c r="J826" i="7" s="1"/>
  <c r="H909" i="6"/>
  <c r="H728" i="7"/>
  <c r="H828" i="7" s="1"/>
  <c r="J727" i="7"/>
  <c r="J827" i="7" s="1"/>
  <c r="C774" i="6"/>
  <c r="C883" i="6" s="1"/>
  <c r="C806" i="6"/>
  <c r="C915" i="6" s="1"/>
  <c r="L732" i="7"/>
  <c r="L832" i="7" s="1"/>
  <c r="F738" i="7"/>
  <c r="F838" i="7" s="1"/>
  <c r="D737" i="7"/>
  <c r="D837" i="7" s="1"/>
  <c r="C814" i="6"/>
  <c r="C923" i="6" s="1"/>
  <c r="M736" i="7"/>
  <c r="M836" i="7" s="1"/>
  <c r="E737" i="7"/>
  <c r="E837" i="7" s="1"/>
  <c r="H731" i="7"/>
  <c r="H831" i="7" s="1"/>
  <c r="L740" i="7"/>
  <c r="L840" i="7" s="1"/>
  <c r="F739" i="7"/>
  <c r="F731" i="7"/>
  <c r="F831" i="7" s="1"/>
  <c r="G742" i="7"/>
  <c r="G842" i="7" s="1"/>
  <c r="M740" i="7"/>
  <c r="M840" i="7" s="1"/>
  <c r="F744" i="7"/>
  <c r="F844" i="7" s="1"/>
  <c r="D743" i="7"/>
  <c r="D843" i="7" s="1"/>
  <c r="I745" i="7"/>
  <c r="I845" i="7" s="1"/>
  <c r="K745" i="7"/>
  <c r="K845" i="7" s="1"/>
  <c r="G917" i="6"/>
  <c r="F752" i="7"/>
  <c r="F852" i="7" s="1"/>
  <c r="K753" i="7"/>
  <c r="K853" i="7" s="1"/>
  <c r="K747" i="7"/>
  <c r="K847" i="7" s="1"/>
  <c r="H749" i="7"/>
  <c r="H849" i="7" s="1"/>
  <c r="G912" i="6"/>
  <c r="G741" i="7"/>
  <c r="G841" i="7" s="1"/>
  <c r="E743" i="7"/>
  <c r="E843" i="7" s="1"/>
  <c r="D729" i="7"/>
  <c r="D829" i="7" s="1"/>
  <c r="I754" i="7"/>
  <c r="I854" i="7" s="1"/>
  <c r="I924" i="6"/>
  <c r="I753" i="7"/>
  <c r="I853" i="7" s="1"/>
  <c r="N709" i="7"/>
  <c r="N809" i="7" s="1"/>
  <c r="N765" i="7"/>
  <c r="N865" i="7" s="1"/>
  <c r="O764" i="7"/>
  <c r="O864" i="7" s="1"/>
  <c r="O769" i="7"/>
  <c r="O869" i="7" s="1"/>
  <c r="O765" i="7"/>
  <c r="O865" i="7" s="1"/>
  <c r="O768" i="7"/>
  <c r="O868" i="7" s="1"/>
  <c r="O767" i="7"/>
  <c r="O867" i="7" s="1"/>
  <c r="O766" i="7"/>
  <c r="O866" i="7" s="1"/>
  <c r="O939" i="6"/>
  <c r="O763" i="7"/>
  <c r="O863" i="7" s="1"/>
  <c r="O755" i="7"/>
  <c r="O855" i="7" s="1"/>
  <c r="O756" i="7"/>
  <c r="O856" i="7" s="1"/>
  <c r="O761" i="7"/>
  <c r="O861" i="7" s="1"/>
  <c r="O758" i="7"/>
  <c r="O858" i="7" s="1"/>
  <c r="O759" i="7"/>
  <c r="O859" i="7" s="1"/>
  <c r="O760" i="7"/>
  <c r="O860" i="7" s="1"/>
  <c r="O754" i="7"/>
  <c r="O854" i="7" s="1"/>
  <c r="O747" i="7"/>
  <c r="O847" i="7" s="1"/>
  <c r="O748" i="7"/>
  <c r="O848" i="7" s="1"/>
  <c r="O750" i="7"/>
  <c r="O850" i="7" s="1"/>
  <c r="O751" i="7"/>
  <c r="O851" i="7" s="1"/>
  <c r="O752" i="7"/>
  <c r="O852" i="7" s="1"/>
  <c r="O753" i="7"/>
  <c r="O853" i="7" s="1"/>
  <c r="O746" i="7"/>
  <c r="O846" i="7" s="1"/>
  <c r="O739" i="7"/>
  <c r="O839" i="7" s="1"/>
  <c r="O740" i="7"/>
  <c r="O840" i="7" s="1"/>
  <c r="O734" i="7"/>
  <c r="O834" i="7" s="1"/>
  <c r="O742" i="7"/>
  <c r="O842" i="7" s="1"/>
  <c r="O743" i="7"/>
  <c r="O843" i="7" s="1"/>
  <c r="O744" i="7"/>
  <c r="O844" i="7" s="1"/>
  <c r="O745" i="7"/>
  <c r="O845" i="7" s="1"/>
  <c r="O738" i="7"/>
  <c r="O838" i="7" s="1"/>
  <c r="I706" i="7"/>
  <c r="J720" i="7"/>
  <c r="L719" i="7"/>
  <c r="L819" i="7" s="1"/>
  <c r="F718" i="7"/>
  <c r="F818" i="7" s="1"/>
  <c r="H717" i="7"/>
  <c r="H817" i="7" s="1"/>
  <c r="J716" i="7"/>
  <c r="J816" i="7" s="1"/>
  <c r="L715" i="7"/>
  <c r="L815" i="7" s="1"/>
  <c r="H713" i="7"/>
  <c r="H813" i="7" s="1"/>
  <c r="J712" i="7"/>
  <c r="J812" i="7" s="1"/>
  <c r="F710" i="7"/>
  <c r="F810" i="7" s="1"/>
  <c r="H709" i="7"/>
  <c r="H809" i="7" s="1"/>
  <c r="J708" i="7"/>
  <c r="J808" i="7" s="1"/>
  <c r="C896" i="6"/>
  <c r="C797" i="6"/>
  <c r="C906" i="6" s="1"/>
  <c r="H901" i="6"/>
  <c r="J723" i="7"/>
  <c r="J823" i="7" s="1"/>
  <c r="L905" i="6"/>
  <c r="I726" i="7"/>
  <c r="I826" i="7" s="1"/>
  <c r="G728" i="7"/>
  <c r="G828" i="7" s="1"/>
  <c r="C773" i="6"/>
  <c r="C882" i="6" s="1"/>
  <c r="H730" i="7"/>
  <c r="H830" i="7" s="1"/>
  <c r="L733" i="7"/>
  <c r="L833" i="7" s="1"/>
  <c r="C813" i="6"/>
  <c r="C922" i="6" s="1"/>
  <c r="J736" i="7"/>
  <c r="J836" i="7" s="1"/>
  <c r="M735" i="7"/>
  <c r="M835" i="7" s="1"/>
  <c r="L729" i="7"/>
  <c r="L829" i="7" s="1"/>
  <c r="I739" i="7"/>
  <c r="I839" i="7" s="1"/>
  <c r="E745" i="7"/>
  <c r="E845" i="7" s="1"/>
  <c r="I748" i="7"/>
  <c r="I848" i="7" s="1"/>
  <c r="H747" i="7"/>
  <c r="K923" i="6"/>
  <c r="G747" i="7"/>
  <c r="G847" i="7" s="1"/>
  <c r="H752" i="7"/>
  <c r="H852" i="7" s="1"/>
  <c r="M729" i="7"/>
  <c r="M829" i="7" s="1"/>
  <c r="K730" i="7"/>
  <c r="K830" i="7" s="1"/>
  <c r="I731" i="7"/>
  <c r="I831" i="7" s="1"/>
  <c r="F734" i="7"/>
  <c r="F834" i="7" s="1"/>
  <c r="E736" i="7"/>
  <c r="I740" i="7"/>
  <c r="I840" i="7" s="1"/>
  <c r="I741" i="7"/>
  <c r="I841" i="7" s="1"/>
  <c r="F743" i="7"/>
  <c r="F843" i="7" s="1"/>
  <c r="N707" i="7"/>
  <c r="N807" i="7" s="1"/>
  <c r="M743" i="7"/>
  <c r="M843" i="7" s="1"/>
  <c r="J920" i="6"/>
  <c r="M744" i="7"/>
  <c r="M844" i="7" s="1"/>
  <c r="L746" i="7"/>
  <c r="L846" i="7" s="1"/>
  <c r="L744" i="7"/>
  <c r="L844" i="7" s="1"/>
  <c r="J746" i="7"/>
  <c r="J846" i="7" s="1"/>
  <c r="J918" i="6"/>
  <c r="E750" i="7"/>
  <c r="E850" i="7" s="1"/>
  <c r="E751" i="7"/>
  <c r="E851" i="7" s="1"/>
  <c r="C812" i="6"/>
  <c r="C921" i="6" s="1"/>
  <c r="E747" i="7"/>
  <c r="E847" i="7" s="1"/>
  <c r="L922" i="6"/>
  <c r="L752" i="7"/>
  <c r="L852" i="7" s="1"/>
  <c r="D916" i="6"/>
  <c r="D744" i="7"/>
  <c r="D844" i="7" s="1"/>
  <c r="D750" i="7"/>
  <c r="D850" i="7" s="1"/>
  <c r="D749" i="7"/>
  <c r="D849" i="7" s="1"/>
  <c r="D752" i="7"/>
  <c r="D852" i="7" s="1"/>
  <c r="D923" i="6"/>
  <c r="H742" i="7"/>
  <c r="H842" i="7" s="1"/>
  <c r="H913" i="6"/>
  <c r="H741" i="7"/>
  <c r="H841" i="7" s="1"/>
  <c r="F915" i="6"/>
  <c r="F742" i="7"/>
  <c r="F842" i="7" s="1"/>
  <c r="F921" i="6"/>
  <c r="F751" i="7"/>
  <c r="F851" i="7" s="1"/>
  <c r="M754" i="7"/>
  <c r="M854" i="7" s="1"/>
  <c r="M924" i="6"/>
  <c r="L757" i="7"/>
  <c r="L857" i="7" s="1"/>
  <c r="L755" i="7"/>
  <c r="L855" i="7" s="1"/>
  <c r="L927" i="6"/>
  <c r="L754" i="7"/>
  <c r="L854" i="7" s="1"/>
  <c r="M758" i="7"/>
  <c r="M858" i="7" s="1"/>
  <c r="N760" i="7"/>
  <c r="N860" i="7" s="1"/>
  <c r="J761" i="7"/>
  <c r="J861" i="7" s="1"/>
  <c r="P762" i="7"/>
  <c r="P862" i="7" s="1"/>
  <c r="P932" i="6"/>
  <c r="I762" i="7"/>
  <c r="I862" i="7" s="1"/>
  <c r="N769" i="7"/>
  <c r="N869" i="7" s="1"/>
  <c r="F769" i="7"/>
  <c r="F869" i="7" s="1"/>
  <c r="N771" i="7"/>
  <c r="N871" i="7" s="1"/>
  <c r="D755" i="7"/>
  <c r="D855" i="7" s="1"/>
  <c r="C817" i="6"/>
  <c r="C926" i="6" s="1"/>
  <c r="N708" i="7"/>
  <c r="N808" i="7" s="1"/>
  <c r="N895" i="6"/>
  <c r="N731" i="7"/>
  <c r="N831" i="7" s="1"/>
  <c r="N711" i="7"/>
  <c r="N811" i="7" s="1"/>
  <c r="N717" i="7"/>
  <c r="N817" i="7" s="1"/>
  <c r="G757" i="7"/>
  <c r="G857" i="7" s="1"/>
  <c r="N928" i="6"/>
  <c r="N758" i="7"/>
  <c r="N858" i="7" s="1"/>
  <c r="F758" i="7"/>
  <c r="F858" i="7" s="1"/>
  <c r="I761" i="7"/>
  <c r="I861" i="7" s="1"/>
  <c r="N932" i="6"/>
  <c r="N762" i="7"/>
  <c r="N862" i="7" s="1"/>
  <c r="F762" i="7"/>
  <c r="F862" i="7" s="1"/>
  <c r="F765" i="7"/>
  <c r="F865" i="7" s="1"/>
  <c r="C827" i="6"/>
  <c r="C936" i="6" s="1"/>
  <c r="M938" i="6"/>
  <c r="M768" i="7"/>
  <c r="M868" i="7" s="1"/>
  <c r="M767" i="7"/>
  <c r="M867" i="7" s="1"/>
  <c r="M765" i="7"/>
  <c r="M865" i="7" s="1"/>
  <c r="E938" i="6"/>
  <c r="E768" i="7"/>
  <c r="E868" i="7" s="1"/>
  <c r="E767" i="7"/>
  <c r="E867" i="7" s="1"/>
  <c r="E766" i="7"/>
  <c r="E866" i="7" s="1"/>
  <c r="E765" i="7"/>
  <c r="E865" i="7" s="1"/>
  <c r="I769" i="7"/>
  <c r="I869" i="7" s="1"/>
  <c r="I767" i="7"/>
  <c r="I867" i="7" s="1"/>
  <c r="C830" i="6"/>
  <c r="C939" i="6" s="1"/>
  <c r="M940" i="6"/>
  <c r="M770" i="7"/>
  <c r="M870" i="7" s="1"/>
  <c r="E769" i="7"/>
  <c r="E940" i="6"/>
  <c r="C831" i="6"/>
  <c r="C940" i="6" s="1"/>
  <c r="E770" i="7"/>
  <c r="E870" i="7" s="1"/>
  <c r="I941" i="6"/>
  <c r="I771" i="7"/>
  <c r="E942" i="6"/>
  <c r="E772" i="7"/>
  <c r="E872" i="7" s="1"/>
  <c r="E771" i="7"/>
  <c r="E871" i="7" s="1"/>
  <c r="C833" i="6"/>
  <c r="C942" i="6" s="1"/>
  <c r="D768" i="7"/>
  <c r="D769" i="7"/>
  <c r="D869" i="7" s="1"/>
  <c r="D767" i="7"/>
  <c r="D867" i="7" s="1"/>
  <c r="D766" i="7"/>
  <c r="D866" i="7" s="1"/>
  <c r="D771" i="7"/>
  <c r="D772" i="7"/>
  <c r="C838" i="6"/>
  <c r="C947" i="6" s="1"/>
  <c r="G743" i="7"/>
  <c r="G843" i="7" s="1"/>
  <c r="G924" i="6"/>
  <c r="F755" i="7"/>
  <c r="F855" i="7" s="1"/>
  <c r="N748" i="7"/>
  <c r="N848" i="7" s="1"/>
  <c r="N730" i="7"/>
  <c r="N830" i="7" s="1"/>
  <c r="N734" i="7"/>
  <c r="N834" i="7" s="1"/>
  <c r="N887" i="6"/>
  <c r="I926" i="6"/>
  <c r="K928" i="6"/>
  <c r="J759" i="7"/>
  <c r="J859" i="7" s="1"/>
  <c r="P763" i="7"/>
  <c r="P863" i="7" s="1"/>
  <c r="E934" i="6"/>
  <c r="E764" i="7"/>
  <c r="E864" i="7" s="1"/>
  <c r="G949" i="6"/>
  <c r="G769" i="7"/>
  <c r="G869" i="7" s="1"/>
  <c r="G772" i="7"/>
  <c r="G771" i="7"/>
  <c r="G871" i="7" s="1"/>
  <c r="G768" i="7"/>
  <c r="G868" i="7" s="1"/>
  <c r="F925" i="6"/>
  <c r="K927" i="6"/>
  <c r="P926" i="6"/>
  <c r="P746" i="7"/>
  <c r="P846" i="7" s="1"/>
  <c r="D758" i="7"/>
  <c r="D858" i="7" s="1"/>
  <c r="D928" i="6"/>
  <c r="K760" i="7"/>
  <c r="K860" i="7" s="1"/>
  <c r="K930" i="6"/>
  <c r="P761" i="7"/>
  <c r="P861" i="7" s="1"/>
  <c r="P758" i="7"/>
  <c r="P858" i="7" s="1"/>
  <c r="G761" i="7"/>
  <c r="G861" i="7" s="1"/>
  <c r="G760" i="7"/>
  <c r="G860" i="7" s="1"/>
  <c r="G931" i="6"/>
  <c r="G759" i="7"/>
  <c r="G859" i="7" s="1"/>
  <c r="N933" i="6"/>
  <c r="N763" i="7"/>
  <c r="N863" i="7" s="1"/>
  <c r="F933" i="6"/>
  <c r="F763" i="7"/>
  <c r="F863" i="7" s="1"/>
  <c r="P935" i="6"/>
  <c r="P765" i="7"/>
  <c r="P865" i="7" s="1"/>
  <c r="G763" i="7"/>
  <c r="G863" i="7" s="1"/>
  <c r="G935" i="6"/>
  <c r="G765" i="7"/>
  <c r="G865" i="7" s="1"/>
  <c r="J766" i="7"/>
  <c r="J866" i="7" s="1"/>
  <c r="J775" i="7"/>
  <c r="J875" i="7" s="1"/>
  <c r="J945" i="6"/>
  <c r="J769" i="7"/>
  <c r="J869" i="7" s="1"/>
  <c r="O757" i="7"/>
  <c r="O857" i="7" s="1"/>
  <c r="O749" i="7"/>
  <c r="O849" i="7" s="1"/>
  <c r="M755" i="7"/>
  <c r="M855" i="7" s="1"/>
  <c r="N723" i="7"/>
  <c r="N823" i="7" s="1"/>
  <c r="I759" i="7"/>
  <c r="I859" i="7" s="1"/>
  <c r="I757" i="7"/>
  <c r="J930" i="6"/>
  <c r="J760" i="7"/>
  <c r="J860" i="7" s="1"/>
  <c r="N761" i="7"/>
  <c r="N861" i="7" s="1"/>
  <c r="F761" i="7"/>
  <c r="C822" i="6"/>
  <c r="C931" i="6" s="1"/>
  <c r="M933" i="6"/>
  <c r="M763" i="7"/>
  <c r="M863" i="7" s="1"/>
  <c r="M760" i="7"/>
  <c r="M860" i="7" s="1"/>
  <c r="E763" i="7"/>
  <c r="E863" i="7" s="1"/>
  <c r="E760" i="7"/>
  <c r="E860" i="7" s="1"/>
  <c r="M934" i="6"/>
  <c r="M764" i="7"/>
  <c r="M864" i="7" s="1"/>
  <c r="N764" i="7"/>
  <c r="N864" i="7" s="1"/>
  <c r="F764" i="7"/>
  <c r="F864" i="7" s="1"/>
  <c r="P943" i="6"/>
  <c r="P771" i="7"/>
  <c r="P871" i="7" s="1"/>
  <c r="P772" i="7"/>
  <c r="P872" i="7" s="1"/>
  <c r="P769" i="7"/>
  <c r="P869" i="7" s="1"/>
  <c r="P768" i="7"/>
  <c r="P868" i="7" s="1"/>
  <c r="C840" i="6"/>
  <c r="C949" i="6" s="1"/>
  <c r="C846" i="6"/>
  <c r="J955" i="6"/>
  <c r="H774" i="7"/>
  <c r="H874" i="7" s="1"/>
  <c r="N740" i="7"/>
  <c r="N840" i="7" s="1"/>
  <c r="F756" i="7"/>
  <c r="F856" i="7" s="1"/>
  <c r="F927" i="6"/>
  <c r="N759" i="7"/>
  <c r="N859" i="7" s="1"/>
  <c r="M761" i="7"/>
  <c r="M861" i="7" s="1"/>
  <c r="E761" i="7"/>
  <c r="E861" i="7" s="1"/>
  <c r="M762" i="7"/>
  <c r="M862" i="7" s="1"/>
  <c r="I763" i="7"/>
  <c r="I863" i="7" s="1"/>
  <c r="I765" i="7"/>
  <c r="I865" i="7" s="1"/>
  <c r="M769" i="7"/>
  <c r="M869" i="7" s="1"/>
  <c r="M771" i="7"/>
  <c r="M871" i="7" s="1"/>
  <c r="D947" i="6"/>
  <c r="L948" i="6"/>
  <c r="L769" i="7"/>
  <c r="L869" i="7" s="1"/>
  <c r="L771" i="7"/>
  <c r="L772" i="7"/>
  <c r="L872" i="7" s="1"/>
  <c r="L770" i="7"/>
  <c r="L870" i="7" s="1"/>
  <c r="G952" i="6"/>
  <c r="C843" i="6"/>
  <c r="C845" i="6"/>
  <c r="N716" i="7"/>
  <c r="N816" i="7" s="1"/>
  <c r="N739" i="7"/>
  <c r="N839" i="7" s="1"/>
  <c r="N710" i="7"/>
  <c r="N810" i="7" s="1"/>
  <c r="N752" i="7"/>
  <c r="N852" i="7" s="1"/>
  <c r="L756" i="7"/>
  <c r="L856" i="7" s="1"/>
  <c r="F928" i="6"/>
  <c r="I758" i="7"/>
  <c r="I858" i="7" s="1"/>
  <c r="M759" i="7"/>
  <c r="M859" i="7" s="1"/>
  <c r="F931" i="6"/>
  <c r="P760" i="7"/>
  <c r="P860" i="7" s="1"/>
  <c r="I768" i="7"/>
  <c r="I868" i="7" s="1"/>
  <c r="O762" i="7"/>
  <c r="O862" i="7" s="1"/>
  <c r="K949" i="6"/>
  <c r="K770" i="7"/>
  <c r="K870" i="7" s="1"/>
  <c r="C192" i="6"/>
  <c r="D955" i="6"/>
  <c r="L758" i="7"/>
  <c r="L858" i="7" s="1"/>
  <c r="M929" i="6"/>
  <c r="I933" i="6"/>
  <c r="J765" i="7"/>
  <c r="J865" i="7" s="1"/>
  <c r="D770" i="7"/>
  <c r="D870" i="7" s="1"/>
  <c r="L768" i="7"/>
  <c r="L868" i="7" s="1"/>
  <c r="F768" i="7"/>
  <c r="F868" i="7" s="1"/>
  <c r="I938" i="6"/>
  <c r="N942" i="6"/>
  <c r="O940" i="6"/>
  <c r="M776" i="7"/>
  <c r="M876" i="7" s="1"/>
  <c r="I776" i="7"/>
  <c r="E776" i="7"/>
  <c r="E876" i="7" s="1"/>
  <c r="O737" i="7"/>
  <c r="O837" i="7" s="1"/>
  <c r="N773" i="7"/>
  <c r="N873" i="7" s="1"/>
  <c r="C821" i="6"/>
  <c r="C930" i="6" s="1"/>
  <c r="J931" i="6"/>
  <c r="I760" i="7"/>
  <c r="K762" i="7"/>
  <c r="K862" i="7" s="1"/>
  <c r="G936" i="6"/>
  <c r="I766" i="7"/>
  <c r="I866" i="7" s="1"/>
  <c r="I770" i="7"/>
  <c r="I870" i="7" s="1"/>
  <c r="J770" i="7"/>
  <c r="J870" i="7" s="1"/>
  <c r="H943" i="6"/>
  <c r="L943" i="6"/>
  <c r="M775" i="7"/>
  <c r="M875" i="7" s="1"/>
  <c r="I775" i="7"/>
  <c r="E775" i="7"/>
  <c r="E875" i="7" s="1"/>
  <c r="L944" i="6"/>
  <c r="O736" i="7"/>
  <c r="O836" i="7" s="1"/>
  <c r="O775" i="7"/>
  <c r="O875" i="7" s="1"/>
  <c r="N774" i="7"/>
  <c r="N874" i="7" s="1"/>
  <c r="F774" i="7"/>
  <c r="F874" i="7" s="1"/>
  <c r="P751" i="7"/>
  <c r="P851" i="7" s="1"/>
  <c r="K767" i="7"/>
  <c r="K867" i="7" s="1"/>
  <c r="P766" i="7"/>
  <c r="P866" i="7" s="1"/>
  <c r="F770" i="7"/>
  <c r="F870" i="7" s="1"/>
  <c r="N768" i="7"/>
  <c r="N868" i="7" s="1"/>
  <c r="C835" i="6"/>
  <c r="C944" i="6" s="1"/>
  <c r="D775" i="7"/>
  <c r="L776" i="7"/>
  <c r="L876" i="7" s="1"/>
  <c r="H776" i="7"/>
  <c r="H876" i="7" s="1"/>
  <c r="D776" i="7"/>
  <c r="O735" i="7"/>
  <c r="O835" i="7" s="1"/>
  <c r="E949" i="6"/>
  <c r="P764" i="7"/>
  <c r="P864" i="7" s="1"/>
  <c r="F940" i="6"/>
  <c r="F772" i="7"/>
  <c r="F872" i="7" s="1"/>
  <c r="L775" i="7"/>
  <c r="L875" i="7" s="1"/>
  <c r="H775" i="7"/>
  <c r="H875" i="7" s="1"/>
  <c r="O946" i="6"/>
  <c r="H761" i="7"/>
  <c r="H861" i="7" s="1"/>
  <c r="D765" i="7"/>
  <c r="D865" i="7" s="1"/>
  <c r="K765" i="7"/>
  <c r="K865" i="7" s="1"/>
  <c r="J936" i="6"/>
  <c r="F767" i="7"/>
  <c r="F867" i="7" s="1"/>
  <c r="C832" i="6"/>
  <c r="C941" i="6" s="1"/>
  <c r="H769" i="7"/>
  <c r="H869" i="7" s="1"/>
  <c r="H770" i="7"/>
  <c r="H870" i="7" s="1"/>
  <c r="N770" i="7"/>
  <c r="N870" i="7" s="1"/>
  <c r="P774" i="7"/>
  <c r="P874" i="7" s="1"/>
  <c r="P946" i="6"/>
  <c r="P776" i="7"/>
  <c r="P876" i="7" s="1"/>
  <c r="K776" i="7"/>
  <c r="K876" i="7" s="1"/>
  <c r="G776" i="7"/>
  <c r="G876" i="7" s="1"/>
  <c r="O741" i="7"/>
  <c r="O841" i="7" s="1"/>
  <c r="O733" i="7"/>
  <c r="O833" i="7" s="1"/>
  <c r="J773" i="7"/>
  <c r="J873" i="7" s="1"/>
  <c r="D174" i="7"/>
  <c r="D173" i="7"/>
  <c r="F759" i="7"/>
  <c r="F859" i="7" s="1"/>
  <c r="C824" i="6"/>
  <c r="C933" i="6" s="1"/>
  <c r="C826" i="6"/>
  <c r="C935" i="6" s="1"/>
  <c r="N940" i="6"/>
  <c r="J772" i="7"/>
  <c r="J872" i="7" s="1"/>
  <c r="P775" i="7"/>
  <c r="P875" i="7" s="1"/>
  <c r="K775" i="7"/>
  <c r="K875" i="7" s="1"/>
  <c r="G775" i="7"/>
  <c r="G875" i="7" s="1"/>
  <c r="J944" i="6"/>
  <c r="I174" i="7"/>
  <c r="I173" i="7"/>
  <c r="N776" i="7"/>
  <c r="N876" i="7" s="1"/>
  <c r="J776" i="7"/>
  <c r="J876" i="7" s="1"/>
  <c r="F776" i="7"/>
  <c r="F876" i="7" s="1"/>
  <c r="C958" i="6"/>
  <c r="P813" i="7"/>
  <c r="O821" i="7"/>
  <c r="C404" i="7"/>
  <c r="P752" i="7"/>
  <c r="P852" i="7" s="1"/>
  <c r="P767" i="7"/>
  <c r="P867" i="7" s="1"/>
  <c r="P773" i="7"/>
  <c r="P873" i="7" s="1"/>
  <c r="P753" i="7"/>
  <c r="P853" i="7" s="1"/>
  <c r="P754" i="7"/>
  <c r="P854" i="7" s="1"/>
  <c r="C819" i="6"/>
  <c r="C928" i="6" s="1"/>
  <c r="C820" i="6"/>
  <c r="C929" i="6" s="1"/>
  <c r="P933" i="6"/>
  <c r="P937" i="6"/>
  <c r="P770" i="7"/>
  <c r="P870" i="7" s="1"/>
  <c r="C841" i="6"/>
  <c r="C950" i="6" s="1"/>
  <c r="P747" i="7"/>
  <c r="P847" i="7" s="1"/>
  <c r="P755" i="7"/>
  <c r="P855" i="7" s="1"/>
  <c r="P928" i="6"/>
  <c r="O815" i="7"/>
  <c r="O807" i="7"/>
  <c r="O825" i="7"/>
  <c r="O817" i="7"/>
  <c r="O809" i="7"/>
  <c r="C562" i="7"/>
  <c r="C842" i="6"/>
  <c r="C951" i="6" s="1"/>
  <c r="P748" i="7"/>
  <c r="C828" i="6"/>
  <c r="C937" i="6" s="1"/>
  <c r="O806" i="7"/>
  <c r="C13" i="7"/>
  <c r="C12" i="7"/>
  <c r="C109" i="7"/>
  <c r="P749" i="7"/>
  <c r="P849" i="7" s="1"/>
  <c r="P931" i="6"/>
  <c r="C214" i="7"/>
  <c r="C416" i="7"/>
  <c r="P750" i="7"/>
  <c r="P850" i="7" s="1"/>
  <c r="P757" i="7"/>
  <c r="P857" i="7" s="1"/>
  <c r="P759" i="7"/>
  <c r="P859" i="7" s="1"/>
  <c r="C834" i="6"/>
  <c r="C943" i="6" s="1"/>
  <c r="C837" i="6"/>
  <c r="C946" i="6" s="1"/>
  <c r="C844" i="6"/>
  <c r="C571" i="7"/>
  <c r="C839" i="6"/>
  <c r="C948" i="6" s="1"/>
  <c r="P807" i="7"/>
  <c r="P811" i="7"/>
  <c r="P815" i="7"/>
  <c r="P819" i="7"/>
  <c r="P823" i="7"/>
  <c r="P827" i="7"/>
  <c r="P831" i="7"/>
  <c r="P835" i="7"/>
  <c r="P839" i="7"/>
  <c r="P843" i="7"/>
  <c r="P814" i="7"/>
  <c r="P822" i="7"/>
  <c r="P826" i="7"/>
  <c r="P834" i="7"/>
  <c r="P838" i="7"/>
  <c r="P842" i="7"/>
  <c r="P809" i="7"/>
  <c r="P817" i="7"/>
  <c r="P821" i="7"/>
  <c r="P825" i="7"/>
  <c r="P829" i="7"/>
  <c r="P833" i="7"/>
  <c r="P837" i="7"/>
  <c r="P841" i="7"/>
  <c r="P812" i="7"/>
  <c r="P820" i="7"/>
  <c r="P828" i="7"/>
  <c r="P836" i="7"/>
  <c r="P844" i="7"/>
  <c r="C570" i="7"/>
  <c r="C310" i="7"/>
  <c r="C408" i="7"/>
  <c r="O823" i="7"/>
  <c r="C324" i="7"/>
  <c r="C338" i="7"/>
  <c r="C458" i="7"/>
  <c r="C14" i="7"/>
  <c r="C340" i="7"/>
  <c r="C321" i="7"/>
  <c r="C10" i="7"/>
  <c r="C116" i="7"/>
  <c r="C112" i="7"/>
  <c r="C111" i="7"/>
  <c r="C107" i="7"/>
  <c r="C106" i="7"/>
  <c r="C204" i="7"/>
  <c r="C218" i="7"/>
  <c r="C216" i="7"/>
  <c r="C215" i="7"/>
  <c r="C520" i="7"/>
  <c r="C34" i="7"/>
  <c r="C441" i="7"/>
  <c r="C146" i="7"/>
  <c r="C372" i="7"/>
  <c r="C213" i="7"/>
  <c r="C211" i="7"/>
  <c r="C210" i="7"/>
  <c r="C208" i="7"/>
  <c r="C207" i="7"/>
  <c r="C206" i="7"/>
  <c r="C318" i="7"/>
  <c r="C317" i="7"/>
  <c r="C314" i="7"/>
  <c r="C312" i="7"/>
  <c r="C309" i="7"/>
  <c r="C308" i="7"/>
  <c r="C307" i="7"/>
  <c r="C306" i="7"/>
  <c r="C305" i="7"/>
  <c r="C417" i="7"/>
  <c r="C415" i="7"/>
  <c r="C413" i="7"/>
  <c r="C412" i="7"/>
  <c r="C411" i="7"/>
  <c r="C409" i="7"/>
  <c r="C407" i="7"/>
  <c r="C406" i="7"/>
  <c r="C405" i="7"/>
  <c r="C323" i="7"/>
  <c r="C424" i="7"/>
  <c r="C608" i="7"/>
  <c r="C49" i="7"/>
  <c r="O824" i="7"/>
  <c r="C261" i="7"/>
  <c r="O813" i="7"/>
  <c r="O818" i="7"/>
  <c r="O810" i="7"/>
  <c r="C8" i="7"/>
  <c r="C115" i="7"/>
  <c r="C114" i="7"/>
  <c r="C426" i="7"/>
  <c r="C26" i="7"/>
  <c r="C536" i="7"/>
  <c r="C638" i="7"/>
  <c r="C259" i="7"/>
  <c r="C122" i="7"/>
  <c r="C425" i="7"/>
  <c r="O820" i="7"/>
  <c r="O812" i="7"/>
  <c r="C332" i="7"/>
  <c r="C257" i="7"/>
  <c r="C19" i="7"/>
  <c r="P810" i="7"/>
  <c r="P818" i="7"/>
  <c r="P830" i="7"/>
  <c r="C250" i="7"/>
  <c r="C450" i="7"/>
  <c r="C651" i="7"/>
  <c r="C113" i="7"/>
  <c r="C105" i="7"/>
  <c r="C315" i="7"/>
  <c r="C418" i="7"/>
  <c r="C410" i="7"/>
  <c r="C533" i="7"/>
  <c r="C39" i="7"/>
  <c r="C141" i="7"/>
  <c r="C249" i="7"/>
  <c r="C219" i="7"/>
  <c r="C319" i="7"/>
  <c r="C120" i="7"/>
  <c r="C322" i="7"/>
  <c r="C235" i="7"/>
  <c r="C21" i="7"/>
  <c r="C626" i="7"/>
  <c r="C526" i="7"/>
  <c r="C511" i="7"/>
  <c r="C232" i="7"/>
  <c r="C633" i="7"/>
  <c r="C144" i="7"/>
  <c r="C316" i="7"/>
  <c r="C17" i="7"/>
  <c r="C125" i="7"/>
  <c r="C523" i="7"/>
  <c r="C531" i="7"/>
  <c r="C3" i="7"/>
  <c r="C304" i="7"/>
  <c r="C28" i="7"/>
  <c r="C139" i="7"/>
  <c r="C108" i="7"/>
  <c r="C9" i="7"/>
  <c r="C104" i="7"/>
  <c r="C6" i="7"/>
  <c r="C414" i="7"/>
  <c r="C11" i="7"/>
  <c r="C217" i="7"/>
  <c r="C5" i="7"/>
  <c r="C4" i="7"/>
  <c r="C117" i="7"/>
  <c r="C220" i="7"/>
  <c r="C20" i="7"/>
  <c r="C326" i="7"/>
  <c r="C225" i="7"/>
  <c r="C23" i="7"/>
  <c r="C27" i="7"/>
  <c r="C329" i="7"/>
  <c r="C36" i="7"/>
  <c r="C438" i="7"/>
  <c r="C221" i="7"/>
  <c r="C223" i="7"/>
  <c r="C334" i="7"/>
  <c r="C637" i="7"/>
  <c r="C119" i="7"/>
  <c r="C2" i="7"/>
  <c r="C16" i="7"/>
  <c r="C325" i="7"/>
  <c r="C434" i="7"/>
  <c r="C344" i="7"/>
  <c r="C212" i="7"/>
  <c r="C422" i="7"/>
  <c r="C222" i="7"/>
  <c r="C130" i="7"/>
  <c r="C330" i="7"/>
  <c r="C430" i="7"/>
  <c r="C32" i="7"/>
  <c r="C134" i="7"/>
  <c r="C234" i="7"/>
  <c r="C336" i="7"/>
  <c r="C337" i="7"/>
  <c r="C613" i="7"/>
  <c r="C528" i="7"/>
  <c r="C229" i="7"/>
  <c r="C429" i="7"/>
  <c r="C530" i="7"/>
  <c r="C231" i="7"/>
  <c r="C31" i="7"/>
  <c r="C133" i="7"/>
  <c r="C433" i="7"/>
  <c r="C634" i="7"/>
  <c r="C534" i="7"/>
  <c r="C636" i="7"/>
  <c r="C35" i="7"/>
  <c r="C437" i="7"/>
  <c r="C138" i="7"/>
  <c r="C538" i="7"/>
  <c r="C37" i="7"/>
  <c r="C41" i="7"/>
  <c r="C544" i="7"/>
  <c r="C645" i="7"/>
  <c r="C48" i="7"/>
  <c r="C427" i="7"/>
  <c r="C628" i="7"/>
  <c r="C620" i="7"/>
  <c r="C612" i="7"/>
  <c r="C621" i="7"/>
  <c r="C619" i="7"/>
  <c r="C614" i="7"/>
  <c r="C611" i="7"/>
  <c r="C610" i="7"/>
  <c r="C607" i="7"/>
  <c r="C504" i="7"/>
  <c r="C525" i="7"/>
  <c r="C524" i="7"/>
  <c r="C519" i="7"/>
  <c r="C517" i="7"/>
  <c r="C516" i="7"/>
  <c r="C515" i="7"/>
  <c r="C512" i="7"/>
  <c r="C509" i="7"/>
  <c r="C508" i="7"/>
  <c r="C507" i="7"/>
  <c r="C506" i="7"/>
  <c r="C505" i="7"/>
  <c r="C529" i="7"/>
  <c r="C431" i="7"/>
  <c r="C33" i="7"/>
  <c r="C137" i="7"/>
  <c r="C537" i="7"/>
  <c r="C639" i="7"/>
  <c r="C241" i="7"/>
  <c r="C245" i="7"/>
  <c r="C353" i="7"/>
  <c r="C254" i="7"/>
  <c r="C454" i="7"/>
  <c r="C267" i="7"/>
  <c r="C669" i="7"/>
  <c r="C311" i="7"/>
  <c r="C627" i="7"/>
  <c r="C230" i="7"/>
  <c r="C631" i="7"/>
  <c r="C331" i="7"/>
  <c r="C30" i="7"/>
  <c r="C635" i="7"/>
  <c r="C335" i="7"/>
  <c r="C238" i="7"/>
  <c r="C440" i="7"/>
  <c r="C540" i="7"/>
  <c r="C641" i="7"/>
  <c r="C342" i="7"/>
  <c r="C442" i="7"/>
  <c r="C15" i="7"/>
  <c r="C313" i="7"/>
  <c r="C420" i="7"/>
  <c r="C423" i="7"/>
  <c r="C527" i="7"/>
  <c r="C432" i="7"/>
  <c r="C532" i="7"/>
  <c r="C136" i="7"/>
  <c r="C236" i="7"/>
  <c r="C436" i="7"/>
  <c r="C539" i="7"/>
  <c r="C140" i="7"/>
  <c r="C63" i="7"/>
  <c r="C419" i="7"/>
  <c r="C421" i="7"/>
  <c r="C123" i="7"/>
  <c r="C22" i="7"/>
  <c r="C224" i="7"/>
  <c r="C126" i="7"/>
  <c r="C327" i="7"/>
  <c r="C625" i="7"/>
  <c r="C617" i="7"/>
  <c r="C609" i="7"/>
  <c r="C605" i="7"/>
  <c r="C624" i="7"/>
  <c r="C622" i="7"/>
  <c r="C616" i="7"/>
  <c r="C606" i="7"/>
  <c r="C522" i="7"/>
  <c r="C521" i="7"/>
  <c r="C518" i="7"/>
  <c r="C514" i="7"/>
  <c r="C513" i="7"/>
  <c r="C510" i="7"/>
  <c r="C228" i="7"/>
  <c r="C328" i="7"/>
  <c r="C428" i="7"/>
  <c r="C629" i="7"/>
  <c r="C630" i="7"/>
  <c r="C29" i="7"/>
  <c r="C632" i="7"/>
  <c r="C132" i="7"/>
  <c r="C233" i="7"/>
  <c r="C135" i="7"/>
  <c r="C435" i="7"/>
  <c r="C535" i="7"/>
  <c r="C40" i="7"/>
  <c r="C142" i="7"/>
  <c r="C244" i="7"/>
  <c r="C7" i="7"/>
  <c r="C118" i="7"/>
  <c r="C110" i="7"/>
  <c r="C209" i="7"/>
  <c r="C320" i="7"/>
  <c r="C124" i="7"/>
  <c r="C226" i="7"/>
  <c r="C24" i="7"/>
  <c r="C623" i="7"/>
  <c r="C615" i="7"/>
  <c r="C128" i="7"/>
  <c r="C129" i="7"/>
  <c r="C131" i="7"/>
  <c r="C333" i="7"/>
  <c r="C237" i="7"/>
  <c r="C68" i="7"/>
  <c r="C239" i="7"/>
  <c r="C439" i="7"/>
  <c r="C640" i="7"/>
  <c r="C38" i="7"/>
  <c r="C240" i="7"/>
  <c r="C643" i="7"/>
  <c r="C345" i="7"/>
  <c r="C50" i="7"/>
  <c r="C252" i="7"/>
  <c r="C452" i="7"/>
  <c r="C653" i="7"/>
  <c r="C453" i="7"/>
  <c r="C258" i="7"/>
  <c r="C358" i="7"/>
  <c r="C559" i="7"/>
  <c r="C557" i="7"/>
  <c r="C659" i="7"/>
  <c r="O826" i="7"/>
  <c r="O822" i="7"/>
  <c r="O814" i="7"/>
  <c r="C461" i="7"/>
  <c r="C561" i="7"/>
  <c r="C662" i="7"/>
  <c r="C61" i="7"/>
  <c r="C563" i="7"/>
  <c r="O827" i="7"/>
  <c r="O819" i="7"/>
  <c r="O811" i="7"/>
  <c r="O816" i="7"/>
  <c r="O808" i="7"/>
  <c r="C348" i="7"/>
  <c r="C455" i="7"/>
  <c r="C456" i="7"/>
  <c r="C272" i="7"/>
  <c r="C339" i="7"/>
  <c r="C46" i="7"/>
  <c r="C548" i="7"/>
  <c r="C367" i="7"/>
  <c r="C467" i="7"/>
  <c r="P808" i="7"/>
  <c r="P816" i="7"/>
  <c r="P824" i="7"/>
  <c r="P832" i="7"/>
  <c r="P840" i="7"/>
  <c r="C43" i="7"/>
  <c r="C445" i="7"/>
  <c r="C545" i="7"/>
  <c r="C647" i="7"/>
  <c r="C447" i="7"/>
  <c r="C648" i="7"/>
  <c r="C149" i="7"/>
  <c r="C349" i="7"/>
  <c r="C549" i="7"/>
  <c r="C553" i="7"/>
  <c r="C554" i="7"/>
  <c r="C555" i="7"/>
  <c r="C556" i="7"/>
  <c r="C260" i="7"/>
  <c r="C460" i="7"/>
  <c r="C661" i="7"/>
  <c r="C341" i="7"/>
  <c r="C541" i="7"/>
  <c r="C642" i="7"/>
  <c r="C242" i="7"/>
  <c r="C542" i="7"/>
  <c r="C343" i="7"/>
  <c r="P806" i="7"/>
  <c r="C55" i="7"/>
  <c r="C51" i="7"/>
  <c r="C672" i="7"/>
  <c r="C251" i="7"/>
  <c r="C451" i="7"/>
  <c r="C652" i="7"/>
  <c r="C164" i="7"/>
  <c r="C665" i="7"/>
  <c r="C565" i="7"/>
  <c r="C271" i="7"/>
  <c r="C673" i="7"/>
  <c r="C205" i="7"/>
  <c r="C127" i="7"/>
  <c r="C121" i="7"/>
  <c r="C227" i="7"/>
  <c r="C618" i="7"/>
  <c r="C18" i="7"/>
  <c r="C646" i="7"/>
  <c r="C152" i="7"/>
  <c r="C154" i="7"/>
  <c r="C354" i="7"/>
  <c r="C655" i="7"/>
  <c r="C552" i="7"/>
  <c r="C66" i="7"/>
  <c r="C65" i="7"/>
  <c r="C168" i="7"/>
  <c r="C167" i="7"/>
  <c r="C268" i="7"/>
  <c r="C368" i="7"/>
  <c r="C468" i="7"/>
  <c r="C568" i="7"/>
  <c r="C567" i="7"/>
  <c r="C668" i="7"/>
  <c r="C42" i="7"/>
  <c r="C444" i="7"/>
  <c r="C151" i="7"/>
  <c r="C351" i="7"/>
  <c r="C551" i="7"/>
  <c r="C253" i="7"/>
  <c r="C156" i="7"/>
  <c r="C356" i="7"/>
  <c r="C160" i="7"/>
  <c r="C360" i="7"/>
  <c r="C560" i="7"/>
  <c r="C62" i="7"/>
  <c r="C264" i="7"/>
  <c r="C364" i="7"/>
  <c r="C464" i="7"/>
  <c r="C564" i="7"/>
  <c r="C69" i="7"/>
  <c r="C70" i="7"/>
  <c r="C150" i="7"/>
  <c r="C350" i="7"/>
  <c r="C550" i="7"/>
  <c r="C162" i="7"/>
  <c r="C161" i="7"/>
  <c r="C362" i="7"/>
  <c r="C361" i="7"/>
  <c r="C60" i="7"/>
  <c r="C59" i="7"/>
  <c r="C262" i="7"/>
  <c r="C462" i="7"/>
  <c r="C663" i="7"/>
  <c r="C165" i="7"/>
  <c r="C265" i="7"/>
  <c r="C365" i="7"/>
  <c r="C465" i="7"/>
  <c r="C666" i="7"/>
  <c r="C670" i="7"/>
  <c r="C569" i="7"/>
  <c r="C469" i="7"/>
  <c r="C369" i="7"/>
  <c r="C269" i="7"/>
  <c r="C67" i="7"/>
  <c r="C346" i="7"/>
  <c r="C546" i="7"/>
  <c r="C45" i="7"/>
  <c r="C247" i="7"/>
  <c r="C155" i="7"/>
  <c r="C355" i="7"/>
  <c r="C656" i="7"/>
  <c r="C58" i="7"/>
  <c r="C56" i="7"/>
  <c r="C54" i="7"/>
  <c r="C52" i="7"/>
  <c r="C163" i="7"/>
  <c r="C263" i="7"/>
  <c r="C363" i="7"/>
  <c r="C463" i="7"/>
  <c r="C664" i="7"/>
  <c r="C57" i="7"/>
  <c r="C143" i="7"/>
  <c r="C243" i="7"/>
  <c r="C443" i="7"/>
  <c r="C543" i="7"/>
  <c r="C644" i="7"/>
  <c r="C148" i="7"/>
  <c r="C266" i="7"/>
  <c r="C366" i="7"/>
  <c r="C466" i="7"/>
  <c r="C566" i="7"/>
  <c r="C667" i="7"/>
  <c r="C671" i="7"/>
  <c r="C470" i="7"/>
  <c r="C370" i="7"/>
  <c r="C270" i="7"/>
  <c r="C371" i="7"/>
  <c r="C159" i="7"/>
  <c r="C25" i="7"/>
  <c r="C248" i="7"/>
  <c r="C448" i="7"/>
  <c r="C649" i="7"/>
  <c r="C352" i="7"/>
  <c r="C153" i="7"/>
  <c r="C654" i="7"/>
  <c r="C471" i="7"/>
  <c r="C359" i="7"/>
  <c r="C246" i="7"/>
  <c r="C446" i="7"/>
  <c r="C256" i="7"/>
  <c r="C657" i="7"/>
  <c r="C158" i="7"/>
  <c r="C157" i="7"/>
  <c r="C357" i="7"/>
  <c r="C457" i="7"/>
  <c r="C558" i="7"/>
  <c r="C660" i="7"/>
  <c r="C658" i="7"/>
  <c r="C53" i="7"/>
  <c r="C459" i="7"/>
  <c r="C572" i="7"/>
  <c r="C145" i="7"/>
  <c r="C44" i="7"/>
  <c r="C147" i="7"/>
  <c r="C347" i="7"/>
  <c r="C547" i="7"/>
  <c r="C47" i="7"/>
  <c r="C449" i="7"/>
  <c r="C650" i="7"/>
  <c r="C255" i="7"/>
  <c r="C166" i="7"/>
  <c r="C64" i="7"/>
  <c r="C472" i="7"/>
  <c r="J912" i="7" l="1"/>
  <c r="D907" i="7"/>
  <c r="D905" i="7"/>
  <c r="D908" i="7" s="1"/>
  <c r="D912" i="7"/>
  <c r="P912" i="7"/>
  <c r="C905" i="7"/>
  <c r="O912" i="7"/>
  <c r="C910" i="7"/>
  <c r="K912" i="7"/>
  <c r="G912" i="7"/>
  <c r="N912" i="7"/>
  <c r="I912" i="7"/>
  <c r="F912" i="7"/>
  <c r="I884" i="7"/>
  <c r="I878" i="7"/>
  <c r="D884" i="7"/>
  <c r="I883" i="7"/>
  <c r="C953" i="6"/>
  <c r="I882" i="7"/>
  <c r="I871" i="7"/>
  <c r="C169" i="7"/>
  <c r="C180" i="7"/>
  <c r="D882" i="7"/>
  <c r="C182" i="7"/>
  <c r="C785" i="7"/>
  <c r="C885" i="7" s="1"/>
  <c r="D883" i="7"/>
  <c r="C181" i="7"/>
  <c r="C783" i="7"/>
  <c r="C782" i="7"/>
  <c r="C784" i="7"/>
  <c r="I881" i="7"/>
  <c r="C781" i="7"/>
  <c r="C179" i="7"/>
  <c r="D881" i="7"/>
  <c r="C171" i="7"/>
  <c r="C170" i="7"/>
  <c r="D873" i="7"/>
  <c r="I872" i="7"/>
  <c r="C954" i="6"/>
  <c r="I874" i="7"/>
  <c r="C780" i="7"/>
  <c r="K880" i="7"/>
  <c r="I880" i="7"/>
  <c r="C178" i="7"/>
  <c r="D880" i="7"/>
  <c r="I873" i="7"/>
  <c r="C952" i="6"/>
  <c r="C955" i="6"/>
  <c r="D872" i="7"/>
  <c r="D871" i="7"/>
  <c r="C714" i="7"/>
  <c r="C814" i="7" s="1"/>
  <c r="D874" i="7"/>
  <c r="E814" i="7"/>
  <c r="I877" i="7"/>
  <c r="C777" i="7"/>
  <c r="C175" i="7"/>
  <c r="D877" i="7"/>
  <c r="D879" i="7"/>
  <c r="C177" i="7"/>
  <c r="C779" i="7"/>
  <c r="D878" i="7"/>
  <c r="C176" i="7"/>
  <c r="C172" i="7"/>
  <c r="C778" i="7"/>
  <c r="C739" i="7"/>
  <c r="C839" i="7" s="1"/>
  <c r="F839" i="7"/>
  <c r="C719" i="7"/>
  <c r="C819" i="7" s="1"/>
  <c r="C756" i="7"/>
  <c r="C856" i="7" s="1"/>
  <c r="C761" i="7"/>
  <c r="C861" i="7" s="1"/>
  <c r="C706" i="7"/>
  <c r="C806" i="7" s="1"/>
  <c r="C713" i="7"/>
  <c r="C813" i="7" s="1"/>
  <c r="C729" i="7"/>
  <c r="C829" i="7" s="1"/>
  <c r="K829" i="7"/>
  <c r="C769" i="7"/>
  <c r="C869" i="7" s="1"/>
  <c r="F861" i="7"/>
  <c r="C728" i="7"/>
  <c r="C828" i="7" s="1"/>
  <c r="C721" i="7"/>
  <c r="C821" i="7" s="1"/>
  <c r="I806" i="7"/>
  <c r="E869" i="7"/>
  <c r="J813" i="7"/>
  <c r="C738" i="7"/>
  <c r="C838" i="7" s="1"/>
  <c r="C752" i="7"/>
  <c r="C852" i="7" s="1"/>
  <c r="C734" i="7"/>
  <c r="C834" i="7" s="1"/>
  <c r="C758" i="7"/>
  <c r="C858" i="7" s="1"/>
  <c r="C772" i="7"/>
  <c r="C720" i="7"/>
  <c r="C820" i="7" s="1"/>
  <c r="C743" i="7"/>
  <c r="C843" i="7" s="1"/>
  <c r="C708" i="7"/>
  <c r="C808" i="7" s="1"/>
  <c r="C725" i="7"/>
  <c r="C825" i="7" s="1"/>
  <c r="C709" i="7"/>
  <c r="C809" i="7" s="1"/>
  <c r="C715" i="7"/>
  <c r="C815" i="7" s="1"/>
  <c r="J820" i="7"/>
  <c r="G872" i="7"/>
  <c r="C735" i="7"/>
  <c r="C835" i="7" s="1"/>
  <c r="C764" i="7"/>
  <c r="C864" i="7" s="1"/>
  <c r="C751" i="7"/>
  <c r="C851" i="7" s="1"/>
  <c r="E809" i="7"/>
  <c r="K808" i="7"/>
  <c r="C765" i="7"/>
  <c r="C865" i="7" s="1"/>
  <c r="C766" i="7"/>
  <c r="C866" i="7" s="1"/>
  <c r="C712" i="7"/>
  <c r="C812" i="7" s="1"/>
  <c r="F825" i="7"/>
  <c r="C773" i="7"/>
  <c r="C736" i="7"/>
  <c r="C836" i="7" s="1"/>
  <c r="C711" i="7"/>
  <c r="C811" i="7" s="1"/>
  <c r="C716" i="7"/>
  <c r="C816" i="7" s="1"/>
  <c r="C749" i="7"/>
  <c r="C849" i="7" s="1"/>
  <c r="I875" i="7"/>
  <c r="C774" i="7"/>
  <c r="C768" i="7"/>
  <c r="C868" i="7" s="1"/>
  <c r="D868" i="7"/>
  <c r="C727" i="7"/>
  <c r="C827" i="7" s="1"/>
  <c r="C747" i="7"/>
  <c r="C847" i="7" s="1"/>
  <c r="C726" i="7"/>
  <c r="C826" i="7" s="1"/>
  <c r="C718" i="7"/>
  <c r="C818" i="7" s="1"/>
  <c r="C724" i="7"/>
  <c r="C824" i="7" s="1"/>
  <c r="C744" i="7"/>
  <c r="C844" i="7" s="1"/>
  <c r="C730" i="7"/>
  <c r="C830" i="7" s="1"/>
  <c r="C760" i="7"/>
  <c r="C860" i="7" s="1"/>
  <c r="C771" i="7"/>
  <c r="C757" i="7"/>
  <c r="C857" i="7" s="1"/>
  <c r="C755" i="7"/>
  <c r="C855" i="7" s="1"/>
  <c r="C733" i="7"/>
  <c r="C833" i="7" s="1"/>
  <c r="E811" i="7"/>
  <c r="N824" i="7"/>
  <c r="C754" i="7"/>
  <c r="C854" i="7" s="1"/>
  <c r="C741" i="7"/>
  <c r="C841" i="7" s="1"/>
  <c r="G818" i="7"/>
  <c r="C717" i="7"/>
  <c r="C817" i="7" s="1"/>
  <c r="I857" i="7"/>
  <c r="I876" i="7"/>
  <c r="C759" i="7"/>
  <c r="C859" i="7" s="1"/>
  <c r="C746" i="7"/>
  <c r="C846" i="7" s="1"/>
  <c r="L871" i="7"/>
  <c r="E836" i="7"/>
  <c r="F827" i="7"/>
  <c r="C731" i="7"/>
  <c r="C831" i="7" s="1"/>
  <c r="C740" i="7"/>
  <c r="C840" i="7" s="1"/>
  <c r="G830" i="7"/>
  <c r="C707" i="7"/>
  <c r="C807" i="7" s="1"/>
  <c r="I860" i="7"/>
  <c r="C742" i="7"/>
  <c r="C842" i="7" s="1"/>
  <c r="C763" i="7"/>
  <c r="C863" i="7" s="1"/>
  <c r="C722" i="7"/>
  <c r="C822" i="7" s="1"/>
  <c r="C737" i="7"/>
  <c r="C837" i="7" s="1"/>
  <c r="C723" i="7"/>
  <c r="C823" i="7" s="1"/>
  <c r="C710" i="7"/>
  <c r="C810" i="7" s="1"/>
  <c r="C748" i="7"/>
  <c r="C848" i="7" s="1"/>
  <c r="C762" i="7"/>
  <c r="C862" i="7" s="1"/>
  <c r="H847" i="7"/>
  <c r="C745" i="7"/>
  <c r="C845" i="7" s="1"/>
  <c r="C732" i="7"/>
  <c r="C832" i="7" s="1"/>
  <c r="C775" i="7"/>
  <c r="C173" i="7"/>
  <c r="D875" i="7"/>
  <c r="C174" i="7"/>
  <c r="D876" i="7"/>
  <c r="C776" i="7"/>
  <c r="C767" i="7"/>
  <c r="C867" i="7" s="1"/>
  <c r="P848" i="7"/>
  <c r="C750" i="7"/>
  <c r="C850" i="7" s="1"/>
  <c r="C770" i="7"/>
  <c r="C870" i="7" s="1"/>
  <c r="C753" i="7"/>
  <c r="C853" i="7" s="1"/>
  <c r="C871" i="7" l="1"/>
  <c r="C884" i="7"/>
  <c r="C883" i="7"/>
  <c r="C882" i="7"/>
  <c r="C881" i="7"/>
  <c r="C873" i="7"/>
  <c r="C872" i="7"/>
  <c r="C880" i="7"/>
  <c r="C874" i="7"/>
  <c r="C879" i="7"/>
  <c r="C878" i="7"/>
  <c r="C877" i="7"/>
  <c r="C875" i="7"/>
  <c r="C876" i="7"/>
</calcChain>
</file>

<file path=xl/sharedStrings.xml><?xml version="1.0" encoding="utf-8"?>
<sst xmlns="http://schemas.openxmlformats.org/spreadsheetml/2006/main" count="473" uniqueCount="66">
  <si>
    <t>MOIS</t>
  </si>
  <si>
    <t>SITE</t>
  </si>
  <si>
    <t>TOTAL</t>
  </si>
  <si>
    <t>PETIT COULEUR</t>
  </si>
  <si>
    <t>PETIT N&amp;B</t>
  </si>
  <si>
    <t>GRAND COULEUR</t>
  </si>
  <si>
    <t>GRAND N&amp;B</t>
  </si>
  <si>
    <t>IMAGERIE</t>
  </si>
  <si>
    <t>NUMERISATION</t>
  </si>
  <si>
    <t>SOUS-TRAITANCE</t>
  </si>
  <si>
    <t>FINITION</t>
  </si>
  <si>
    <t>LIVR/EXP</t>
  </si>
  <si>
    <t>DIVERS</t>
  </si>
  <si>
    <t>OMNICHANNEL</t>
  </si>
  <si>
    <t>AFFRANCHISSEMENT</t>
  </si>
  <si>
    <t>PARIS</t>
  </si>
  <si>
    <t>Colombes</t>
  </si>
  <si>
    <t>Evreux</t>
  </si>
  <si>
    <t>MAGNANVILLE</t>
  </si>
  <si>
    <t>LE MESNIL SAINT DENIS</t>
  </si>
  <si>
    <t>CERGY</t>
  </si>
  <si>
    <t>AIR LIQUIDE</t>
  </si>
  <si>
    <t>FACILITY MANAGEMENT</t>
  </si>
  <si>
    <t>Evolution N-N-1</t>
  </si>
  <si>
    <t>% du CA N-1</t>
  </si>
  <si>
    <t>% du CA N</t>
  </si>
  <si>
    <t>Evolution en % du produit</t>
  </si>
  <si>
    <t>Sans affranchissement</t>
  </si>
  <si>
    <t>STUDIO GRAPHIQUE</t>
  </si>
  <si>
    <t>COLOMBES</t>
  </si>
  <si>
    <t>EVREUX</t>
  </si>
  <si>
    <t>UNIVERSITE DE CERGY</t>
  </si>
  <si>
    <t>PETIT FORMAT COLOR</t>
  </si>
  <si>
    <t>PETIT FORMAT N&amp;B</t>
  </si>
  <si>
    <t>GRAND FORMAT COLOR</t>
  </si>
  <si>
    <t>GRAND FORMAT N&amp;B</t>
  </si>
  <si>
    <t>LIVRAISON &amp; EXPEDITION</t>
  </si>
  <si>
    <t>FOURNITURES</t>
  </si>
  <si>
    <t>CA</t>
  </si>
  <si>
    <t>CA mois 2015</t>
  </si>
  <si>
    <t>P12M</t>
  </si>
  <si>
    <t>CA m last</t>
  </si>
  <si>
    <t>PM</t>
  </si>
  <si>
    <t>N/A</t>
  </si>
  <si>
    <t>SITES</t>
  </si>
  <si>
    <t>air liquide</t>
  </si>
  <si>
    <t>cergy</t>
  </si>
  <si>
    <t>colombes</t>
  </si>
  <si>
    <t>evreux</t>
  </si>
  <si>
    <t>fournitures</t>
  </si>
  <si>
    <t>magnanville</t>
  </si>
  <si>
    <t>mesnil</t>
  </si>
  <si>
    <t>paris</t>
  </si>
  <si>
    <t>TOTAL A DATE 2016</t>
  </si>
  <si>
    <t>janvier</t>
  </si>
  <si>
    <t>février</t>
  </si>
  <si>
    <t>mars</t>
  </si>
  <si>
    <t>avril</t>
  </si>
  <si>
    <t>mai</t>
  </si>
  <si>
    <t>juin</t>
  </si>
  <si>
    <t>juillet</t>
  </si>
  <si>
    <t>août</t>
  </si>
  <si>
    <t>septembre</t>
  </si>
  <si>
    <t>octobre</t>
  </si>
  <si>
    <t>novembre</t>
  </si>
  <si>
    <t>décembre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</si>
</sst>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* #,##0\ &quot;€&quot;_-;\-* #,##0\ &quot;€&quot;_-;_-* &quot;-&quot;\ &quot;€&quot;_-;_-@_-"/>
    <numFmt numFmtId="164" formatCode="[$-40C]mmm\-yy;@"/>
    <numFmt numFmtId="165" formatCode="_-* #,##0\ [$€-40C]_-;\-* #,##0\ [$€-40C]_-;_-* &quot;-&quot;??\ [$€-40C]_-;_-@_-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1"/>
      <color theme="0"/>
      <name val="Calibri Light"/>
      <family val="2"/>
      <scheme val="major"/>
    </font>
    <font>
      <b/>
      <sz val="16"/>
      <color theme="0"/>
      <name val="Calibri Light"/>
      <family val="2"/>
      <scheme val="major"/>
    </font>
    <font>
      <b/>
      <sz val="12"/>
      <color theme="1"/>
      <name val="Calibri"/>
      <family val="2"/>
      <scheme val="minor"/>
    </font>
    <font>
      <b/>
      <sz val="12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sz val="12"/>
      <color theme="1"/>
      <name val="Calibri Light"/>
      <family val="2"/>
      <scheme val="major"/>
    </font>
    <font>
      <b/>
      <sz val="18"/>
      <color theme="1"/>
      <name val="Calibri Light"/>
      <family val="2"/>
      <scheme val="major"/>
    </font>
    <font>
      <b/>
      <sz val="12"/>
      <color theme="0"/>
      <name val="Calibri Light"/>
      <family val="2"/>
      <scheme val="major"/>
    </font>
    <font>
      <sz val="10"/>
      <color theme="1"/>
      <name val="Calibri"/>
      <family val="2"/>
      <scheme val="minor"/>
    </font>
    <font>
      <b/>
      <sz val="10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b/>
      <sz val="10"/>
      <color theme="0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ABABAB"/>
      </left>
      <right style="thin">
        <color rgb="FFABABAB"/>
      </right>
      <top style="medium">
        <color indexed="64"/>
      </top>
      <bottom/>
      <diagonal/>
    </border>
    <border>
      <left/>
      <right style="thin">
        <color rgb="FFABABAB"/>
      </right>
      <top style="medium">
        <color indexed="64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/>
      <right/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/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5"/>
      </top>
      <bottom/>
      <diagonal/>
    </border>
    <border>
      <left/>
      <right style="thick">
        <color indexed="64"/>
      </right>
      <top style="thin">
        <color rgb="FF999999"/>
      </top>
      <bottom/>
      <diagonal/>
    </border>
    <border>
      <left/>
      <right/>
      <top/>
      <bottom style="thick">
        <color auto="1"/>
      </bottom>
      <diagonal/>
    </border>
    <border>
      <left/>
      <right style="thick">
        <color indexed="64"/>
      </right>
      <top/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ck">
        <color indexed="64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ck">
        <color auto="1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</borders>
  <cellStyleXfs count="2">
    <xf numFmtId="0" fontId="0" fillId="0" borderId="0"/>
    <xf numFmtId="9" fontId="18" fillId="0" borderId="0" applyFont="0" applyFill="0" applyBorder="0" applyAlignment="0" applyProtection="0"/>
  </cellStyleXfs>
  <cellXfs count="180">
    <xf numFmtId="0" fontId="0" fillId="0" borderId="0" xfId="0"/>
    <xf numFmtId="0" fontId="2" fillId="0" borderId="0" xfId="0" applyFont="1"/>
    <xf numFmtId="1" fontId="2" fillId="0" borderId="0" xfId="0" applyNumberFormat="1" applyFont="1" applyAlignment="1">
      <alignment horizontal="center"/>
    </xf>
    <xf numFmtId="0" fontId="3" fillId="4" borderId="0" xfId="0" applyFont="1" applyFill="1" applyAlignment="1">
      <alignment horizontal="right"/>
    </xf>
    <xf numFmtId="0" fontId="3" fillId="3" borderId="6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1" fontId="3" fillId="3" borderId="7" xfId="0" applyNumberFormat="1" applyFont="1" applyFill="1" applyBorder="1" applyAlignment="1">
      <alignment horizontal="center"/>
    </xf>
    <xf numFmtId="1" fontId="3" fillId="3" borderId="8" xfId="0" applyNumberFormat="1" applyFont="1" applyFill="1" applyBorder="1" applyAlignment="1">
      <alignment horizontal="center"/>
    </xf>
    <xf numFmtId="0" fontId="11" fillId="0" borderId="4" xfId="0" applyFont="1" applyBorder="1"/>
    <xf numFmtId="1" fontId="12" fillId="0" borderId="0" xfId="0" applyNumberFormat="1" applyFont="1" applyAlignment="1">
      <alignment horizontal="center"/>
    </xf>
    <xf numFmtId="0" fontId="11" fillId="2" borderId="0" xfId="0" applyFont="1" applyFill="1"/>
    <xf numFmtId="1" fontId="12" fillId="0" borderId="5" xfId="0" applyNumberFormat="1" applyFont="1" applyBorder="1" applyAlignment="1">
      <alignment horizontal="center"/>
    </xf>
    <xf numFmtId="0" fontId="11" fillId="0" borderId="0" xfId="0" applyFont="1"/>
    <xf numFmtId="0" fontId="13" fillId="0" borderId="0" xfId="0" applyFont="1"/>
    <xf numFmtId="1" fontId="12" fillId="0" borderId="7" xfId="0" applyNumberFormat="1" applyFont="1" applyBorder="1" applyAlignment="1">
      <alignment horizontal="center"/>
    </xf>
    <xf numFmtId="0" fontId="11" fillId="2" borderId="7" xfId="0" applyFont="1" applyFill="1" applyBorder="1"/>
    <xf numFmtId="1" fontId="12" fillId="0" borderId="8" xfId="0" applyNumberFormat="1" applyFont="1" applyBorder="1" applyAlignment="1">
      <alignment horizontal="center"/>
    </xf>
    <xf numFmtId="0" fontId="11" fillId="0" borderId="7" xfId="0" applyFont="1" applyBorder="1"/>
    <xf numFmtId="0" fontId="13" fillId="0" borderId="7" xfId="0" applyFont="1" applyBorder="1"/>
    <xf numFmtId="0" fontId="11" fillId="2" borderId="4" xfId="0" applyFont="1" applyFill="1" applyBorder="1"/>
    <xf numFmtId="0" fontId="15" fillId="0" borderId="0" xfId="0" applyFont="1"/>
    <xf numFmtId="1" fontId="14" fillId="2" borderId="5" xfId="0" applyNumberFormat="1" applyFont="1" applyFill="1" applyBorder="1" applyAlignment="1">
      <alignment horizontal="center"/>
    </xf>
    <xf numFmtId="0" fontId="11" fillId="2" borderId="6" xfId="0" applyFont="1" applyFill="1" applyBorder="1"/>
    <xf numFmtId="0" fontId="15" fillId="0" borderId="7" xfId="0" applyFont="1" applyBorder="1"/>
    <xf numFmtId="1" fontId="12" fillId="2" borderId="5" xfId="0" applyNumberFormat="1" applyFont="1" applyFill="1" applyBorder="1" applyAlignment="1">
      <alignment horizontal="center"/>
    </xf>
    <xf numFmtId="0" fontId="5" fillId="2" borderId="1" xfId="0" applyFont="1" applyFill="1" applyBorder="1"/>
    <xf numFmtId="0" fontId="5" fillId="0" borderId="2" xfId="0" applyFont="1" applyBorder="1"/>
    <xf numFmtId="1" fontId="6" fillId="0" borderId="2" xfId="0" applyNumberFormat="1" applyFont="1" applyBorder="1" applyAlignment="1">
      <alignment horizontal="center"/>
    </xf>
    <xf numFmtId="1" fontId="6" fillId="0" borderId="3" xfId="0" applyNumberFormat="1" applyFont="1" applyBorder="1" applyAlignment="1">
      <alignment horizontal="center"/>
    </xf>
    <xf numFmtId="0" fontId="7" fillId="2" borderId="1" xfId="0" applyFont="1" applyFill="1" applyBorder="1"/>
    <xf numFmtId="0" fontId="8" fillId="0" borderId="2" xfId="0" applyFont="1" applyBorder="1"/>
    <xf numFmtId="0" fontId="11" fillId="2" borderId="1" xfId="0" applyFont="1" applyFill="1" applyBorder="1"/>
    <xf numFmtId="0" fontId="11" fillId="0" borderId="2" xfId="0" applyFont="1" applyBorder="1"/>
    <xf numFmtId="1" fontId="12" fillId="0" borderId="2" xfId="0" applyNumberFormat="1" applyFont="1" applyBorder="1" applyAlignment="1">
      <alignment horizontal="center"/>
    </xf>
    <xf numFmtId="0" fontId="15" fillId="0" borderId="2" xfId="0" applyFont="1" applyBorder="1"/>
    <xf numFmtId="0" fontId="11" fillId="2" borderId="2" xfId="0" applyFont="1" applyFill="1" applyBorder="1"/>
    <xf numFmtId="1" fontId="12" fillId="2" borderId="2" xfId="0" applyNumberFormat="1" applyFont="1" applyFill="1" applyBorder="1" applyAlignment="1">
      <alignment horizontal="center"/>
    </xf>
    <xf numFmtId="0" fontId="13" fillId="0" borderId="2" xfId="0" applyFont="1" applyBorder="1"/>
    <xf numFmtId="1" fontId="12" fillId="0" borderId="3" xfId="0" applyNumberFormat="1" applyFont="1" applyBorder="1" applyAlignment="1">
      <alignment horizontal="center"/>
    </xf>
    <xf numFmtId="1" fontId="12" fillId="2" borderId="3" xfId="0" applyNumberFormat="1" applyFont="1" applyFill="1" applyBorder="1" applyAlignment="1">
      <alignment horizontal="center"/>
    </xf>
    <xf numFmtId="0" fontId="5" fillId="0" borderId="1" xfId="0" applyFont="1" applyBorder="1"/>
    <xf numFmtId="0" fontId="1" fillId="0" borderId="12" xfId="0" applyFont="1" applyBorder="1"/>
    <xf numFmtId="0" fontId="5" fillId="2" borderId="2" xfId="0" applyFont="1" applyFill="1" applyBorder="1"/>
    <xf numFmtId="0" fontId="7" fillId="2" borderId="2" xfId="0" applyFont="1" applyFill="1" applyBorder="1"/>
    <xf numFmtId="1" fontId="10" fillId="0" borderId="2" xfId="0" applyNumberFormat="1" applyFont="1" applyBorder="1" applyAlignment="1">
      <alignment horizontal="center"/>
    </xf>
    <xf numFmtId="1" fontId="14" fillId="0" borderId="2" xfId="0" applyNumberFormat="1" applyFont="1" applyBorder="1" applyAlignment="1">
      <alignment horizontal="center"/>
    </xf>
    <xf numFmtId="1" fontId="14" fillId="0" borderId="0" xfId="0" applyNumberFormat="1" applyFont="1" applyAlignment="1">
      <alignment horizontal="center"/>
    </xf>
    <xf numFmtId="1" fontId="14" fillId="0" borderId="7" xfId="0" applyNumberFormat="1" applyFont="1" applyBorder="1" applyAlignment="1">
      <alignment horizontal="center"/>
    </xf>
    <xf numFmtId="1" fontId="14" fillId="0" borderId="3" xfId="0" applyNumberFormat="1" applyFont="1" applyBorder="1" applyAlignment="1">
      <alignment horizontal="center"/>
    </xf>
    <xf numFmtId="1" fontId="14" fillId="0" borderId="5" xfId="0" applyNumberFormat="1" applyFont="1" applyBorder="1" applyAlignment="1">
      <alignment horizontal="center"/>
    </xf>
    <xf numFmtId="1" fontId="14" fillId="0" borderId="8" xfId="0" applyNumberFormat="1" applyFont="1" applyBorder="1" applyAlignment="1">
      <alignment horizontal="center"/>
    </xf>
    <xf numFmtId="0" fontId="11" fillId="5" borderId="1" xfId="0" applyFont="1" applyFill="1" applyBorder="1"/>
    <xf numFmtId="0" fontId="11" fillId="5" borderId="2" xfId="0" applyFont="1" applyFill="1" applyBorder="1"/>
    <xf numFmtId="1" fontId="12" fillId="5" borderId="2" xfId="0" applyNumberFormat="1" applyFont="1" applyFill="1" applyBorder="1" applyAlignment="1">
      <alignment horizontal="center"/>
    </xf>
    <xf numFmtId="0" fontId="13" fillId="5" borderId="2" xfId="0" applyFont="1" applyFill="1" applyBorder="1"/>
    <xf numFmtId="1" fontId="12" fillId="5" borderId="3" xfId="0" applyNumberFormat="1" applyFont="1" applyFill="1" applyBorder="1" applyAlignment="1">
      <alignment horizontal="center"/>
    </xf>
    <xf numFmtId="0" fontId="11" fillId="5" borderId="4" xfId="0" applyFont="1" applyFill="1" applyBorder="1"/>
    <xf numFmtId="0" fontId="11" fillId="5" borderId="0" xfId="0" applyFont="1" applyFill="1"/>
    <xf numFmtId="1" fontId="12" fillId="5" borderId="0" xfId="0" applyNumberFormat="1" applyFont="1" applyFill="1" applyAlignment="1">
      <alignment horizontal="center"/>
    </xf>
    <xf numFmtId="0" fontId="13" fillId="5" borderId="0" xfId="0" applyFont="1" applyFill="1"/>
    <xf numFmtId="1" fontId="12" fillId="5" borderId="5" xfId="0" applyNumberFormat="1" applyFont="1" applyFill="1" applyBorder="1" applyAlignment="1">
      <alignment horizontal="center"/>
    </xf>
    <xf numFmtId="0" fontId="11" fillId="5" borderId="6" xfId="0" applyFont="1" applyFill="1" applyBorder="1"/>
    <xf numFmtId="0" fontId="11" fillId="5" borderId="7" xfId="0" applyFont="1" applyFill="1" applyBorder="1"/>
    <xf numFmtId="1" fontId="12" fillId="5" borderId="7" xfId="0" applyNumberFormat="1" applyFont="1" applyFill="1" applyBorder="1" applyAlignment="1">
      <alignment horizontal="center"/>
    </xf>
    <xf numFmtId="0" fontId="13" fillId="5" borderId="7" xfId="0" applyFont="1" applyFill="1" applyBorder="1"/>
    <xf numFmtId="1" fontId="12" fillId="5" borderId="8" xfId="0" applyNumberFormat="1" applyFont="1" applyFill="1" applyBorder="1" applyAlignment="1">
      <alignment horizontal="center"/>
    </xf>
    <xf numFmtId="0" fontId="13" fillId="5" borderId="1" xfId="0" applyFont="1" applyFill="1" applyBorder="1"/>
    <xf numFmtId="0" fontId="12" fillId="5" borderId="2" xfId="0" applyFont="1" applyFill="1" applyBorder="1"/>
    <xf numFmtId="0" fontId="13" fillId="5" borderId="4" xfId="0" applyFont="1" applyFill="1" applyBorder="1"/>
    <xf numFmtId="0" fontId="12" fillId="5" borderId="0" xfId="0" applyFont="1" applyFill="1"/>
    <xf numFmtId="0" fontId="15" fillId="5" borderId="0" xfId="0" applyFont="1" applyFill="1"/>
    <xf numFmtId="0" fontId="13" fillId="5" borderId="6" xfId="0" applyFont="1" applyFill="1" applyBorder="1"/>
    <xf numFmtId="0" fontId="12" fillId="5" borderId="7" xfId="0" applyFont="1" applyFill="1" applyBorder="1"/>
    <xf numFmtId="1" fontId="14" fillId="5" borderId="0" xfId="0" applyNumberFormat="1" applyFont="1" applyFill="1" applyAlignment="1">
      <alignment horizontal="center"/>
    </xf>
    <xf numFmtId="1" fontId="14" fillId="5" borderId="5" xfId="0" applyNumberFormat="1" applyFont="1" applyFill="1" applyBorder="1" applyAlignment="1">
      <alignment horizontal="center"/>
    </xf>
    <xf numFmtId="0" fontId="1" fillId="0" borderId="13" xfId="0" applyFont="1" applyBorder="1"/>
    <xf numFmtId="0" fontId="0" fillId="0" borderId="4" xfId="0" applyBorder="1"/>
    <xf numFmtId="1" fontId="1" fillId="0" borderId="5" xfId="0" applyNumberFormat="1" applyFont="1" applyBorder="1"/>
    <xf numFmtId="0" fontId="0" fillId="0" borderId="6" xfId="0" applyBorder="1"/>
    <xf numFmtId="1" fontId="1" fillId="0" borderId="8" xfId="0" applyNumberFormat="1" applyFont="1" applyBorder="1"/>
    <xf numFmtId="0" fontId="0" fillId="0" borderId="9" xfId="0" applyBorder="1"/>
    <xf numFmtId="1" fontId="1" fillId="0" borderId="11" xfId="0" applyNumberFormat="1" applyFont="1" applyBorder="1"/>
    <xf numFmtId="17" fontId="0" fillId="0" borderId="0" xfId="0" applyNumberFormat="1"/>
    <xf numFmtId="0" fontId="0" fillId="0" borderId="0" xfId="0" applyAlignment="1">
      <alignment horizontal="right"/>
    </xf>
    <xf numFmtId="1" fontId="0" fillId="0" borderId="0" xfId="0" applyNumberFormat="1" applyAlignment="1">
      <alignment horizontal="right"/>
    </xf>
    <xf numFmtId="17" fontId="0" fillId="6" borderId="0" xfId="0" applyNumberFormat="1" applyFill="1" applyAlignment="1">
      <alignment horizontal="right"/>
    </xf>
    <xf numFmtId="0" fontId="0" fillId="6" borderId="0" xfId="0" applyFill="1" applyAlignment="1">
      <alignment horizontal="right"/>
    </xf>
    <xf numFmtId="17" fontId="0" fillId="7" borderId="4" xfId="0" applyNumberFormat="1" applyFill="1" applyBorder="1"/>
    <xf numFmtId="17" fontId="0" fillId="7" borderId="1" xfId="0" applyNumberFormat="1" applyFill="1" applyBorder="1"/>
    <xf numFmtId="0" fontId="5" fillId="8" borderId="9" xfId="0" applyFont="1" applyFill="1" applyBorder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164" fontId="0" fillId="7" borderId="4" xfId="0" applyNumberFormat="1" applyFill="1" applyBorder="1"/>
    <xf numFmtId="165" fontId="0" fillId="0" borderId="0" xfId="0" applyNumberFormat="1"/>
    <xf numFmtId="165" fontId="0" fillId="0" borderId="5" xfId="0" applyNumberFormat="1" applyBorder="1"/>
    <xf numFmtId="17" fontId="0" fillId="7" borderId="0" xfId="0" applyNumberFormat="1" applyFill="1"/>
    <xf numFmtId="165" fontId="0" fillId="0" borderId="2" xfId="0" applyNumberFormat="1" applyBorder="1"/>
    <xf numFmtId="17" fontId="0" fillId="7" borderId="2" xfId="0" applyNumberFormat="1" applyFill="1" applyBorder="1"/>
    <xf numFmtId="165" fontId="0" fillId="0" borderId="3" xfId="0" applyNumberFormat="1" applyBorder="1"/>
    <xf numFmtId="0" fontId="17" fillId="10" borderId="2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165" fontId="17" fillId="10" borderId="2" xfId="0" applyNumberFormat="1" applyFont="1" applyFill="1" applyBorder="1" applyAlignment="1">
      <alignment horizontal="center" vertical="center"/>
    </xf>
    <xf numFmtId="0" fontId="0" fillId="0" borderId="15" xfId="0" applyBorder="1"/>
    <xf numFmtId="165" fontId="0" fillId="0" borderId="14" xfId="0" applyNumberFormat="1" applyBorder="1"/>
    <xf numFmtId="165" fontId="0" fillId="0" borderId="15" xfId="0" applyNumberFormat="1" applyBorder="1"/>
    <xf numFmtId="165" fontId="0" fillId="0" borderId="16" xfId="0" applyNumberFormat="1" applyBorder="1"/>
    <xf numFmtId="42" fontId="0" fillId="0" borderId="0" xfId="0" applyNumberFormat="1"/>
    <xf numFmtId="165" fontId="5" fillId="8" borderId="10" xfId="0" applyNumberFormat="1" applyFont="1" applyFill="1" applyBorder="1" applyAlignment="1">
      <alignment horizontal="center" vertical="center"/>
    </xf>
    <xf numFmtId="165" fontId="5" fillId="8" borderId="11" xfId="0" applyNumberFormat="1" applyFont="1" applyFill="1" applyBorder="1" applyAlignment="1">
      <alignment horizontal="center" vertical="center"/>
    </xf>
    <xf numFmtId="17" fontId="0" fillId="7" borderId="6" xfId="0" applyNumberFormat="1" applyFill="1" applyBorder="1"/>
    <xf numFmtId="165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0" xfId="0" applyAlignment="1">
      <alignment horizontal="center" vertical="center" textRotation="90"/>
    </xf>
    <xf numFmtId="165" fontId="17" fillId="10" borderId="20" xfId="0" applyNumberFormat="1" applyFont="1" applyFill="1" applyBorder="1" applyAlignment="1">
      <alignment horizontal="center" vertical="center"/>
    </xf>
    <xf numFmtId="165" fontId="0" fillId="0" borderId="20" xfId="0" applyNumberFormat="1" applyBorder="1"/>
    <xf numFmtId="165" fontId="0" fillId="0" borderId="22" xfId="0" applyNumberFormat="1" applyBorder="1"/>
    <xf numFmtId="165" fontId="0" fillId="0" borderId="23" xfId="0" applyNumberFormat="1" applyBorder="1"/>
    <xf numFmtId="42" fontId="0" fillId="0" borderId="22" xfId="0" applyNumberFormat="1" applyBorder="1"/>
    <xf numFmtId="0" fontId="0" fillId="0" borderId="22" xfId="0" applyBorder="1"/>
    <xf numFmtId="165" fontId="0" fillId="0" borderId="22" xfId="0" applyNumberFormat="1" applyBorder="1" applyProtection="1">
      <protection locked="0"/>
    </xf>
    <xf numFmtId="0" fontId="0" fillId="0" borderId="22" xfId="0" applyBorder="1" applyProtection="1">
      <protection locked="0"/>
    </xf>
    <xf numFmtId="0" fontId="0" fillId="0" borderId="24" xfId="0" applyBorder="1" applyProtection="1">
      <protection locked="0"/>
    </xf>
    <xf numFmtId="0" fontId="0" fillId="0" borderId="2" xfId="0" applyBorder="1"/>
    <xf numFmtId="0" fontId="0" fillId="0" borderId="25" xfId="0" applyBorder="1"/>
    <xf numFmtId="17" fontId="0" fillId="7" borderId="25" xfId="0" applyNumberFormat="1" applyFill="1" applyBorder="1"/>
    <xf numFmtId="42" fontId="0" fillId="0" borderId="25" xfId="0" applyNumberFormat="1" applyBorder="1"/>
    <xf numFmtId="0" fontId="0" fillId="0" borderId="25" xfId="0" applyBorder="1" applyProtection="1">
      <protection locked="0"/>
    </xf>
    <xf numFmtId="0" fontId="0" fillId="0" borderId="26" xfId="0" applyBorder="1" applyProtection="1">
      <protection locked="0"/>
    </xf>
    <xf numFmtId="17" fontId="0" fillId="7" borderId="27" xfId="0" applyNumberFormat="1" applyFill="1" applyBorder="1"/>
    <xf numFmtId="42" fontId="0" fillId="0" borderId="27" xfId="0" applyNumberFormat="1" applyBorder="1"/>
    <xf numFmtId="0" fontId="0" fillId="0" borderId="27" xfId="0" applyBorder="1" applyProtection="1">
      <protection locked="0"/>
    </xf>
    <xf numFmtId="0" fontId="0" fillId="0" borderId="28" xfId="0" applyBorder="1" applyProtection="1">
      <protection locked="0"/>
    </xf>
    <xf numFmtId="0" fontId="0" fillId="0" borderId="27" xfId="0" applyBorder="1"/>
    <xf numFmtId="165" fontId="0" fillId="0" borderId="27" xfId="0" applyNumberFormat="1" applyBorder="1"/>
    <xf numFmtId="0" fontId="16" fillId="0" borderId="0" xfId="0" applyFont="1" applyAlignment="1">
      <alignment horizontal="center" vertical="center" textRotation="90"/>
    </xf>
    <xf numFmtId="0" fontId="16" fillId="0" borderId="25" xfId="0" applyFont="1" applyBorder="1" applyAlignment="1">
      <alignment vertical="center" textRotation="90"/>
    </xf>
    <xf numFmtId="17" fontId="0" fillId="7" borderId="31" xfId="0" applyNumberFormat="1" applyFill="1" applyBorder="1"/>
    <xf numFmtId="165" fontId="0" fillId="0" borderId="30" xfId="0" applyNumberFormat="1" applyBorder="1"/>
    <xf numFmtId="165" fontId="0" fillId="0" borderId="25" xfId="0" applyNumberFormat="1" applyBorder="1"/>
    <xf numFmtId="165" fontId="0" fillId="0" borderId="32" xfId="0" applyNumberFormat="1" applyBorder="1"/>
    <xf numFmtId="0" fontId="16" fillId="2" borderId="0" xfId="0" applyFont="1" applyFill="1" applyAlignment="1">
      <alignment horizontal="center" vertical="center" textRotation="90"/>
    </xf>
    <xf numFmtId="0" fontId="0" fillId="2" borderId="0" xfId="0" applyFill="1" applyAlignment="1">
      <alignment horizontal="center" vertical="center" textRotation="90"/>
    </xf>
    <xf numFmtId="10" fontId="0" fillId="0" borderId="0" xfId="1" applyNumberFormat="1" applyFont="1" applyFill="1" applyBorder="1"/>
    <xf numFmtId="0" fontId="16" fillId="0" borderId="2" xfId="0" applyFont="1" applyBorder="1" applyAlignment="1">
      <alignment horizontal="center" vertical="center" textRotation="90"/>
    </xf>
    <xf numFmtId="0" fontId="16" fillId="0" borderId="0" xfId="0" applyFont="1" applyAlignment="1">
      <alignment horizontal="center" vertical="center" textRotation="90"/>
    </xf>
    <xf numFmtId="0" fontId="16" fillId="0" borderId="30" xfId="0" applyFont="1" applyBorder="1" applyAlignment="1">
      <alignment horizontal="center" vertical="center" textRotation="90"/>
    </xf>
    <xf numFmtId="0" fontId="0" fillId="0" borderId="0" xfId="0" applyAlignment="1">
      <alignment horizontal="center" vertical="center" textRotation="90"/>
    </xf>
    <xf numFmtId="0" fontId="16" fillId="0" borderId="7" xfId="0" applyFont="1" applyBorder="1" applyAlignment="1">
      <alignment horizontal="center" vertical="center" textRotation="90"/>
    </xf>
    <xf numFmtId="165" fontId="17" fillId="9" borderId="20" xfId="0" applyNumberFormat="1" applyFont="1" applyFill="1" applyBorder="1" applyAlignment="1">
      <alignment horizontal="center" vertical="center"/>
    </xf>
    <xf numFmtId="165" fontId="17" fillId="9" borderId="21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165" fontId="17" fillId="9" borderId="7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7" fillId="9" borderId="1" xfId="0" applyFont="1" applyFill="1" applyBorder="1" applyAlignment="1">
      <alignment horizontal="center" vertical="center"/>
    </xf>
    <xf numFmtId="0" fontId="17" fillId="9" borderId="6" xfId="0" applyFont="1" applyFill="1" applyBorder="1" applyAlignment="1">
      <alignment horizontal="center" vertical="center"/>
    </xf>
    <xf numFmtId="0" fontId="16" fillId="0" borderId="25" xfId="0" applyFont="1" applyBorder="1" applyAlignment="1">
      <alignment horizontal="center" vertical="center" textRotation="90"/>
    </xf>
    <xf numFmtId="0" fontId="17" fillId="9" borderId="2" xfId="0" applyFont="1" applyFill="1" applyBorder="1" applyAlignment="1">
      <alignment horizontal="center" vertical="center"/>
    </xf>
    <xf numFmtId="0" fontId="17" fillId="9" borderId="7" xfId="0" applyFont="1" applyFill="1" applyBorder="1" applyAlignment="1">
      <alignment horizontal="center" vertical="center"/>
    </xf>
    <xf numFmtId="0" fontId="16" fillId="0" borderId="29" xfId="0" applyFont="1" applyBorder="1" applyAlignment="1">
      <alignment horizontal="center" vertical="center" textRotation="90"/>
    </xf>
    <xf numFmtId="0" fontId="16" fillId="0" borderId="27" xfId="0" applyFont="1" applyBorder="1" applyAlignment="1">
      <alignment horizontal="center" vertical="center" textRotation="90"/>
    </xf>
    <xf numFmtId="0" fontId="3" fillId="4" borderId="1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0" xfId="0" applyFont="1" applyFill="1" applyAlignment="1">
      <alignment horizontal="center" vertical="center" textRotation="90"/>
    </xf>
    <xf numFmtId="17" fontId="3" fillId="4" borderId="1" xfId="0" applyNumberFormat="1" applyFont="1" applyFill="1" applyBorder="1" applyAlignment="1">
      <alignment horizontal="center"/>
    </xf>
    <xf numFmtId="17" fontId="3" fillId="4" borderId="2" xfId="0" applyNumberFormat="1" applyFont="1" applyFill="1" applyBorder="1" applyAlignment="1">
      <alignment horizontal="center"/>
    </xf>
    <xf numFmtId="17" fontId="3" fillId="4" borderId="3" xfId="0" applyNumberFormat="1" applyFont="1" applyFill="1" applyBorder="1" applyAlignment="1">
      <alignment horizontal="center"/>
    </xf>
    <xf numFmtId="17" fontId="9" fillId="0" borderId="1" xfId="0" applyNumberFormat="1" applyFont="1" applyBorder="1" applyAlignment="1">
      <alignment horizontal="center" vertical="center"/>
    </xf>
    <xf numFmtId="17" fontId="9" fillId="0" borderId="2" xfId="0" applyNumberFormat="1" applyFont="1" applyBorder="1" applyAlignment="1">
      <alignment horizontal="center" vertical="center"/>
    </xf>
    <xf numFmtId="17" fontId="9" fillId="0" borderId="6" xfId="0" applyNumberFormat="1" applyFont="1" applyBorder="1" applyAlignment="1">
      <alignment horizontal="center" vertical="center"/>
    </xf>
    <xf numFmtId="17" fontId="9" fillId="0" borderId="7" xfId="0" applyNumberFormat="1" applyFont="1" applyBorder="1" applyAlignment="1">
      <alignment horizontal="center" vertical="center"/>
    </xf>
    <xf numFmtId="17" fontId="9" fillId="0" borderId="3" xfId="0" applyNumberFormat="1" applyFont="1" applyBorder="1" applyAlignment="1">
      <alignment horizontal="center" vertical="center"/>
    </xf>
    <xf numFmtId="17" fontId="9" fillId="0" borderId="8" xfId="0" applyNumberFormat="1" applyFont="1" applyBorder="1" applyAlignment="1">
      <alignment horizontal="center" vertical="center"/>
    </xf>
    <xf numFmtId="0" fontId="4" fillId="4" borderId="1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</cellXfs>
  <cellStyles count="2">
    <cellStyle name="Normal" xfId="0" builtinId="0"/>
    <cellStyle name="Pourcentage" xfId="1" builtinId="5"/>
  </cellStyles>
  <dxfs count="23">
    <dxf>
      <font>
        <color theme="0"/>
      </font>
      <fill>
        <patternFill>
          <bgColor rgb="FFFF5050"/>
        </patternFill>
      </fill>
    </dxf>
    <dxf>
      <font>
        <strike val="0"/>
        <color theme="0"/>
      </font>
      <fill>
        <patternFill>
          <bgColor theme="9" tint="0.59996337778862885"/>
        </patternFill>
      </fill>
    </dxf>
    <dxf>
      <fill>
        <patternFill patternType="darkUp">
          <bgColor auto="1"/>
        </patternFill>
      </fill>
    </dxf>
    <dxf>
      <fill>
        <patternFill patternType="darkUp">
          <bgColor auto="1"/>
        </patternFill>
      </fill>
    </dxf>
    <dxf>
      <font>
        <color theme="0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5050"/>
        </patternFill>
      </fill>
    </dxf>
    <dxf>
      <font>
        <color theme="0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5050"/>
        </patternFill>
      </fill>
    </dxf>
    <dxf>
      <fill>
        <patternFill patternType="darkUp">
          <bgColor auto="1"/>
        </patternFill>
      </fill>
    </dxf>
    <dxf>
      <font>
        <color theme="0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5050"/>
        </patternFill>
      </fill>
    </dxf>
    <dxf>
      <font>
        <color theme="0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5050"/>
        </patternFill>
      </fill>
    </dxf>
    <dxf>
      <font>
        <color theme="0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5050"/>
        </patternFill>
      </fill>
    </dxf>
    <dxf>
      <font>
        <color theme="0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5050"/>
        </patternFill>
      </fill>
    </dxf>
    <dxf>
      <font>
        <color theme="0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5050"/>
        </patternFill>
      </fill>
    </dxf>
    <dxf>
      <font>
        <color theme="0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5050"/>
        </patternFill>
      </fill>
    </dxf>
    <dxf>
      <font>
        <color theme="0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6699FF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externalLink" Target="externalLinks/externalLink7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externalLink" Target="externalLinks/externalLink1.xml"/><Relationship Id="rId12" Type="http://schemas.openxmlformats.org/officeDocument/2006/relationships/externalLink" Target="externalLinks/externalLink6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0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9.xml"/><Relationship Id="rId10" Type="http://schemas.openxmlformats.org/officeDocument/2006/relationships/externalLink" Target="externalLinks/externalLink4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externalLink" Target="externalLinks/externalLink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PARIS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sites'!$A$2:$A$98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sites'!$B$2:$B$98</c:f>
              <c:numCache>
                <c:formatCode>Standard</c:formatCode>
                <c:ptCount val="97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85A-4C3C-A9BA-F3921545EEC2}"/>
            </c:ext>
          </c:extLst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sites'!$A$2:$A$98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sites'!$C$2:$C$98</c:f>
              <c:numCache>
                <c:formatCode>_-* #\ ##0\ [$€-40C]_-;\-* #\ ##0\ [$€-40C]_-;_-* "-"??\ [$€-40C]_-;_-@_-</c:formatCode>
                <c:ptCount val="97"/>
                <c:pt idx="0">
                  <c:v>2099212.12</c:v>
                </c:pt>
                <c:pt idx="1">
                  <c:v>2124621.21</c:v>
                </c:pt>
                <c:pt idx="2">
                  <c:v>2137537.3200000003</c:v>
                </c:pt>
                <c:pt idx="3">
                  <c:v>2119170.36</c:v>
                </c:pt>
                <c:pt idx="4">
                  <c:v>2128240.5600000005</c:v>
                </c:pt>
                <c:pt idx="5">
                  <c:v>2108371.8200000003</c:v>
                </c:pt>
                <c:pt idx="6">
                  <c:v>2166236.0699999998</c:v>
                </c:pt>
                <c:pt idx="7">
                  <c:v>2190649.54</c:v>
                </c:pt>
                <c:pt idx="8">
                  <c:v>2173670.15</c:v>
                </c:pt>
                <c:pt idx="9">
                  <c:v>2190742.2600000002</c:v>
                </c:pt>
                <c:pt idx="10">
                  <c:v>2189984.1199999996</c:v>
                </c:pt>
                <c:pt idx="11">
                  <c:v>2184864.7599999998</c:v>
                </c:pt>
                <c:pt idx="12">
                  <c:v>2199115.89</c:v>
                </c:pt>
                <c:pt idx="13">
                  <c:v>2167574.6600000006</c:v>
                </c:pt>
                <c:pt idx="14">
                  <c:v>2156682.5300000003</c:v>
                </c:pt>
                <c:pt idx="15">
                  <c:v>2165577.31</c:v>
                </c:pt>
                <c:pt idx="16">
                  <c:v>2139535.2199999997</c:v>
                </c:pt>
                <c:pt idx="17">
                  <c:v>2194664.92</c:v>
                </c:pt>
                <c:pt idx="18">
                  <c:v>2180842.14</c:v>
                </c:pt>
                <c:pt idx="19">
                  <c:v>2162792.56</c:v>
                </c:pt>
                <c:pt idx="20">
                  <c:v>2160840.85</c:v>
                </c:pt>
                <c:pt idx="21">
                  <c:v>2179102.1000000006</c:v>
                </c:pt>
                <c:pt idx="22">
                  <c:v>2150425.89</c:v>
                </c:pt>
                <c:pt idx="23">
                  <c:v>2179418.0100000002</c:v>
                </c:pt>
                <c:pt idx="24">
                  <c:v>2132627.35</c:v>
                </c:pt>
                <c:pt idx="25">
                  <c:v>2154059.6</c:v>
                </c:pt>
                <c:pt idx="26">
                  <c:v>2126066.7200000002</c:v>
                </c:pt>
                <c:pt idx="27">
                  <c:v>2170033.1</c:v>
                </c:pt>
                <c:pt idx="28">
                  <c:v>2158639</c:v>
                </c:pt>
                <c:pt idx="29">
                  <c:v>2161978.7499999995</c:v>
                </c:pt>
                <c:pt idx="30">
                  <c:v>2192248.7799999998</c:v>
                </c:pt>
                <c:pt idx="31">
                  <c:v>2202048.5500000003</c:v>
                </c:pt>
                <c:pt idx="32">
                  <c:v>2230824.6999999997</c:v>
                </c:pt>
                <c:pt idx="33">
                  <c:v>2203862.8199999998</c:v>
                </c:pt>
                <c:pt idx="34">
                  <c:v>2211199.6900000004</c:v>
                </c:pt>
                <c:pt idx="35">
                  <c:v>2262054.5600000005</c:v>
                </c:pt>
                <c:pt idx="36">
                  <c:v>2291108.17</c:v>
                </c:pt>
                <c:pt idx="37">
                  <c:v>2307358.9399999995</c:v>
                </c:pt>
                <c:pt idx="38">
                  <c:v>2325557.2699999996</c:v>
                </c:pt>
                <c:pt idx="39">
                  <c:v>2293919.79</c:v>
                </c:pt>
                <c:pt idx="40">
                  <c:v>2310273.14</c:v>
                </c:pt>
                <c:pt idx="41">
                  <c:v>2342215.94</c:v>
                </c:pt>
                <c:pt idx="42">
                  <c:v>2360356.0900000003</c:v>
                </c:pt>
                <c:pt idx="43">
                  <c:v>2410683.0400000005</c:v>
                </c:pt>
                <c:pt idx="44">
                  <c:v>2390395.7600000002</c:v>
                </c:pt>
                <c:pt idx="45">
                  <c:v>2342078.19</c:v>
                </c:pt>
                <c:pt idx="46">
                  <c:v>2377861.0300000003</c:v>
                </c:pt>
                <c:pt idx="47">
                  <c:v>2415517</c:v>
                </c:pt>
                <c:pt idx="48">
                  <c:v>2401885.77</c:v>
                </c:pt>
                <c:pt idx="49">
                  <c:v>2451122.52</c:v>
                </c:pt>
                <c:pt idx="50">
                  <c:v>2528782.4699999997</c:v>
                </c:pt>
                <c:pt idx="51">
                  <c:v>2554452.15</c:v>
                </c:pt>
                <c:pt idx="52">
                  <c:v>2588780.1900000004</c:v>
                </c:pt>
                <c:pt idx="53">
                  <c:v>2551744.8200000003</c:v>
                </c:pt>
                <c:pt idx="54">
                  <c:v>2537744.8899999997</c:v>
                </c:pt>
                <c:pt idx="55">
                  <c:v>2514024.2800000003</c:v>
                </c:pt>
                <c:pt idx="56">
                  <c:v>2517154.4799999995</c:v>
                </c:pt>
                <c:pt idx="57">
                  <c:v>2608999.6999999997</c:v>
                </c:pt>
                <c:pt idx="58">
                  <c:v>2596534.2499999995</c:v>
                </c:pt>
                <c:pt idx="59">
                  <c:v>2538750.1300000004</c:v>
                </c:pt>
                <c:pt idx="60">
                  <c:v>2515792.8500000006</c:v>
                </c:pt>
                <c:pt idx="61">
                  <c:v>2422519.35</c:v>
                </c:pt>
                <c:pt idx="62">
                  <c:v>2424747.7799999998</c:v>
                </c:pt>
                <c:pt idx="63">
                  <c:v>2281742.1899999995</c:v>
                </c:pt>
                <c:pt idx="64">
                  <c:v>2105028.4500000002</c:v>
                </c:pt>
                <c:pt idx="65">
                  <c:v>1997486.7900000005</c:v>
                </c:pt>
                <c:pt idx="66">
                  <c:v>1931951.23</c:v>
                </c:pt>
                <c:pt idx="67">
                  <c:v>1863338.4099999995</c:v>
                </c:pt>
                <c:pt idx="68">
                  <c:v>1801619.1299999997</c:v>
                </c:pt>
                <c:pt idx="69">
                  <c:v>1705417.79</c:v>
                </c:pt>
                <c:pt idx="70">
                  <c:v>1623868.38</c:v>
                </c:pt>
                <c:pt idx="71">
                  <c:v>1572954.8299999996</c:v>
                </c:pt>
                <c:pt idx="72">
                  <c:v>1569873.72</c:v>
                </c:pt>
                <c:pt idx="73">
                  <c:v>1613252.47</c:v>
                </c:pt>
                <c:pt idx="74">
                  <c:v>1483356.33</c:v>
                </c:pt>
                <c:pt idx="75">
                  <c:v>1588598.4300000002</c:v>
                </c:pt>
                <c:pt idx="76">
                  <c:v>1672387.25</c:v>
                </c:pt>
                <c:pt idx="77">
                  <c:v>1710426.85</c:v>
                </c:pt>
                <c:pt idx="78">
                  <c:v>1703377.0599999994</c:v>
                </c:pt>
                <c:pt idx="79">
                  <c:v>1723491.6500000001</c:v>
                </c:pt>
                <c:pt idx="80">
                  <c:v>1701825.0199999998</c:v>
                </c:pt>
                <c:pt idx="81">
                  <c:v>1711079.5900000003</c:v>
                </c:pt>
                <c:pt idx="82">
                  <c:v>1752074.11</c:v>
                </c:pt>
                <c:pt idx="83">
                  <c:v>1707538.5799999998</c:v>
                </c:pt>
                <c:pt idx="84">
                  <c:v>1674777.67</c:v>
                </c:pt>
                <c:pt idx="85">
                  <c:v>1593874.6600000001</c:v>
                </c:pt>
                <c:pt idx="86">
                  <c:v>1599333.1800000004</c:v>
                </c:pt>
                <c:pt idx="87">
                  <c:v>1520804.9900000002</c:v>
                </c:pt>
                <c:pt idx="88">
                  <c:v>1541133.85</c:v>
                </c:pt>
                <c:pt idx="89">
                  <c:v>1541029.05</c:v>
                </c:pt>
                <c:pt idx="90">
                  <c:v>1495719.03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85A-4C3C-A9BA-F3921545EEC2}"/>
            </c:ext>
          </c:extLst>
        </c:ser>
        <c:ser>
          <c:idx val="3"/>
          <c:order val="2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sites'!$A$2:$A$98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sites'!$D$2:$D$98</c:f>
              <c:numCache>
                <c:formatCode>_-* #\ ##0\ [$€-40C]_-;\-* #\ ##0\ [$€-40C]_-;_-* "-"??\ [$€-40C]_-;_-@_-</c:formatCode>
                <c:ptCount val="97"/>
                <c:pt idx="0">
                  <c:v>658109.1100000001</c:v>
                </c:pt>
                <c:pt idx="1">
                  <c:v>651203.30000000005</c:v>
                </c:pt>
                <c:pt idx="2">
                  <c:v>657637.67000000016</c:v>
                </c:pt>
                <c:pt idx="3">
                  <c:v>649331.9600000002</c:v>
                </c:pt>
                <c:pt idx="4">
                  <c:v>645150.99000000022</c:v>
                </c:pt>
                <c:pt idx="5">
                  <c:v>648435.98000000021</c:v>
                </c:pt>
                <c:pt idx="6">
                  <c:v>674819.30000000016</c:v>
                </c:pt>
                <c:pt idx="7">
                  <c:v>690984.7300000001</c:v>
                </c:pt>
                <c:pt idx="8">
                  <c:v>708467.20000000007</c:v>
                </c:pt>
                <c:pt idx="9">
                  <c:v>725325.50000000012</c:v>
                </c:pt>
                <c:pt idx="10">
                  <c:v>756943.91000000015</c:v>
                </c:pt>
                <c:pt idx="11">
                  <c:v>774487.67000000016</c:v>
                </c:pt>
                <c:pt idx="12">
                  <c:v>781367.73000000021</c:v>
                </c:pt>
                <c:pt idx="13">
                  <c:v>781956.8200000003</c:v>
                </c:pt>
                <c:pt idx="14">
                  <c:v>787165.82000000018</c:v>
                </c:pt>
                <c:pt idx="15">
                  <c:v>820267.7300000001</c:v>
                </c:pt>
                <c:pt idx="16">
                  <c:v>823931.66</c:v>
                </c:pt>
                <c:pt idx="17">
                  <c:v>840511.5</c:v>
                </c:pt>
                <c:pt idx="18">
                  <c:v>840794.55</c:v>
                </c:pt>
                <c:pt idx="19">
                  <c:v>804139.48000000021</c:v>
                </c:pt>
                <c:pt idx="20">
                  <c:v>793139.73000000021</c:v>
                </c:pt>
                <c:pt idx="21">
                  <c:v>800671.49000000022</c:v>
                </c:pt>
                <c:pt idx="22">
                  <c:v>791886.29000000027</c:v>
                </c:pt>
                <c:pt idx="23">
                  <c:v>797624.43</c:v>
                </c:pt>
                <c:pt idx="24">
                  <c:v>797474.52</c:v>
                </c:pt>
                <c:pt idx="25">
                  <c:v>800140.00000000012</c:v>
                </c:pt>
                <c:pt idx="26">
                  <c:v>797027.38000000012</c:v>
                </c:pt>
                <c:pt idx="27">
                  <c:v>817664.63000000012</c:v>
                </c:pt>
                <c:pt idx="28">
                  <c:v>820913.77000000014</c:v>
                </c:pt>
                <c:pt idx="29">
                  <c:v>825775.09</c:v>
                </c:pt>
                <c:pt idx="30">
                  <c:v>842267.22</c:v>
                </c:pt>
                <c:pt idx="31">
                  <c:v>853586.51</c:v>
                </c:pt>
                <c:pt idx="32">
                  <c:v>908825.7</c:v>
                </c:pt>
                <c:pt idx="33">
                  <c:v>925692.64000000013</c:v>
                </c:pt>
                <c:pt idx="34">
                  <c:v>918782.76</c:v>
                </c:pt>
                <c:pt idx="35">
                  <c:v>936710.87000000011</c:v>
                </c:pt>
                <c:pt idx="36">
                  <c:v>929838.71000000008</c:v>
                </c:pt>
                <c:pt idx="37">
                  <c:v>948020.23</c:v>
                </c:pt>
                <c:pt idx="38">
                  <c:v>971404.25</c:v>
                </c:pt>
                <c:pt idx="39">
                  <c:v>946684.11999999988</c:v>
                </c:pt>
                <c:pt idx="40">
                  <c:v>948801.89</c:v>
                </c:pt>
                <c:pt idx="41">
                  <c:v>938220.82999999984</c:v>
                </c:pt>
                <c:pt idx="42">
                  <c:v>971250.52</c:v>
                </c:pt>
                <c:pt idx="43">
                  <c:v>991749.48000000021</c:v>
                </c:pt>
                <c:pt idx="44">
                  <c:v>934031.87000000011</c:v>
                </c:pt>
                <c:pt idx="45">
                  <c:v>884722.58000000019</c:v>
                </c:pt>
                <c:pt idx="46">
                  <c:v>877756.75</c:v>
                </c:pt>
                <c:pt idx="47">
                  <c:v>846930.02</c:v>
                </c:pt>
                <c:pt idx="48">
                  <c:v>851183.46</c:v>
                </c:pt>
                <c:pt idx="49">
                  <c:v>843733.87</c:v>
                </c:pt>
                <c:pt idx="50">
                  <c:v>852719.15</c:v>
                </c:pt>
                <c:pt idx="51">
                  <c:v>876118.48</c:v>
                </c:pt>
                <c:pt idx="52">
                  <c:v>874650.38</c:v>
                </c:pt>
                <c:pt idx="53">
                  <c:v>868385.55000000016</c:v>
                </c:pt>
                <c:pt idx="54">
                  <c:v>804525.73</c:v>
                </c:pt>
                <c:pt idx="55">
                  <c:v>779339.65999999992</c:v>
                </c:pt>
                <c:pt idx="56">
                  <c:v>769982.32</c:v>
                </c:pt>
                <c:pt idx="57">
                  <c:v>816899.67999999993</c:v>
                </c:pt>
                <c:pt idx="58">
                  <c:v>835710.19</c:v>
                </c:pt>
                <c:pt idx="59">
                  <c:v>848498.23</c:v>
                </c:pt>
                <c:pt idx="60">
                  <c:v>840555.03</c:v>
                </c:pt>
                <c:pt idx="61">
                  <c:v>815972.75</c:v>
                </c:pt>
                <c:pt idx="62">
                  <c:v>805742.47</c:v>
                </c:pt>
                <c:pt idx="63">
                  <c:v>755574.62999999989</c:v>
                </c:pt>
                <c:pt idx="64">
                  <c:v>714280.94999999984</c:v>
                </c:pt>
                <c:pt idx="65">
                  <c:v>700959.23</c:v>
                </c:pt>
                <c:pt idx="66">
                  <c:v>740034.03</c:v>
                </c:pt>
                <c:pt idx="67">
                  <c:v>764377.45000000007</c:v>
                </c:pt>
                <c:pt idx="68">
                  <c:v>763432.59000000008</c:v>
                </c:pt>
                <c:pt idx="69">
                  <c:v>725337.54000000015</c:v>
                </c:pt>
                <c:pt idx="70">
                  <c:v>686900.68</c:v>
                </c:pt>
                <c:pt idx="71">
                  <c:v>642158.82999999996</c:v>
                </c:pt>
                <c:pt idx="72">
                  <c:v>647756.84</c:v>
                </c:pt>
                <c:pt idx="73">
                  <c:v>667482.5</c:v>
                </c:pt>
                <c:pt idx="74">
                  <c:v>632198.6</c:v>
                </c:pt>
                <c:pt idx="75">
                  <c:v>653546.76</c:v>
                </c:pt>
                <c:pt idx="76">
                  <c:v>658473.45000000007</c:v>
                </c:pt>
                <c:pt idx="77">
                  <c:v>647408.96000000008</c:v>
                </c:pt>
                <c:pt idx="78">
                  <c:v>609556.42999999993</c:v>
                </c:pt>
                <c:pt idx="79">
                  <c:v>595808.02</c:v>
                </c:pt>
                <c:pt idx="80">
                  <c:v>585459.70000000007</c:v>
                </c:pt>
                <c:pt idx="81">
                  <c:v>580182.49</c:v>
                </c:pt>
                <c:pt idx="82">
                  <c:v>581239.64</c:v>
                </c:pt>
                <c:pt idx="83">
                  <c:v>588898.21000000008</c:v>
                </c:pt>
                <c:pt idx="84">
                  <c:v>568315.21000000008</c:v>
                </c:pt>
                <c:pt idx="85">
                  <c:v>537081.39000000013</c:v>
                </c:pt>
                <c:pt idx="86">
                  <c:v>565081.14</c:v>
                </c:pt>
                <c:pt idx="87">
                  <c:v>534486.6100000001</c:v>
                </c:pt>
                <c:pt idx="88">
                  <c:v>549382.13</c:v>
                </c:pt>
                <c:pt idx="89">
                  <c:v>546073.37000000011</c:v>
                </c:pt>
                <c:pt idx="90">
                  <c:v>535624.65999999992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85A-4C3C-A9BA-F3921545EEC2}"/>
            </c:ext>
          </c:extLst>
        </c:ser>
        <c:ser>
          <c:idx val="4"/>
          <c:order val="3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sites'!$A$2:$A$98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sites'!$E$2:$E$98</c:f>
              <c:numCache>
                <c:formatCode>_-* #\ ##0\ [$€-40C]_-;\-* #\ ##0\ [$€-40C]_-;_-* "-"??\ [$€-40C]_-;_-@_-</c:formatCode>
                <c:ptCount val="97"/>
                <c:pt idx="0">
                  <c:v>149494.46</c:v>
                </c:pt>
                <c:pt idx="1">
                  <c:v>151190.91</c:v>
                </c:pt>
                <c:pt idx="2">
                  <c:v>144361.29999999999</c:v>
                </c:pt>
                <c:pt idx="3">
                  <c:v>143449.61999999997</c:v>
                </c:pt>
                <c:pt idx="4">
                  <c:v>155907.26999999996</c:v>
                </c:pt>
                <c:pt idx="5">
                  <c:v>153753.83000000002</c:v>
                </c:pt>
                <c:pt idx="6">
                  <c:v>149420.74</c:v>
                </c:pt>
                <c:pt idx="7">
                  <c:v>164915.30000000002</c:v>
                </c:pt>
                <c:pt idx="8">
                  <c:v>156182.25</c:v>
                </c:pt>
                <c:pt idx="9">
                  <c:v>155952.74</c:v>
                </c:pt>
                <c:pt idx="10">
                  <c:v>160813.63999999998</c:v>
                </c:pt>
                <c:pt idx="11">
                  <c:v>164575.65999999997</c:v>
                </c:pt>
                <c:pt idx="12">
                  <c:v>164014.85999999996</c:v>
                </c:pt>
                <c:pt idx="13">
                  <c:v>165315.78999999995</c:v>
                </c:pt>
                <c:pt idx="14">
                  <c:v>173048.13999999996</c:v>
                </c:pt>
                <c:pt idx="15">
                  <c:v>170911.01</c:v>
                </c:pt>
                <c:pt idx="16">
                  <c:v>162382.49000000002</c:v>
                </c:pt>
                <c:pt idx="17">
                  <c:v>170319.03000000003</c:v>
                </c:pt>
                <c:pt idx="18">
                  <c:v>171386.45</c:v>
                </c:pt>
                <c:pt idx="19">
                  <c:v>186382.87000000002</c:v>
                </c:pt>
                <c:pt idx="20">
                  <c:v>213140.81000000003</c:v>
                </c:pt>
                <c:pt idx="21">
                  <c:v>215882.43000000002</c:v>
                </c:pt>
                <c:pt idx="22">
                  <c:v>206417.72000000003</c:v>
                </c:pt>
                <c:pt idx="23">
                  <c:v>198000.09000000005</c:v>
                </c:pt>
                <c:pt idx="24">
                  <c:v>193828.85000000003</c:v>
                </c:pt>
                <c:pt idx="25">
                  <c:v>193752.98000000004</c:v>
                </c:pt>
                <c:pt idx="26">
                  <c:v>181499.37000000005</c:v>
                </c:pt>
                <c:pt idx="27">
                  <c:v>179566.18000000002</c:v>
                </c:pt>
                <c:pt idx="28">
                  <c:v>177092.88000000003</c:v>
                </c:pt>
                <c:pt idx="29">
                  <c:v>176394.10000000003</c:v>
                </c:pt>
                <c:pt idx="30">
                  <c:v>182568.13</c:v>
                </c:pt>
                <c:pt idx="31">
                  <c:v>183725.64</c:v>
                </c:pt>
                <c:pt idx="32">
                  <c:v>158250.06</c:v>
                </c:pt>
                <c:pt idx="33">
                  <c:v>150844.06000000003</c:v>
                </c:pt>
                <c:pt idx="34">
                  <c:v>144253.38</c:v>
                </c:pt>
                <c:pt idx="35">
                  <c:v>151656.66000000003</c:v>
                </c:pt>
                <c:pt idx="36">
                  <c:v>148455.32</c:v>
                </c:pt>
                <c:pt idx="37">
                  <c:v>147803.18000000002</c:v>
                </c:pt>
                <c:pt idx="38">
                  <c:v>144034.67000000001</c:v>
                </c:pt>
                <c:pt idx="39">
                  <c:v>141373.63</c:v>
                </c:pt>
                <c:pt idx="40">
                  <c:v>134648.82</c:v>
                </c:pt>
                <c:pt idx="41">
                  <c:v>142793.09</c:v>
                </c:pt>
                <c:pt idx="42">
                  <c:v>142962.25</c:v>
                </c:pt>
                <c:pt idx="43">
                  <c:v>111752.31000000001</c:v>
                </c:pt>
                <c:pt idx="44">
                  <c:v>124974.82999999999</c:v>
                </c:pt>
                <c:pt idx="45">
                  <c:v>128782.79000000001</c:v>
                </c:pt>
                <c:pt idx="46">
                  <c:v>127761.62</c:v>
                </c:pt>
                <c:pt idx="47">
                  <c:v>134863.46</c:v>
                </c:pt>
                <c:pt idx="48">
                  <c:v>131654.47</c:v>
                </c:pt>
                <c:pt idx="49">
                  <c:v>143206.04999999999</c:v>
                </c:pt>
                <c:pt idx="50">
                  <c:v>150486.22999999998</c:v>
                </c:pt>
                <c:pt idx="51">
                  <c:v>154023.25999999998</c:v>
                </c:pt>
                <c:pt idx="52">
                  <c:v>171477.66999999998</c:v>
                </c:pt>
                <c:pt idx="53">
                  <c:v>154802.89999999997</c:v>
                </c:pt>
                <c:pt idx="54">
                  <c:v>140579.31000000003</c:v>
                </c:pt>
                <c:pt idx="55">
                  <c:v>139350.92000000001</c:v>
                </c:pt>
                <c:pt idx="56">
                  <c:v>127919.54</c:v>
                </c:pt>
                <c:pt idx="57">
                  <c:v>128937.44</c:v>
                </c:pt>
                <c:pt idx="58">
                  <c:v>157935.90000000002</c:v>
                </c:pt>
                <c:pt idx="59">
                  <c:v>145308.37</c:v>
                </c:pt>
                <c:pt idx="60">
                  <c:v>154276.77000000002</c:v>
                </c:pt>
                <c:pt idx="61">
                  <c:v>137897.53000000003</c:v>
                </c:pt>
                <c:pt idx="62">
                  <c:v>136396.29</c:v>
                </c:pt>
                <c:pt idx="63">
                  <c:v>128972.9</c:v>
                </c:pt>
                <c:pt idx="64">
                  <c:v>108274.71</c:v>
                </c:pt>
                <c:pt idx="65">
                  <c:v>103838.54999999999</c:v>
                </c:pt>
                <c:pt idx="66">
                  <c:v>99133.859999999986</c:v>
                </c:pt>
                <c:pt idx="67">
                  <c:v>94729.569999999978</c:v>
                </c:pt>
                <c:pt idx="68">
                  <c:v>89126.309999999983</c:v>
                </c:pt>
                <c:pt idx="69">
                  <c:v>80452.979999999981</c:v>
                </c:pt>
                <c:pt idx="70">
                  <c:v>53579.73</c:v>
                </c:pt>
                <c:pt idx="71">
                  <c:v>50954.240000000005</c:v>
                </c:pt>
                <c:pt idx="72">
                  <c:v>40170.220000000008</c:v>
                </c:pt>
                <c:pt idx="73">
                  <c:v>38589.350000000006</c:v>
                </c:pt>
                <c:pt idx="74">
                  <c:v>30848.41</c:v>
                </c:pt>
                <c:pt idx="75">
                  <c:v>29115.08</c:v>
                </c:pt>
                <c:pt idx="76">
                  <c:v>33367.229999999996</c:v>
                </c:pt>
                <c:pt idx="77">
                  <c:v>34578</c:v>
                </c:pt>
                <c:pt idx="78">
                  <c:v>35303.4</c:v>
                </c:pt>
                <c:pt idx="79">
                  <c:v>35719.39</c:v>
                </c:pt>
                <c:pt idx="80">
                  <c:v>35319.46</c:v>
                </c:pt>
                <c:pt idx="81">
                  <c:v>46701.09</c:v>
                </c:pt>
                <c:pt idx="82">
                  <c:v>52674.609999999993</c:v>
                </c:pt>
                <c:pt idx="83">
                  <c:v>64086.039999999994</c:v>
                </c:pt>
                <c:pt idx="84">
                  <c:v>63846.869999999988</c:v>
                </c:pt>
                <c:pt idx="85">
                  <c:v>63998.569999999992</c:v>
                </c:pt>
                <c:pt idx="86">
                  <c:v>62671.12999999999</c:v>
                </c:pt>
                <c:pt idx="87">
                  <c:v>64321.959999999992</c:v>
                </c:pt>
                <c:pt idx="88">
                  <c:v>60792.92</c:v>
                </c:pt>
                <c:pt idx="89">
                  <c:v>59112.92</c:v>
                </c:pt>
                <c:pt idx="90">
                  <c:v>59934.289999999994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85A-4C3C-A9BA-F3921545EEC2}"/>
            </c:ext>
          </c:extLst>
        </c:ser>
        <c:ser>
          <c:idx val="5"/>
          <c:order val="4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sites'!$A$2:$A$98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sites'!$F$2:$F$98</c:f>
              <c:numCache>
                <c:formatCode>_-* #\ ##0\ [$€-40C]_-;\-* #\ ##0\ [$€-40C]_-;_-* "-"??\ [$€-40C]_-;_-@_-</c:formatCode>
                <c:ptCount val="97"/>
                <c:pt idx="0">
                  <c:v>310980.72000000003</c:v>
                </c:pt>
                <c:pt idx="1">
                  <c:v>310432.63</c:v>
                </c:pt>
                <c:pt idx="2">
                  <c:v>307244.21000000002</c:v>
                </c:pt>
                <c:pt idx="3">
                  <c:v>302300.33000000007</c:v>
                </c:pt>
                <c:pt idx="4">
                  <c:v>289463.36000000004</c:v>
                </c:pt>
                <c:pt idx="5">
                  <c:v>289974.28000000003</c:v>
                </c:pt>
                <c:pt idx="6">
                  <c:v>301012.91000000003</c:v>
                </c:pt>
                <c:pt idx="7">
                  <c:v>300059.48</c:v>
                </c:pt>
                <c:pt idx="8">
                  <c:v>311497.68999999994</c:v>
                </c:pt>
                <c:pt idx="9">
                  <c:v>322032.92</c:v>
                </c:pt>
                <c:pt idx="10">
                  <c:v>306111.50000000006</c:v>
                </c:pt>
                <c:pt idx="11">
                  <c:v>311073.36000000004</c:v>
                </c:pt>
                <c:pt idx="12">
                  <c:v>318102.49</c:v>
                </c:pt>
                <c:pt idx="13">
                  <c:v>318050.43</c:v>
                </c:pt>
                <c:pt idx="14">
                  <c:v>322996.21000000002</c:v>
                </c:pt>
                <c:pt idx="15">
                  <c:v>318105.26</c:v>
                </c:pt>
                <c:pt idx="16">
                  <c:v>321365.65000000002</c:v>
                </c:pt>
                <c:pt idx="17">
                  <c:v>334985.29000000004</c:v>
                </c:pt>
                <c:pt idx="18">
                  <c:v>339171.89</c:v>
                </c:pt>
                <c:pt idx="19">
                  <c:v>350573.89999999997</c:v>
                </c:pt>
                <c:pt idx="20">
                  <c:v>346431.66</c:v>
                </c:pt>
                <c:pt idx="21">
                  <c:v>341336.88</c:v>
                </c:pt>
                <c:pt idx="22">
                  <c:v>361180.85</c:v>
                </c:pt>
                <c:pt idx="23">
                  <c:v>378567.38</c:v>
                </c:pt>
                <c:pt idx="24">
                  <c:v>375546.03</c:v>
                </c:pt>
                <c:pt idx="25">
                  <c:v>388909.95</c:v>
                </c:pt>
                <c:pt idx="26">
                  <c:v>379954.35</c:v>
                </c:pt>
                <c:pt idx="27">
                  <c:v>404925.8600000001</c:v>
                </c:pt>
                <c:pt idx="28">
                  <c:v>408549.27000000008</c:v>
                </c:pt>
                <c:pt idx="29">
                  <c:v>414379.9</c:v>
                </c:pt>
                <c:pt idx="30">
                  <c:v>413466.67999999993</c:v>
                </c:pt>
                <c:pt idx="31">
                  <c:v>417546.44999999995</c:v>
                </c:pt>
                <c:pt idx="32">
                  <c:v>407944.85000000003</c:v>
                </c:pt>
                <c:pt idx="33">
                  <c:v>394489.63999999996</c:v>
                </c:pt>
                <c:pt idx="34">
                  <c:v>398142</c:v>
                </c:pt>
                <c:pt idx="35">
                  <c:v>386480.91000000003</c:v>
                </c:pt>
                <c:pt idx="36">
                  <c:v>417040.47</c:v>
                </c:pt>
                <c:pt idx="37">
                  <c:v>406888.92</c:v>
                </c:pt>
                <c:pt idx="38">
                  <c:v>416648.27999999991</c:v>
                </c:pt>
                <c:pt idx="39">
                  <c:v>403790.51</c:v>
                </c:pt>
                <c:pt idx="40">
                  <c:v>415535.58999999997</c:v>
                </c:pt>
                <c:pt idx="41">
                  <c:v>419809.84999999992</c:v>
                </c:pt>
                <c:pt idx="42">
                  <c:v>420095.81</c:v>
                </c:pt>
                <c:pt idx="43">
                  <c:v>415008.76</c:v>
                </c:pt>
                <c:pt idx="44">
                  <c:v>416385.08999999997</c:v>
                </c:pt>
                <c:pt idx="45">
                  <c:v>424405.63999999996</c:v>
                </c:pt>
                <c:pt idx="46">
                  <c:v>418299.11</c:v>
                </c:pt>
                <c:pt idx="47">
                  <c:v>410920.7300000001</c:v>
                </c:pt>
                <c:pt idx="48">
                  <c:v>390739.15000000008</c:v>
                </c:pt>
                <c:pt idx="49">
                  <c:v>390605.15</c:v>
                </c:pt>
                <c:pt idx="50">
                  <c:v>397935.63</c:v>
                </c:pt>
                <c:pt idx="51">
                  <c:v>389141.7</c:v>
                </c:pt>
                <c:pt idx="52">
                  <c:v>376417.59</c:v>
                </c:pt>
                <c:pt idx="53">
                  <c:v>358576.77</c:v>
                </c:pt>
                <c:pt idx="54">
                  <c:v>360191.49999999994</c:v>
                </c:pt>
                <c:pt idx="55">
                  <c:v>382884.92</c:v>
                </c:pt>
                <c:pt idx="56">
                  <c:v>384020.4</c:v>
                </c:pt>
                <c:pt idx="57">
                  <c:v>396504.93000000005</c:v>
                </c:pt>
                <c:pt idx="58">
                  <c:v>400761.81000000006</c:v>
                </c:pt>
                <c:pt idx="59">
                  <c:v>400819.95000000007</c:v>
                </c:pt>
                <c:pt idx="60">
                  <c:v>386247.65</c:v>
                </c:pt>
                <c:pt idx="61">
                  <c:v>381149.69000000012</c:v>
                </c:pt>
                <c:pt idx="62">
                  <c:v>393722.43</c:v>
                </c:pt>
                <c:pt idx="63">
                  <c:v>390510.50000000006</c:v>
                </c:pt>
                <c:pt idx="64">
                  <c:v>362040.95</c:v>
                </c:pt>
                <c:pt idx="65">
                  <c:v>349477.02999999997</c:v>
                </c:pt>
                <c:pt idx="66">
                  <c:v>319906.55999999994</c:v>
                </c:pt>
                <c:pt idx="67">
                  <c:v>286117.46000000002</c:v>
                </c:pt>
                <c:pt idx="68">
                  <c:v>274220.19</c:v>
                </c:pt>
                <c:pt idx="69">
                  <c:v>270887.26999999996</c:v>
                </c:pt>
                <c:pt idx="70">
                  <c:v>248090.2</c:v>
                </c:pt>
                <c:pt idx="71">
                  <c:v>245437.78000000003</c:v>
                </c:pt>
                <c:pt idx="72">
                  <c:v>243106.81</c:v>
                </c:pt>
                <c:pt idx="73">
                  <c:v>243328.65999999997</c:v>
                </c:pt>
                <c:pt idx="74">
                  <c:v>207701.51999999996</c:v>
                </c:pt>
                <c:pt idx="75">
                  <c:v>218696.05</c:v>
                </c:pt>
                <c:pt idx="76">
                  <c:v>234552.97999999995</c:v>
                </c:pt>
                <c:pt idx="77">
                  <c:v>241016.68999999997</c:v>
                </c:pt>
                <c:pt idx="78">
                  <c:v>252282.25999999995</c:v>
                </c:pt>
                <c:pt idx="79">
                  <c:v>256405.11</c:v>
                </c:pt>
                <c:pt idx="80">
                  <c:v>251509.62</c:v>
                </c:pt>
                <c:pt idx="81">
                  <c:v>237904.31000000003</c:v>
                </c:pt>
                <c:pt idx="82">
                  <c:v>243762.49000000002</c:v>
                </c:pt>
                <c:pt idx="83">
                  <c:v>245704.69000000003</c:v>
                </c:pt>
                <c:pt idx="84">
                  <c:v>240275.22999999998</c:v>
                </c:pt>
                <c:pt idx="85">
                  <c:v>234633.18</c:v>
                </c:pt>
                <c:pt idx="86">
                  <c:v>224830.45</c:v>
                </c:pt>
                <c:pt idx="87">
                  <c:v>212166.51</c:v>
                </c:pt>
                <c:pt idx="88">
                  <c:v>224250.02000000002</c:v>
                </c:pt>
                <c:pt idx="89">
                  <c:v>229801.13</c:v>
                </c:pt>
                <c:pt idx="90">
                  <c:v>227787.30000000002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85A-4C3C-A9BA-F3921545EEC2}"/>
            </c:ext>
          </c:extLst>
        </c:ser>
        <c:ser>
          <c:idx val="6"/>
          <c:order val="5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sites'!$A$2:$A$98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sites'!$G$2:$G$98</c:f>
              <c:numCache>
                <c:formatCode>_-* #\ ##0\ [$€-40C]_-;\-* #\ ##0\ [$€-40C]_-;_-* "-"??\ [$€-40C]_-;_-@_-</c:formatCode>
                <c:ptCount val="97"/>
                <c:pt idx="0">
                  <c:v>71264.989999999991</c:v>
                </c:pt>
                <c:pt idx="1">
                  <c:v>69985.510000000009</c:v>
                </c:pt>
                <c:pt idx="2">
                  <c:v>69433.280000000013</c:v>
                </c:pt>
                <c:pt idx="3">
                  <c:v>67373.289999999994</c:v>
                </c:pt>
                <c:pt idx="4">
                  <c:v>68489.490000000005</c:v>
                </c:pt>
                <c:pt idx="5">
                  <c:v>66317.16</c:v>
                </c:pt>
                <c:pt idx="6">
                  <c:v>67535.509999999995</c:v>
                </c:pt>
                <c:pt idx="7">
                  <c:v>70256.490000000005</c:v>
                </c:pt>
                <c:pt idx="8">
                  <c:v>63168.680000000008</c:v>
                </c:pt>
                <c:pt idx="9">
                  <c:v>60829.760000000002</c:v>
                </c:pt>
                <c:pt idx="10">
                  <c:v>59574.850000000006</c:v>
                </c:pt>
                <c:pt idx="11">
                  <c:v>59899.939999999995</c:v>
                </c:pt>
                <c:pt idx="12">
                  <c:v>57766.009999999995</c:v>
                </c:pt>
                <c:pt idx="13">
                  <c:v>55335.82</c:v>
                </c:pt>
                <c:pt idx="14">
                  <c:v>53063.409999999996</c:v>
                </c:pt>
                <c:pt idx="15">
                  <c:v>51489.319999999992</c:v>
                </c:pt>
                <c:pt idx="16">
                  <c:v>47591.999999999993</c:v>
                </c:pt>
                <c:pt idx="17">
                  <c:v>58063.55999999999</c:v>
                </c:pt>
                <c:pt idx="18">
                  <c:v>56727.659999999996</c:v>
                </c:pt>
                <c:pt idx="19">
                  <c:v>54817.98</c:v>
                </c:pt>
                <c:pt idx="20">
                  <c:v>56291.79</c:v>
                </c:pt>
                <c:pt idx="21">
                  <c:v>57419.490000000005</c:v>
                </c:pt>
                <c:pt idx="22">
                  <c:v>53806.590000000004</c:v>
                </c:pt>
                <c:pt idx="23">
                  <c:v>62522.780000000006</c:v>
                </c:pt>
                <c:pt idx="24">
                  <c:v>62673.570000000007</c:v>
                </c:pt>
                <c:pt idx="25">
                  <c:v>61953.590000000004</c:v>
                </c:pt>
                <c:pt idx="26">
                  <c:v>60675.26</c:v>
                </c:pt>
                <c:pt idx="27">
                  <c:v>62268.890000000007</c:v>
                </c:pt>
                <c:pt idx="28">
                  <c:v>62152.62</c:v>
                </c:pt>
                <c:pt idx="29">
                  <c:v>52491.07</c:v>
                </c:pt>
                <c:pt idx="30">
                  <c:v>50225.06</c:v>
                </c:pt>
                <c:pt idx="31">
                  <c:v>50855.770000000004</c:v>
                </c:pt>
                <c:pt idx="32">
                  <c:v>49404.310000000005</c:v>
                </c:pt>
                <c:pt idx="33">
                  <c:v>47901.1</c:v>
                </c:pt>
                <c:pt idx="34">
                  <c:v>48981.62</c:v>
                </c:pt>
                <c:pt idx="35">
                  <c:v>54495.21</c:v>
                </c:pt>
                <c:pt idx="36">
                  <c:v>54650.41</c:v>
                </c:pt>
                <c:pt idx="37">
                  <c:v>54301.340000000004</c:v>
                </c:pt>
                <c:pt idx="38">
                  <c:v>54807.600000000006</c:v>
                </c:pt>
                <c:pt idx="39">
                  <c:v>52813.890000000007</c:v>
                </c:pt>
                <c:pt idx="40">
                  <c:v>52712.11</c:v>
                </c:pt>
                <c:pt idx="41">
                  <c:v>51626.560000000005</c:v>
                </c:pt>
                <c:pt idx="42">
                  <c:v>50802.950000000012</c:v>
                </c:pt>
                <c:pt idx="43">
                  <c:v>50819.820000000007</c:v>
                </c:pt>
                <c:pt idx="44">
                  <c:v>52334.790000000008</c:v>
                </c:pt>
                <c:pt idx="45">
                  <c:v>52885.380000000012</c:v>
                </c:pt>
                <c:pt idx="46">
                  <c:v>52648.210000000014</c:v>
                </c:pt>
                <c:pt idx="47">
                  <c:v>37517.24</c:v>
                </c:pt>
                <c:pt idx="48">
                  <c:v>36444.339999999997</c:v>
                </c:pt>
                <c:pt idx="49">
                  <c:v>38742.479999999996</c:v>
                </c:pt>
                <c:pt idx="50">
                  <c:v>39833.78</c:v>
                </c:pt>
                <c:pt idx="51">
                  <c:v>47348.86</c:v>
                </c:pt>
                <c:pt idx="52">
                  <c:v>48673.039999999994</c:v>
                </c:pt>
                <c:pt idx="53">
                  <c:v>48149.710000000006</c:v>
                </c:pt>
                <c:pt idx="54">
                  <c:v>50810.820000000007</c:v>
                </c:pt>
                <c:pt idx="55">
                  <c:v>53824.23000000001</c:v>
                </c:pt>
                <c:pt idx="56">
                  <c:v>52592.46</c:v>
                </c:pt>
                <c:pt idx="57">
                  <c:v>48256.189999999995</c:v>
                </c:pt>
                <c:pt idx="58">
                  <c:v>49150.229999999996</c:v>
                </c:pt>
                <c:pt idx="59">
                  <c:v>51162.99</c:v>
                </c:pt>
                <c:pt idx="60">
                  <c:v>50460.829999999994</c:v>
                </c:pt>
                <c:pt idx="61">
                  <c:v>48673.929999999993</c:v>
                </c:pt>
                <c:pt idx="62">
                  <c:v>47226.5</c:v>
                </c:pt>
                <c:pt idx="63">
                  <c:v>37743.64</c:v>
                </c:pt>
                <c:pt idx="64">
                  <c:v>33898.799999999996</c:v>
                </c:pt>
                <c:pt idx="65">
                  <c:v>34105.81</c:v>
                </c:pt>
                <c:pt idx="66">
                  <c:v>29830.959999999999</c:v>
                </c:pt>
                <c:pt idx="67">
                  <c:v>26760.25</c:v>
                </c:pt>
                <c:pt idx="68">
                  <c:v>26471.93</c:v>
                </c:pt>
                <c:pt idx="69">
                  <c:v>29804.62</c:v>
                </c:pt>
                <c:pt idx="70">
                  <c:v>28655.480000000003</c:v>
                </c:pt>
                <c:pt idx="71">
                  <c:v>24795.380000000005</c:v>
                </c:pt>
                <c:pt idx="72">
                  <c:v>24345.989999999998</c:v>
                </c:pt>
                <c:pt idx="73">
                  <c:v>24485.480000000003</c:v>
                </c:pt>
                <c:pt idx="74">
                  <c:v>23753.84</c:v>
                </c:pt>
                <c:pt idx="75">
                  <c:v>24863.960000000003</c:v>
                </c:pt>
                <c:pt idx="76">
                  <c:v>26716.059999999998</c:v>
                </c:pt>
                <c:pt idx="77">
                  <c:v>27058.27</c:v>
                </c:pt>
                <c:pt idx="78">
                  <c:v>28289.589999999997</c:v>
                </c:pt>
                <c:pt idx="79">
                  <c:v>29294.87</c:v>
                </c:pt>
                <c:pt idx="80">
                  <c:v>29569.599999999999</c:v>
                </c:pt>
                <c:pt idx="81">
                  <c:v>30315.23</c:v>
                </c:pt>
                <c:pt idx="82">
                  <c:v>29258.53</c:v>
                </c:pt>
                <c:pt idx="83">
                  <c:v>28922.159999999996</c:v>
                </c:pt>
                <c:pt idx="84">
                  <c:v>28579.799999999996</c:v>
                </c:pt>
                <c:pt idx="85">
                  <c:v>27888.03</c:v>
                </c:pt>
                <c:pt idx="86">
                  <c:v>28581.899999999998</c:v>
                </c:pt>
                <c:pt idx="87">
                  <c:v>28097.519999999997</c:v>
                </c:pt>
                <c:pt idx="88">
                  <c:v>28164.82</c:v>
                </c:pt>
                <c:pt idx="89">
                  <c:v>27724.910000000003</c:v>
                </c:pt>
                <c:pt idx="90">
                  <c:v>26439.489999999998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85A-4C3C-A9BA-F3921545EEC2}"/>
            </c:ext>
          </c:extLst>
        </c:ser>
        <c:ser>
          <c:idx val="7"/>
          <c:order val="6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sites'!$A$2:$A$98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sites'!$H$2:$H$98</c:f>
              <c:numCache>
                <c:formatCode>_-* #\ ##0\ [$€-40C]_-;\-* #\ ##0\ [$€-40C]_-;_-* "-"??\ [$€-40C]_-;_-@_-</c:formatCode>
                <c:ptCount val="97"/>
                <c:pt idx="0">
                  <c:v>23957.250000000004</c:v>
                </c:pt>
                <c:pt idx="1">
                  <c:v>26598.030000000002</c:v>
                </c:pt>
                <c:pt idx="2">
                  <c:v>27698.280000000006</c:v>
                </c:pt>
                <c:pt idx="3">
                  <c:v>29128.74</c:v>
                </c:pt>
                <c:pt idx="4">
                  <c:v>31704.43</c:v>
                </c:pt>
                <c:pt idx="5">
                  <c:v>32639.88</c:v>
                </c:pt>
                <c:pt idx="6">
                  <c:v>34582.19</c:v>
                </c:pt>
                <c:pt idx="7">
                  <c:v>37701.01</c:v>
                </c:pt>
                <c:pt idx="8">
                  <c:v>39420.139999999992</c:v>
                </c:pt>
                <c:pt idx="9">
                  <c:v>40479.709999999992</c:v>
                </c:pt>
                <c:pt idx="10">
                  <c:v>41738.080000000002</c:v>
                </c:pt>
                <c:pt idx="11">
                  <c:v>42098.74</c:v>
                </c:pt>
                <c:pt idx="12">
                  <c:v>40440.170000000006</c:v>
                </c:pt>
                <c:pt idx="13">
                  <c:v>38417.810000000005</c:v>
                </c:pt>
                <c:pt idx="14">
                  <c:v>39053.830000000009</c:v>
                </c:pt>
                <c:pt idx="15">
                  <c:v>35297.58</c:v>
                </c:pt>
                <c:pt idx="16">
                  <c:v>33934.100000000006</c:v>
                </c:pt>
                <c:pt idx="17">
                  <c:v>34106.860000000008</c:v>
                </c:pt>
                <c:pt idx="18">
                  <c:v>32856</c:v>
                </c:pt>
                <c:pt idx="19">
                  <c:v>29997.129999999997</c:v>
                </c:pt>
                <c:pt idx="20">
                  <c:v>29114.07</c:v>
                </c:pt>
                <c:pt idx="21">
                  <c:v>30450.140000000003</c:v>
                </c:pt>
                <c:pt idx="22">
                  <c:v>29791.899999999998</c:v>
                </c:pt>
                <c:pt idx="23">
                  <c:v>30556.58</c:v>
                </c:pt>
                <c:pt idx="24">
                  <c:v>40232.950000000004</c:v>
                </c:pt>
                <c:pt idx="25">
                  <c:v>41874.160000000003</c:v>
                </c:pt>
                <c:pt idx="26">
                  <c:v>44106.87</c:v>
                </c:pt>
                <c:pt idx="27">
                  <c:v>49796.01</c:v>
                </c:pt>
                <c:pt idx="28">
                  <c:v>52718.94</c:v>
                </c:pt>
                <c:pt idx="29">
                  <c:v>56205.03</c:v>
                </c:pt>
                <c:pt idx="30">
                  <c:v>59421.57</c:v>
                </c:pt>
                <c:pt idx="31">
                  <c:v>59356.060000000005</c:v>
                </c:pt>
                <c:pt idx="32">
                  <c:v>61135.260000000009</c:v>
                </c:pt>
                <c:pt idx="33">
                  <c:v>60591.170000000013</c:v>
                </c:pt>
                <c:pt idx="34">
                  <c:v>63709.180000000008</c:v>
                </c:pt>
                <c:pt idx="35">
                  <c:v>63412.530000000013</c:v>
                </c:pt>
                <c:pt idx="36">
                  <c:v>59828.680000000008</c:v>
                </c:pt>
                <c:pt idx="37">
                  <c:v>61901.04</c:v>
                </c:pt>
                <c:pt idx="38">
                  <c:v>59888.030000000006</c:v>
                </c:pt>
                <c:pt idx="39">
                  <c:v>66415.839999999997</c:v>
                </c:pt>
                <c:pt idx="40">
                  <c:v>66845.899999999994</c:v>
                </c:pt>
                <c:pt idx="41">
                  <c:v>62524.08</c:v>
                </c:pt>
                <c:pt idx="42">
                  <c:v>66217.490000000005</c:v>
                </c:pt>
                <c:pt idx="43">
                  <c:v>102832.04000000001</c:v>
                </c:pt>
                <c:pt idx="44">
                  <c:v>102272.69999999998</c:v>
                </c:pt>
                <c:pt idx="45">
                  <c:v>102730.62999999999</c:v>
                </c:pt>
                <c:pt idx="46">
                  <c:v>105196.32999999999</c:v>
                </c:pt>
                <c:pt idx="47">
                  <c:v>106003.84999999999</c:v>
                </c:pt>
                <c:pt idx="48">
                  <c:v>104001.34999999999</c:v>
                </c:pt>
                <c:pt idx="49">
                  <c:v>104977.68999999999</c:v>
                </c:pt>
                <c:pt idx="50">
                  <c:v>107612.04999999999</c:v>
                </c:pt>
                <c:pt idx="51">
                  <c:v>99625.47</c:v>
                </c:pt>
                <c:pt idx="52">
                  <c:v>100824.64000000001</c:v>
                </c:pt>
                <c:pt idx="53">
                  <c:v>104825.23000000001</c:v>
                </c:pt>
                <c:pt idx="54">
                  <c:v>103618.78</c:v>
                </c:pt>
                <c:pt idx="55">
                  <c:v>86052.599999999991</c:v>
                </c:pt>
                <c:pt idx="56">
                  <c:v>86352.19</c:v>
                </c:pt>
                <c:pt idx="57">
                  <c:v>88974.78</c:v>
                </c:pt>
                <c:pt idx="58">
                  <c:v>87260.329999999987</c:v>
                </c:pt>
                <c:pt idx="59">
                  <c:v>88498.76</c:v>
                </c:pt>
                <c:pt idx="60">
                  <c:v>91570.43</c:v>
                </c:pt>
                <c:pt idx="61">
                  <c:v>90670.799999999988</c:v>
                </c:pt>
                <c:pt idx="62">
                  <c:v>92966.829999999987</c:v>
                </c:pt>
                <c:pt idx="63">
                  <c:v>88840.50999999998</c:v>
                </c:pt>
                <c:pt idx="64">
                  <c:v>80887.939999999988</c:v>
                </c:pt>
                <c:pt idx="65">
                  <c:v>76859.87</c:v>
                </c:pt>
                <c:pt idx="66">
                  <c:v>68500.62</c:v>
                </c:pt>
                <c:pt idx="67">
                  <c:v>48280.950000000004</c:v>
                </c:pt>
                <c:pt idx="68">
                  <c:v>46102.43</c:v>
                </c:pt>
                <c:pt idx="69">
                  <c:v>42522.18</c:v>
                </c:pt>
                <c:pt idx="70">
                  <c:v>42501.239999999991</c:v>
                </c:pt>
                <c:pt idx="71">
                  <c:v>68754.070000000007</c:v>
                </c:pt>
                <c:pt idx="72">
                  <c:v>62976.399999999994</c:v>
                </c:pt>
                <c:pt idx="73">
                  <c:v>59057.319999999992</c:v>
                </c:pt>
                <c:pt idx="74">
                  <c:v>52315.549999999996</c:v>
                </c:pt>
                <c:pt idx="75">
                  <c:v>54077.05</c:v>
                </c:pt>
                <c:pt idx="76">
                  <c:v>56204.100000000006</c:v>
                </c:pt>
                <c:pt idx="77">
                  <c:v>55144.69</c:v>
                </c:pt>
                <c:pt idx="78">
                  <c:v>58495</c:v>
                </c:pt>
                <c:pt idx="79">
                  <c:v>61814.21</c:v>
                </c:pt>
                <c:pt idx="80">
                  <c:v>66426.209999999992</c:v>
                </c:pt>
                <c:pt idx="81">
                  <c:v>70182.39</c:v>
                </c:pt>
                <c:pt idx="82">
                  <c:v>103311.98</c:v>
                </c:pt>
                <c:pt idx="83">
                  <c:v>80818.39</c:v>
                </c:pt>
                <c:pt idx="84">
                  <c:v>83843.490000000005</c:v>
                </c:pt>
                <c:pt idx="85">
                  <c:v>89759.21</c:v>
                </c:pt>
                <c:pt idx="86">
                  <c:v>89586.74</c:v>
                </c:pt>
                <c:pt idx="87">
                  <c:v>93285.069999999992</c:v>
                </c:pt>
                <c:pt idx="88">
                  <c:v>94668.41</c:v>
                </c:pt>
                <c:pt idx="89">
                  <c:v>110889.60999999999</c:v>
                </c:pt>
                <c:pt idx="90">
                  <c:v>119439.4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85A-4C3C-A9BA-F3921545EEC2}"/>
            </c:ext>
          </c:extLst>
        </c:ser>
        <c:ser>
          <c:idx val="8"/>
          <c:order val="7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sites'!$A$2:$A$98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sites'!$I$2:$I$98</c:f>
              <c:numCache>
                <c:formatCode>_-* #\ ##0\ [$€-40C]_-;\-* #\ ##0\ [$€-40C]_-;_-* "-"??\ [$€-40C]_-;_-@_-</c:formatCode>
                <c:ptCount val="97"/>
                <c:pt idx="0">
                  <c:v>35564.780000000021</c:v>
                </c:pt>
                <c:pt idx="1">
                  <c:v>35814.690000000024</c:v>
                </c:pt>
                <c:pt idx="2">
                  <c:v>36175.760000000017</c:v>
                </c:pt>
                <c:pt idx="3">
                  <c:v>37935.970000000016</c:v>
                </c:pt>
                <c:pt idx="4">
                  <c:v>31193.540000000012</c:v>
                </c:pt>
                <c:pt idx="5">
                  <c:v>21239.680000000004</c:v>
                </c:pt>
                <c:pt idx="6">
                  <c:v>14524.779999999999</c:v>
                </c:pt>
                <c:pt idx="7">
                  <c:v>17196.949999999997</c:v>
                </c:pt>
                <c:pt idx="8">
                  <c:v>18176.82</c:v>
                </c:pt>
                <c:pt idx="9">
                  <c:v>24839.969999999998</c:v>
                </c:pt>
                <c:pt idx="10">
                  <c:v>30666.889999999996</c:v>
                </c:pt>
                <c:pt idx="11">
                  <c:v>26233.48</c:v>
                </c:pt>
                <c:pt idx="12">
                  <c:v>27062.62</c:v>
                </c:pt>
                <c:pt idx="13">
                  <c:v>27972.359999999997</c:v>
                </c:pt>
                <c:pt idx="14">
                  <c:v>27343.389999999996</c:v>
                </c:pt>
                <c:pt idx="15">
                  <c:v>31185.62</c:v>
                </c:pt>
                <c:pt idx="16">
                  <c:v>32180.92</c:v>
                </c:pt>
                <c:pt idx="17">
                  <c:v>33670.42</c:v>
                </c:pt>
                <c:pt idx="18">
                  <c:v>34072.75</c:v>
                </c:pt>
                <c:pt idx="19">
                  <c:v>33721.430000000008</c:v>
                </c:pt>
                <c:pt idx="20">
                  <c:v>32002.180000000004</c:v>
                </c:pt>
                <c:pt idx="21">
                  <c:v>29994</c:v>
                </c:pt>
                <c:pt idx="22">
                  <c:v>23118.400000000005</c:v>
                </c:pt>
                <c:pt idx="23">
                  <c:v>29792.030000000006</c:v>
                </c:pt>
                <c:pt idx="24">
                  <c:v>29313.960000000003</c:v>
                </c:pt>
                <c:pt idx="25">
                  <c:v>31464.89</c:v>
                </c:pt>
                <c:pt idx="26">
                  <c:v>34355.520000000004</c:v>
                </c:pt>
                <c:pt idx="27">
                  <c:v>45719.53</c:v>
                </c:pt>
                <c:pt idx="28">
                  <c:v>43972.99</c:v>
                </c:pt>
                <c:pt idx="29">
                  <c:v>44978.81</c:v>
                </c:pt>
                <c:pt idx="30">
                  <c:v>45792.549999999996</c:v>
                </c:pt>
                <c:pt idx="31">
                  <c:v>46142.11</c:v>
                </c:pt>
                <c:pt idx="32">
                  <c:v>51737.49</c:v>
                </c:pt>
                <c:pt idx="33">
                  <c:v>51392.12</c:v>
                </c:pt>
                <c:pt idx="34">
                  <c:v>58664.32</c:v>
                </c:pt>
                <c:pt idx="35">
                  <c:v>57681.74</c:v>
                </c:pt>
                <c:pt idx="36">
                  <c:v>62557.59</c:v>
                </c:pt>
                <c:pt idx="37">
                  <c:v>61289.06</c:v>
                </c:pt>
                <c:pt idx="38">
                  <c:v>60454.45</c:v>
                </c:pt>
                <c:pt idx="39">
                  <c:v>47033.259999999995</c:v>
                </c:pt>
                <c:pt idx="40">
                  <c:v>50053.240000000005</c:v>
                </c:pt>
                <c:pt idx="41">
                  <c:v>47936.74</c:v>
                </c:pt>
                <c:pt idx="42">
                  <c:v>50159.29</c:v>
                </c:pt>
                <c:pt idx="43">
                  <c:v>50081.409999999996</c:v>
                </c:pt>
                <c:pt idx="44">
                  <c:v>49820.42</c:v>
                </c:pt>
                <c:pt idx="45">
                  <c:v>52401.96</c:v>
                </c:pt>
                <c:pt idx="46">
                  <c:v>63131.41</c:v>
                </c:pt>
                <c:pt idx="47">
                  <c:v>129456.12000000001</c:v>
                </c:pt>
                <c:pt idx="48">
                  <c:v>125420.88</c:v>
                </c:pt>
                <c:pt idx="49">
                  <c:v>126590.69</c:v>
                </c:pt>
                <c:pt idx="50">
                  <c:v>128883.85</c:v>
                </c:pt>
                <c:pt idx="51">
                  <c:v>127898.68000000001</c:v>
                </c:pt>
                <c:pt idx="52">
                  <c:v>136771.24000000002</c:v>
                </c:pt>
                <c:pt idx="53">
                  <c:v>137462.96000000002</c:v>
                </c:pt>
                <c:pt idx="54">
                  <c:v>148917.06000000003</c:v>
                </c:pt>
                <c:pt idx="55">
                  <c:v>147420.96</c:v>
                </c:pt>
                <c:pt idx="56">
                  <c:v>154485.25</c:v>
                </c:pt>
                <c:pt idx="57">
                  <c:v>156902.82999999999</c:v>
                </c:pt>
                <c:pt idx="58">
                  <c:v>139414.70000000001</c:v>
                </c:pt>
                <c:pt idx="59">
                  <c:v>82372.83</c:v>
                </c:pt>
                <c:pt idx="60">
                  <c:v>88187.13</c:v>
                </c:pt>
                <c:pt idx="61">
                  <c:v>90551.900000000009</c:v>
                </c:pt>
                <c:pt idx="62">
                  <c:v>90641.590000000011</c:v>
                </c:pt>
                <c:pt idx="63">
                  <c:v>88157.150000000009</c:v>
                </c:pt>
                <c:pt idx="64">
                  <c:v>75124.23</c:v>
                </c:pt>
                <c:pt idx="65">
                  <c:v>73701.48</c:v>
                </c:pt>
                <c:pt idx="66">
                  <c:v>57160.62000000001</c:v>
                </c:pt>
                <c:pt idx="67">
                  <c:v>63774.900000000009</c:v>
                </c:pt>
                <c:pt idx="68">
                  <c:v>50803.960000000006</c:v>
                </c:pt>
                <c:pt idx="69">
                  <c:v>55246.200000000004</c:v>
                </c:pt>
                <c:pt idx="70">
                  <c:v>56798.15</c:v>
                </c:pt>
                <c:pt idx="71">
                  <c:v>56122.369999999995</c:v>
                </c:pt>
                <c:pt idx="72">
                  <c:v>49570.710000000006</c:v>
                </c:pt>
                <c:pt idx="73">
                  <c:v>60961.22</c:v>
                </c:pt>
                <c:pt idx="74">
                  <c:v>57985.83</c:v>
                </c:pt>
                <c:pt idx="75">
                  <c:v>77699.34</c:v>
                </c:pt>
                <c:pt idx="76">
                  <c:v>83517.569999999992</c:v>
                </c:pt>
                <c:pt idx="77">
                  <c:v>85359.17</c:v>
                </c:pt>
                <c:pt idx="78">
                  <c:v>98498</c:v>
                </c:pt>
                <c:pt idx="79">
                  <c:v>88480.939999999988</c:v>
                </c:pt>
                <c:pt idx="80">
                  <c:v>88952.54</c:v>
                </c:pt>
                <c:pt idx="81">
                  <c:v>82925.039999999994</c:v>
                </c:pt>
                <c:pt idx="82">
                  <c:v>83943.33</c:v>
                </c:pt>
                <c:pt idx="83">
                  <c:v>77793.899999999994</c:v>
                </c:pt>
                <c:pt idx="84">
                  <c:v>89332.62999999999</c:v>
                </c:pt>
                <c:pt idx="85">
                  <c:v>69368</c:v>
                </c:pt>
                <c:pt idx="86">
                  <c:v>68272.62</c:v>
                </c:pt>
                <c:pt idx="87">
                  <c:v>42316.729999999996</c:v>
                </c:pt>
                <c:pt idx="88">
                  <c:v>41236.83</c:v>
                </c:pt>
                <c:pt idx="89">
                  <c:v>40514.400000000001</c:v>
                </c:pt>
                <c:pt idx="90">
                  <c:v>28413.790000000005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85A-4C3C-A9BA-F3921545EEC2}"/>
            </c:ext>
          </c:extLst>
        </c:ser>
        <c:ser>
          <c:idx val="9"/>
          <c:order val="8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sites'!$A$2:$A$98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sites'!$J$2:$J$98</c:f>
              <c:numCache>
                <c:formatCode>_-* #\ ##0\ [$€-40C]_-;\-* #\ ##0\ [$€-40C]_-;_-* "-"??\ [$€-40C]_-;_-@_-</c:formatCode>
                <c:ptCount val="97"/>
                <c:pt idx="0">
                  <c:v>461694</c:v>
                </c:pt>
                <c:pt idx="1">
                  <c:v>494911.51</c:v>
                </c:pt>
                <c:pt idx="2">
                  <c:v>512921.8600000001</c:v>
                </c:pt>
                <c:pt idx="3">
                  <c:v>536275.05000000005</c:v>
                </c:pt>
                <c:pt idx="4">
                  <c:v>554001.67000000016</c:v>
                </c:pt>
                <c:pt idx="5">
                  <c:v>568233.69000000018</c:v>
                </c:pt>
                <c:pt idx="6">
                  <c:v>597358.65</c:v>
                </c:pt>
                <c:pt idx="7">
                  <c:v>574812.09</c:v>
                </c:pt>
                <c:pt idx="8">
                  <c:v>560375.46</c:v>
                </c:pt>
                <c:pt idx="9">
                  <c:v>545953.32000000007</c:v>
                </c:pt>
                <c:pt idx="10">
                  <c:v>522173.13999999996</c:v>
                </c:pt>
                <c:pt idx="11">
                  <c:v>505926.41</c:v>
                </c:pt>
                <c:pt idx="12">
                  <c:v>511599.20999999996</c:v>
                </c:pt>
                <c:pt idx="13">
                  <c:v>480665.42</c:v>
                </c:pt>
                <c:pt idx="14">
                  <c:v>444283.76999999996</c:v>
                </c:pt>
                <c:pt idx="15">
                  <c:v>411074.24</c:v>
                </c:pt>
                <c:pt idx="16">
                  <c:v>380714.37999999995</c:v>
                </c:pt>
                <c:pt idx="17">
                  <c:v>363781.56000000006</c:v>
                </c:pt>
                <c:pt idx="18">
                  <c:v>341932.31000000006</c:v>
                </c:pt>
                <c:pt idx="19">
                  <c:v>338122.82000000007</c:v>
                </c:pt>
                <c:pt idx="20">
                  <c:v>317547.68</c:v>
                </c:pt>
                <c:pt idx="21">
                  <c:v>301690.42</c:v>
                </c:pt>
                <c:pt idx="22">
                  <c:v>272003.70999999996</c:v>
                </c:pt>
                <c:pt idx="23">
                  <c:v>260409.61</c:v>
                </c:pt>
                <c:pt idx="24">
                  <c:v>197539.39000000004</c:v>
                </c:pt>
                <c:pt idx="25">
                  <c:v>192132.03</c:v>
                </c:pt>
                <c:pt idx="26">
                  <c:v>198257.66999999998</c:v>
                </c:pt>
                <c:pt idx="27">
                  <c:v>185110.25</c:v>
                </c:pt>
                <c:pt idx="28">
                  <c:v>172749.29999999996</c:v>
                </c:pt>
                <c:pt idx="29">
                  <c:v>164913.13999999998</c:v>
                </c:pt>
                <c:pt idx="30">
                  <c:v>157407.79</c:v>
                </c:pt>
                <c:pt idx="31">
                  <c:v>139988.29</c:v>
                </c:pt>
                <c:pt idx="32">
                  <c:v>142500.64000000001</c:v>
                </c:pt>
                <c:pt idx="33">
                  <c:v>118229.42</c:v>
                </c:pt>
                <c:pt idx="34">
                  <c:v>125503.8</c:v>
                </c:pt>
                <c:pt idx="35">
                  <c:v>150135.03</c:v>
                </c:pt>
                <c:pt idx="36">
                  <c:v>155580.94999999998</c:v>
                </c:pt>
                <c:pt idx="37">
                  <c:v>155430.94999999998</c:v>
                </c:pt>
                <c:pt idx="38">
                  <c:v>136727.18</c:v>
                </c:pt>
                <c:pt idx="39">
                  <c:v>135426.06</c:v>
                </c:pt>
                <c:pt idx="40">
                  <c:v>135520.76</c:v>
                </c:pt>
                <c:pt idx="41">
                  <c:v>164027.96</c:v>
                </c:pt>
                <c:pt idx="42">
                  <c:v>141346.03</c:v>
                </c:pt>
                <c:pt idx="43">
                  <c:v>152049.45000000001</c:v>
                </c:pt>
                <c:pt idx="44">
                  <c:v>162305.31</c:v>
                </c:pt>
                <c:pt idx="45">
                  <c:v>161764.67000000001</c:v>
                </c:pt>
                <c:pt idx="46">
                  <c:v>181882.28999999998</c:v>
                </c:pt>
                <c:pt idx="47">
                  <c:v>149794.22</c:v>
                </c:pt>
                <c:pt idx="48">
                  <c:v>139109.49000000002</c:v>
                </c:pt>
                <c:pt idx="49">
                  <c:v>144975.44000000003</c:v>
                </c:pt>
                <c:pt idx="50">
                  <c:v>152455.31000000003</c:v>
                </c:pt>
                <c:pt idx="51">
                  <c:v>153064.89000000001</c:v>
                </c:pt>
                <c:pt idx="52">
                  <c:v>148176.34</c:v>
                </c:pt>
                <c:pt idx="53">
                  <c:v>144339.26999999999</c:v>
                </c:pt>
                <c:pt idx="54">
                  <c:v>166707.96999999997</c:v>
                </c:pt>
                <c:pt idx="55">
                  <c:v>172210.32999999996</c:v>
                </c:pt>
                <c:pt idx="56">
                  <c:v>170030.56</c:v>
                </c:pt>
                <c:pt idx="57">
                  <c:v>175504.01000000004</c:v>
                </c:pt>
                <c:pt idx="58">
                  <c:v>142717.69</c:v>
                </c:pt>
                <c:pt idx="59">
                  <c:v>141767.69</c:v>
                </c:pt>
                <c:pt idx="60">
                  <c:v>141271.62</c:v>
                </c:pt>
                <c:pt idx="61">
                  <c:v>134392.44999999998</c:v>
                </c:pt>
                <c:pt idx="62">
                  <c:v>133631.15</c:v>
                </c:pt>
                <c:pt idx="63">
                  <c:v>129909.89</c:v>
                </c:pt>
                <c:pt idx="64">
                  <c:v>127362.73999999999</c:v>
                </c:pt>
                <c:pt idx="65">
                  <c:v>95266.81</c:v>
                </c:pt>
                <c:pt idx="66">
                  <c:v>73597.759999999995</c:v>
                </c:pt>
                <c:pt idx="67">
                  <c:v>58599.979999999996</c:v>
                </c:pt>
                <c:pt idx="68">
                  <c:v>67648.75</c:v>
                </c:pt>
                <c:pt idx="69">
                  <c:v>57626.350000000006</c:v>
                </c:pt>
                <c:pt idx="70">
                  <c:v>57189.25</c:v>
                </c:pt>
                <c:pt idx="71">
                  <c:v>58419.25</c:v>
                </c:pt>
                <c:pt idx="72">
                  <c:v>65888.03</c:v>
                </c:pt>
                <c:pt idx="73">
                  <c:v>66258.25</c:v>
                </c:pt>
                <c:pt idx="74">
                  <c:v>56309.670000000006</c:v>
                </c:pt>
                <c:pt idx="75">
                  <c:v>57469.37</c:v>
                </c:pt>
                <c:pt idx="76">
                  <c:v>62656.12</c:v>
                </c:pt>
                <c:pt idx="77">
                  <c:v>66023.13</c:v>
                </c:pt>
                <c:pt idx="78">
                  <c:v>60344.140000000007</c:v>
                </c:pt>
                <c:pt idx="79">
                  <c:v>68080.960000000006</c:v>
                </c:pt>
                <c:pt idx="80">
                  <c:v>51241.96</c:v>
                </c:pt>
                <c:pt idx="81">
                  <c:v>44199.69</c:v>
                </c:pt>
                <c:pt idx="82">
                  <c:v>42682.21</c:v>
                </c:pt>
                <c:pt idx="83">
                  <c:v>44932.21</c:v>
                </c:pt>
                <c:pt idx="84">
                  <c:v>37772.82</c:v>
                </c:pt>
                <c:pt idx="85">
                  <c:v>37794.29</c:v>
                </c:pt>
                <c:pt idx="86">
                  <c:v>38189.729999999996</c:v>
                </c:pt>
                <c:pt idx="87">
                  <c:v>38067.049999999996</c:v>
                </c:pt>
                <c:pt idx="88">
                  <c:v>40902.300000000003</c:v>
                </c:pt>
                <c:pt idx="89">
                  <c:v>41765.290000000008</c:v>
                </c:pt>
                <c:pt idx="90">
                  <c:v>37844.28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85A-4C3C-A9BA-F3921545EEC2}"/>
            </c:ext>
          </c:extLst>
        </c:ser>
        <c:ser>
          <c:idx val="10"/>
          <c:order val="9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sites'!$A$2:$A$98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sites'!$K$2:$K$98</c:f>
              <c:numCache>
                <c:formatCode>_-* #\ ##0\ [$€-40C]_-;\-* #\ ##0\ [$€-40C]_-;_-* "-"??\ [$€-40C]_-;_-@_-</c:formatCode>
                <c:ptCount val="97"/>
                <c:pt idx="0">
                  <c:v>291213.04999999993</c:v>
                </c:pt>
                <c:pt idx="1">
                  <c:v>291766.30999999988</c:v>
                </c:pt>
                <c:pt idx="2">
                  <c:v>293437.02999999991</c:v>
                </c:pt>
                <c:pt idx="3">
                  <c:v>266758.28999999992</c:v>
                </c:pt>
                <c:pt idx="4">
                  <c:v>267235.23999999993</c:v>
                </c:pt>
                <c:pt idx="5">
                  <c:v>249978.35999999993</c:v>
                </c:pt>
                <c:pt idx="6">
                  <c:v>249418.59999999992</c:v>
                </c:pt>
                <c:pt idx="7">
                  <c:v>250997.7699999999</c:v>
                </c:pt>
                <c:pt idx="8">
                  <c:v>233497.55999999988</c:v>
                </c:pt>
                <c:pt idx="9">
                  <c:v>232598.06999999986</c:v>
                </c:pt>
                <c:pt idx="10">
                  <c:v>235557.40999999992</c:v>
                </c:pt>
                <c:pt idx="11">
                  <c:v>226672.1399999999</c:v>
                </c:pt>
                <c:pt idx="12">
                  <c:v>223965.12999999995</c:v>
                </c:pt>
                <c:pt idx="13">
                  <c:v>227016.98999999993</c:v>
                </c:pt>
                <c:pt idx="14">
                  <c:v>227601.74999999994</c:v>
                </c:pt>
                <c:pt idx="15">
                  <c:v>234178.09999999992</c:v>
                </c:pt>
                <c:pt idx="16">
                  <c:v>234157.78999999995</c:v>
                </c:pt>
                <c:pt idx="17">
                  <c:v>243253.94999999995</c:v>
                </c:pt>
                <c:pt idx="18">
                  <c:v>242381.36999999997</c:v>
                </c:pt>
                <c:pt idx="19">
                  <c:v>244929.21999999994</c:v>
                </c:pt>
                <c:pt idx="20">
                  <c:v>250312.91999999995</c:v>
                </c:pt>
                <c:pt idx="21">
                  <c:v>260540.5199999999</c:v>
                </c:pt>
                <c:pt idx="22">
                  <c:v>268329.34999999986</c:v>
                </c:pt>
                <c:pt idx="23">
                  <c:v>272916.52999999991</c:v>
                </c:pt>
                <c:pt idx="24">
                  <c:v>281166.00999999989</c:v>
                </c:pt>
                <c:pt idx="25">
                  <c:v>274484.33999999991</c:v>
                </c:pt>
                <c:pt idx="26">
                  <c:v>270906.90999999992</c:v>
                </c:pt>
                <c:pt idx="27">
                  <c:v>269261.40999999992</c:v>
                </c:pt>
                <c:pt idx="28">
                  <c:v>267083.04999999993</c:v>
                </c:pt>
                <c:pt idx="29">
                  <c:v>271578.64999999991</c:v>
                </c:pt>
                <c:pt idx="30">
                  <c:v>285601.38999999996</c:v>
                </c:pt>
                <c:pt idx="31">
                  <c:v>294648.14999999991</c:v>
                </c:pt>
                <c:pt idx="32">
                  <c:v>294434.15999999992</c:v>
                </c:pt>
                <c:pt idx="33">
                  <c:v>297355.94999999995</c:v>
                </c:pt>
                <c:pt idx="34">
                  <c:v>289054.49000000005</c:v>
                </c:pt>
                <c:pt idx="35">
                  <c:v>293473.81999999995</c:v>
                </c:pt>
                <c:pt idx="36">
                  <c:v>292494.33</c:v>
                </c:pt>
                <c:pt idx="37">
                  <c:v>310656.13999999996</c:v>
                </c:pt>
                <c:pt idx="38">
                  <c:v>317078.39</c:v>
                </c:pt>
                <c:pt idx="39">
                  <c:v>322136.45999999996</c:v>
                </c:pt>
                <c:pt idx="40">
                  <c:v>326126.63</c:v>
                </c:pt>
                <c:pt idx="41">
                  <c:v>325601.84999999998</c:v>
                </c:pt>
                <c:pt idx="42">
                  <c:v>326062.71000000008</c:v>
                </c:pt>
                <c:pt idx="43">
                  <c:v>331194.01000000007</c:v>
                </c:pt>
                <c:pt idx="44">
                  <c:v>329390.10000000009</c:v>
                </c:pt>
                <c:pt idx="45">
                  <c:v>319579.20000000007</c:v>
                </c:pt>
                <c:pt idx="46">
                  <c:v>326621.02000000008</c:v>
                </c:pt>
                <c:pt idx="47">
                  <c:v>351539.40000000014</c:v>
                </c:pt>
                <c:pt idx="48">
                  <c:v>349654.24999999994</c:v>
                </c:pt>
                <c:pt idx="49">
                  <c:v>361763.92999999993</c:v>
                </c:pt>
                <c:pt idx="50">
                  <c:v>381079.5</c:v>
                </c:pt>
                <c:pt idx="51">
                  <c:v>386354.52</c:v>
                </c:pt>
                <c:pt idx="52">
                  <c:v>389753.94999999995</c:v>
                </c:pt>
                <c:pt idx="53">
                  <c:v>386061.32999999996</c:v>
                </c:pt>
                <c:pt idx="54">
                  <c:v>392283.62999999989</c:v>
                </c:pt>
                <c:pt idx="55">
                  <c:v>380790.34999999992</c:v>
                </c:pt>
                <c:pt idx="56">
                  <c:v>375567.70999999996</c:v>
                </c:pt>
                <c:pt idx="57">
                  <c:v>391097.04</c:v>
                </c:pt>
                <c:pt idx="58">
                  <c:v>384295.79</c:v>
                </c:pt>
                <c:pt idx="59">
                  <c:v>359909.61</c:v>
                </c:pt>
                <c:pt idx="60">
                  <c:v>359704.66000000003</c:v>
                </c:pt>
                <c:pt idx="61">
                  <c:v>330151.28999999998</c:v>
                </c:pt>
                <c:pt idx="62">
                  <c:v>317701.75999999995</c:v>
                </c:pt>
                <c:pt idx="63">
                  <c:v>290004.59000000003</c:v>
                </c:pt>
                <c:pt idx="64">
                  <c:v>266076.68000000005</c:v>
                </c:pt>
                <c:pt idx="65">
                  <c:v>249702.56000000006</c:v>
                </c:pt>
                <c:pt idx="66">
                  <c:v>216351.98000000004</c:v>
                </c:pt>
                <c:pt idx="67">
                  <c:v>197697.08000000002</c:v>
                </c:pt>
                <c:pt idx="68">
                  <c:v>190847.48000000004</c:v>
                </c:pt>
                <c:pt idx="69">
                  <c:v>169779.23</c:v>
                </c:pt>
                <c:pt idx="70">
                  <c:v>166446.49</c:v>
                </c:pt>
                <c:pt idx="71">
                  <c:v>165280.63999999998</c:v>
                </c:pt>
                <c:pt idx="72">
                  <c:v>174243.59999999998</c:v>
                </c:pt>
                <c:pt idx="73">
                  <c:v>189813.41</c:v>
                </c:pt>
                <c:pt idx="74">
                  <c:v>173564.53</c:v>
                </c:pt>
                <c:pt idx="75">
                  <c:v>185445.09000000003</c:v>
                </c:pt>
                <c:pt idx="76">
                  <c:v>206606.01</c:v>
                </c:pt>
                <c:pt idx="77">
                  <c:v>213970.63</c:v>
                </c:pt>
                <c:pt idx="78">
                  <c:v>232155.66</c:v>
                </c:pt>
                <c:pt idx="79">
                  <c:v>244912.31</c:v>
                </c:pt>
                <c:pt idx="80">
                  <c:v>246883.74</c:v>
                </c:pt>
                <c:pt idx="81">
                  <c:v>253090.31</c:v>
                </c:pt>
                <c:pt idx="82">
                  <c:v>256732.59999999998</c:v>
                </c:pt>
                <c:pt idx="83">
                  <c:v>241879.16999999998</c:v>
                </c:pt>
                <c:pt idx="84">
                  <c:v>224540.4</c:v>
                </c:pt>
                <c:pt idx="85">
                  <c:v>199156.44</c:v>
                </c:pt>
                <c:pt idx="86">
                  <c:v>202633.81</c:v>
                </c:pt>
                <c:pt idx="87">
                  <c:v>206481.9</c:v>
                </c:pt>
                <c:pt idx="88">
                  <c:v>202113.67</c:v>
                </c:pt>
                <c:pt idx="89">
                  <c:v>199150.66000000003</c:v>
                </c:pt>
                <c:pt idx="90">
                  <c:v>189005.4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85A-4C3C-A9BA-F3921545EEC2}"/>
            </c:ext>
          </c:extLst>
        </c:ser>
        <c:ser>
          <c:idx val="12"/>
          <c:order val="10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sites'!$A$2:$A$98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sites'!$L$2:$L$98</c:f>
              <c:numCache>
                <c:formatCode>_-* #\ ##0\ [$€-40C]_-;\-* #\ ##0\ [$€-40C]_-;_-* "-"??\ [$€-40C]_-;_-@_-</c:formatCode>
                <c:ptCount val="97"/>
                <c:pt idx="0">
                  <c:v>43386.820000000007</c:v>
                </c:pt>
                <c:pt idx="1">
                  <c:v>40075.369999999995</c:v>
                </c:pt>
                <c:pt idx="2">
                  <c:v>33878.17</c:v>
                </c:pt>
                <c:pt idx="3">
                  <c:v>31716.270000000004</c:v>
                </c:pt>
                <c:pt idx="4">
                  <c:v>32177.919999999998</c:v>
                </c:pt>
                <c:pt idx="5">
                  <c:v>31274.11</c:v>
                </c:pt>
                <c:pt idx="6">
                  <c:v>32726.37</c:v>
                </c:pt>
                <c:pt idx="7">
                  <c:v>36405.42</c:v>
                </c:pt>
                <c:pt idx="8">
                  <c:v>37024.870000000003</c:v>
                </c:pt>
                <c:pt idx="9">
                  <c:v>38464.650000000009</c:v>
                </c:pt>
                <c:pt idx="10">
                  <c:v>32863.129999999997</c:v>
                </c:pt>
                <c:pt idx="11">
                  <c:v>32636.53</c:v>
                </c:pt>
                <c:pt idx="12">
                  <c:v>36739.42</c:v>
                </c:pt>
                <c:pt idx="13">
                  <c:v>35293.579999999994</c:v>
                </c:pt>
                <c:pt idx="14">
                  <c:v>40694.92</c:v>
                </c:pt>
                <c:pt idx="15">
                  <c:v>44621.18</c:v>
                </c:pt>
                <c:pt idx="16">
                  <c:v>48034.61</c:v>
                </c:pt>
                <c:pt idx="17">
                  <c:v>51055.25</c:v>
                </c:pt>
                <c:pt idx="18">
                  <c:v>52265.97</c:v>
                </c:pt>
                <c:pt idx="19">
                  <c:v>49715.399999999994</c:v>
                </c:pt>
                <c:pt idx="20">
                  <c:v>50129.299999999996</c:v>
                </c:pt>
                <c:pt idx="21">
                  <c:v>64204.239999999991</c:v>
                </c:pt>
                <c:pt idx="22">
                  <c:v>64196.63</c:v>
                </c:pt>
                <c:pt idx="23">
                  <c:v>66266.209999999992</c:v>
                </c:pt>
                <c:pt idx="24">
                  <c:v>62744.45</c:v>
                </c:pt>
                <c:pt idx="25">
                  <c:v>66257.59</c:v>
                </c:pt>
                <c:pt idx="26">
                  <c:v>62179.619999999995</c:v>
                </c:pt>
                <c:pt idx="27">
                  <c:v>60871.839999999997</c:v>
                </c:pt>
                <c:pt idx="28">
                  <c:v>59135.409999999989</c:v>
                </c:pt>
                <c:pt idx="29">
                  <c:v>59400.189999999988</c:v>
                </c:pt>
                <c:pt idx="30">
                  <c:v>62004.079999999987</c:v>
                </c:pt>
                <c:pt idx="31">
                  <c:v>63679.189999999988</c:v>
                </c:pt>
                <c:pt idx="32">
                  <c:v>63294.869999999981</c:v>
                </c:pt>
                <c:pt idx="33">
                  <c:v>62179.069999999992</c:v>
                </c:pt>
                <c:pt idx="34">
                  <c:v>65463.039999999994</c:v>
                </c:pt>
                <c:pt idx="35">
                  <c:v>64535.42</c:v>
                </c:pt>
                <c:pt idx="36">
                  <c:v>65364.290000000008</c:v>
                </c:pt>
                <c:pt idx="37">
                  <c:v>64588.090000000011</c:v>
                </c:pt>
                <c:pt idx="38">
                  <c:v>65824.300000000017</c:v>
                </c:pt>
                <c:pt idx="39">
                  <c:v>70912.160000000003</c:v>
                </c:pt>
                <c:pt idx="40">
                  <c:v>73542.510000000009</c:v>
                </c:pt>
                <c:pt idx="41">
                  <c:v>85463.96</c:v>
                </c:pt>
                <c:pt idx="42">
                  <c:v>87801.2</c:v>
                </c:pt>
                <c:pt idx="43">
                  <c:v>95090.579999999987</c:v>
                </c:pt>
                <c:pt idx="44">
                  <c:v>105293.15</c:v>
                </c:pt>
                <c:pt idx="45">
                  <c:v>99532.049999999988</c:v>
                </c:pt>
                <c:pt idx="46">
                  <c:v>98962.53</c:v>
                </c:pt>
                <c:pt idx="47">
                  <c:v>118772.41</c:v>
                </c:pt>
                <c:pt idx="48">
                  <c:v>131996.03</c:v>
                </c:pt>
                <c:pt idx="49">
                  <c:v>149202.47</c:v>
                </c:pt>
                <c:pt idx="50">
                  <c:v>162197.57999999999</c:v>
                </c:pt>
                <c:pt idx="51">
                  <c:v>166819.12</c:v>
                </c:pt>
                <c:pt idx="52">
                  <c:v>177348.58</c:v>
                </c:pt>
                <c:pt idx="53">
                  <c:v>174167.37999999998</c:v>
                </c:pt>
                <c:pt idx="54">
                  <c:v>185796.75999999998</c:v>
                </c:pt>
                <c:pt idx="55">
                  <c:v>186864.22999999998</c:v>
                </c:pt>
                <c:pt idx="56">
                  <c:v>211966.90999999997</c:v>
                </c:pt>
                <c:pt idx="57">
                  <c:v>223931.83</c:v>
                </c:pt>
                <c:pt idx="58">
                  <c:v>226562.72999999998</c:v>
                </c:pt>
                <c:pt idx="59">
                  <c:v>232662.06</c:v>
                </c:pt>
                <c:pt idx="60">
                  <c:v>225037.56999999998</c:v>
                </c:pt>
                <c:pt idx="61">
                  <c:v>214639.43999999997</c:v>
                </c:pt>
                <c:pt idx="62">
                  <c:v>207054.58</c:v>
                </c:pt>
                <c:pt idx="63">
                  <c:v>197743.95999999996</c:v>
                </c:pt>
                <c:pt idx="64">
                  <c:v>181638</c:v>
                </c:pt>
                <c:pt idx="65">
                  <c:v>173562.29999999996</c:v>
                </c:pt>
                <c:pt idx="66">
                  <c:v>158106.75999999998</c:v>
                </c:pt>
                <c:pt idx="67">
                  <c:v>151722.88999999998</c:v>
                </c:pt>
                <c:pt idx="68">
                  <c:v>120458.44</c:v>
                </c:pt>
                <c:pt idx="69">
                  <c:v>104464.71</c:v>
                </c:pt>
                <c:pt idx="70">
                  <c:v>108957.90000000001</c:v>
                </c:pt>
                <c:pt idx="71">
                  <c:v>88914.340000000011</c:v>
                </c:pt>
                <c:pt idx="72">
                  <c:v>91207.450000000012</c:v>
                </c:pt>
                <c:pt idx="73">
                  <c:v>96657.93</c:v>
                </c:pt>
                <c:pt idx="74">
                  <c:v>93694.700000000012</c:v>
                </c:pt>
                <c:pt idx="75">
                  <c:v>99401.300000000017</c:v>
                </c:pt>
                <c:pt idx="76">
                  <c:v>108707.17</c:v>
                </c:pt>
                <c:pt idx="77">
                  <c:v>113707.06</c:v>
                </c:pt>
                <c:pt idx="78">
                  <c:v>118504.85999999999</c:v>
                </c:pt>
                <c:pt idx="79">
                  <c:v>119689</c:v>
                </c:pt>
                <c:pt idx="80">
                  <c:v>119518.13999999998</c:v>
                </c:pt>
                <c:pt idx="81">
                  <c:v>123414.08</c:v>
                </c:pt>
                <c:pt idx="82">
                  <c:v>120444.15</c:v>
                </c:pt>
                <c:pt idx="83">
                  <c:v>116090.69999999998</c:v>
                </c:pt>
                <c:pt idx="84">
                  <c:v>118123.98000000001</c:v>
                </c:pt>
                <c:pt idx="85">
                  <c:v>109085.66</c:v>
                </c:pt>
                <c:pt idx="86">
                  <c:v>109316.12000000001</c:v>
                </c:pt>
                <c:pt idx="87">
                  <c:v>106916.23000000001</c:v>
                </c:pt>
                <c:pt idx="88">
                  <c:v>108426.63</c:v>
                </c:pt>
                <c:pt idx="89">
                  <c:v>114280.25</c:v>
                </c:pt>
                <c:pt idx="90">
                  <c:v>110708.99999999999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85A-4C3C-A9BA-F3921545EEC2}"/>
            </c:ext>
          </c:extLst>
        </c:ser>
        <c:ser>
          <c:idx val="13"/>
          <c:order val="11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sites'!$A$2:$A$98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sites'!$M$2:$M$98</c:f>
              <c:numCache>
                <c:formatCode>_-* #\ ##0\ [$€-40C]_-;\-* #\ ##0\ [$€-40C]_-;_-* "-"??\ [$€-40C]_-;_-@_-</c:formatCode>
                <c:ptCount val="97"/>
                <c:pt idx="0">
                  <c:v>53546.94</c:v>
                </c:pt>
                <c:pt idx="1">
                  <c:v>52642.950000000004</c:v>
                </c:pt>
                <c:pt idx="2">
                  <c:v>54749.760000000009</c:v>
                </c:pt>
                <c:pt idx="3">
                  <c:v>54900.840000000004</c:v>
                </c:pt>
                <c:pt idx="4">
                  <c:v>52916.649999999994</c:v>
                </c:pt>
                <c:pt idx="5">
                  <c:v>46524.849999999991</c:v>
                </c:pt>
                <c:pt idx="6">
                  <c:v>44837.01999999999</c:v>
                </c:pt>
                <c:pt idx="7">
                  <c:v>47320.299999999996</c:v>
                </c:pt>
                <c:pt idx="8">
                  <c:v>45859.48</c:v>
                </c:pt>
                <c:pt idx="9">
                  <c:v>44265.62</c:v>
                </c:pt>
                <c:pt idx="10">
                  <c:v>43541.57</c:v>
                </c:pt>
                <c:pt idx="11">
                  <c:v>41057.250000000007</c:v>
                </c:pt>
                <c:pt idx="12">
                  <c:v>37854.67</c:v>
                </c:pt>
                <c:pt idx="13">
                  <c:v>37346.06</c:v>
                </c:pt>
                <c:pt idx="14">
                  <c:v>37518.410000000003</c:v>
                </c:pt>
                <c:pt idx="15">
                  <c:v>43768.25</c:v>
                </c:pt>
                <c:pt idx="16">
                  <c:v>46321.340000000004</c:v>
                </c:pt>
                <c:pt idx="17">
                  <c:v>51901.890000000007</c:v>
                </c:pt>
                <c:pt idx="18">
                  <c:v>56020.98</c:v>
                </c:pt>
                <c:pt idx="19">
                  <c:v>57160.119999999995</c:v>
                </c:pt>
                <c:pt idx="20">
                  <c:v>59498.500000000007</c:v>
                </c:pt>
                <c:pt idx="21">
                  <c:v>63096.220000000008</c:v>
                </c:pt>
                <c:pt idx="22">
                  <c:v>64200.470000000008</c:v>
                </c:pt>
                <c:pt idx="23">
                  <c:v>66983.45</c:v>
                </c:pt>
                <c:pt idx="24">
                  <c:v>71929.540000000008</c:v>
                </c:pt>
                <c:pt idx="25">
                  <c:v>77134.819999999992</c:v>
                </c:pt>
                <c:pt idx="26">
                  <c:v>74620.989999999991</c:v>
                </c:pt>
                <c:pt idx="27">
                  <c:v>71016.12</c:v>
                </c:pt>
                <c:pt idx="28">
                  <c:v>72593.06</c:v>
                </c:pt>
                <c:pt idx="29">
                  <c:v>76508.489999999991</c:v>
                </c:pt>
                <c:pt idx="30">
                  <c:v>72015.569999999992</c:v>
                </c:pt>
                <c:pt idx="31">
                  <c:v>70763.17</c:v>
                </c:pt>
                <c:pt idx="32">
                  <c:v>71104.010000000009</c:v>
                </c:pt>
                <c:pt idx="33">
                  <c:v>72583.13</c:v>
                </c:pt>
                <c:pt idx="34">
                  <c:v>75481.51999999999</c:v>
                </c:pt>
                <c:pt idx="35">
                  <c:v>76549.47</c:v>
                </c:pt>
                <c:pt idx="36">
                  <c:v>78030.259999999995</c:v>
                </c:pt>
                <c:pt idx="37">
                  <c:v>74976.38</c:v>
                </c:pt>
                <c:pt idx="38">
                  <c:v>77499.650000000009</c:v>
                </c:pt>
                <c:pt idx="39">
                  <c:v>78988.23</c:v>
                </c:pt>
                <c:pt idx="40">
                  <c:v>77095.209999999992</c:v>
                </c:pt>
                <c:pt idx="41">
                  <c:v>75387.94</c:v>
                </c:pt>
                <c:pt idx="42">
                  <c:v>75786.150000000009</c:v>
                </c:pt>
                <c:pt idx="43">
                  <c:v>74859.72</c:v>
                </c:pt>
                <c:pt idx="44">
                  <c:v>78193.179999999993</c:v>
                </c:pt>
                <c:pt idx="45">
                  <c:v>78294.83</c:v>
                </c:pt>
                <c:pt idx="46">
                  <c:v>80658</c:v>
                </c:pt>
                <c:pt idx="47">
                  <c:v>83291.17</c:v>
                </c:pt>
                <c:pt idx="48">
                  <c:v>85409.36</c:v>
                </c:pt>
                <c:pt idx="49">
                  <c:v>90232.2</c:v>
                </c:pt>
                <c:pt idx="50">
                  <c:v>97664.320000000007</c:v>
                </c:pt>
                <c:pt idx="51">
                  <c:v>101774.95</c:v>
                </c:pt>
                <c:pt idx="52">
                  <c:v>110956.17000000001</c:v>
                </c:pt>
                <c:pt idx="53">
                  <c:v>117160.22</c:v>
                </c:pt>
                <c:pt idx="54">
                  <c:v>127344.62</c:v>
                </c:pt>
                <c:pt idx="55">
                  <c:v>133703.90999999997</c:v>
                </c:pt>
                <c:pt idx="56">
                  <c:v>131232.57</c:v>
                </c:pt>
                <c:pt idx="57">
                  <c:v>130555.77</c:v>
                </c:pt>
                <c:pt idx="58">
                  <c:v>130355.75</c:v>
                </c:pt>
                <c:pt idx="59">
                  <c:v>135283.64000000001</c:v>
                </c:pt>
                <c:pt idx="60">
                  <c:v>132123.42000000001</c:v>
                </c:pt>
                <c:pt idx="61">
                  <c:v>132414.51</c:v>
                </c:pt>
                <c:pt idx="62">
                  <c:v>126815.07</c:v>
                </c:pt>
                <c:pt idx="63">
                  <c:v>116923.36000000002</c:v>
                </c:pt>
                <c:pt idx="64">
                  <c:v>102191.53000000001</c:v>
                </c:pt>
                <c:pt idx="65">
                  <c:v>91838.640000000029</c:v>
                </c:pt>
                <c:pt idx="66">
                  <c:v>81360.650000000009</c:v>
                </c:pt>
                <c:pt idx="67">
                  <c:v>74331.88</c:v>
                </c:pt>
                <c:pt idx="68">
                  <c:v>72352.19</c:v>
                </c:pt>
                <c:pt idx="69">
                  <c:v>72294.61</c:v>
                </c:pt>
                <c:pt idx="70">
                  <c:v>69853.069999999992</c:v>
                </c:pt>
                <c:pt idx="71">
                  <c:v>61774.64</c:v>
                </c:pt>
                <c:pt idx="72">
                  <c:v>59143.4</c:v>
                </c:pt>
                <c:pt idx="73">
                  <c:v>54065.810000000005</c:v>
                </c:pt>
                <c:pt idx="74">
                  <c:v>51019.83</c:v>
                </c:pt>
                <c:pt idx="75">
                  <c:v>58439.210000000006</c:v>
                </c:pt>
                <c:pt idx="76">
                  <c:v>64937.860000000008</c:v>
                </c:pt>
                <c:pt idx="77">
                  <c:v>72522.400000000023</c:v>
                </c:pt>
                <c:pt idx="78">
                  <c:v>76816.23000000001</c:v>
                </c:pt>
                <c:pt idx="79">
                  <c:v>85601.690000000017</c:v>
                </c:pt>
                <c:pt idx="80">
                  <c:v>88467.160000000018</c:v>
                </c:pt>
                <c:pt idx="81">
                  <c:v>91392.37000000001</c:v>
                </c:pt>
                <c:pt idx="82">
                  <c:v>88884.12000000001</c:v>
                </c:pt>
                <c:pt idx="83">
                  <c:v>87453.180000000008</c:v>
                </c:pt>
                <c:pt idx="84">
                  <c:v>86026.810000000012</c:v>
                </c:pt>
                <c:pt idx="85">
                  <c:v>85325.27</c:v>
                </c:pt>
                <c:pt idx="86">
                  <c:v>83731.37</c:v>
                </c:pt>
                <c:pt idx="87">
                  <c:v>79164.479999999981</c:v>
                </c:pt>
                <c:pt idx="88">
                  <c:v>77815.679999999993</c:v>
                </c:pt>
                <c:pt idx="89">
                  <c:v>73847.969999999987</c:v>
                </c:pt>
                <c:pt idx="90">
                  <c:v>71580.37999999999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85A-4C3C-A9BA-F3921545EEC2}"/>
            </c:ext>
          </c:extLst>
        </c:ser>
        <c:ser>
          <c:idx val="14"/>
          <c:order val="12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sites'!$A$2:$A$98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sites'!$N$2:$N$98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203.58</c:v>
                </c:pt>
                <c:pt idx="12">
                  <c:v>203.58</c:v>
                </c:pt>
                <c:pt idx="13">
                  <c:v>203.58</c:v>
                </c:pt>
                <c:pt idx="14">
                  <c:v>3912.8799999999997</c:v>
                </c:pt>
                <c:pt idx="15">
                  <c:v>4679.0199999999995</c:v>
                </c:pt>
                <c:pt idx="16">
                  <c:v>8920.2799999999988</c:v>
                </c:pt>
                <c:pt idx="17">
                  <c:v>13015.609999999999</c:v>
                </c:pt>
                <c:pt idx="18">
                  <c:v>13232.21</c:v>
                </c:pt>
                <c:pt idx="19">
                  <c:v>13232.21</c:v>
                </c:pt>
                <c:pt idx="20">
                  <c:v>13232.21</c:v>
                </c:pt>
                <c:pt idx="21">
                  <c:v>13816.269999999999</c:v>
                </c:pt>
                <c:pt idx="22">
                  <c:v>15493.98</c:v>
                </c:pt>
                <c:pt idx="23">
                  <c:v>15778.919999999998</c:v>
                </c:pt>
                <c:pt idx="24">
                  <c:v>20178.079999999998</c:v>
                </c:pt>
                <c:pt idx="25">
                  <c:v>25955.25</c:v>
                </c:pt>
                <c:pt idx="26">
                  <c:v>22482.78</c:v>
                </c:pt>
                <c:pt idx="27">
                  <c:v>23832.379999999997</c:v>
                </c:pt>
                <c:pt idx="28">
                  <c:v>21677.710000000003</c:v>
                </c:pt>
                <c:pt idx="29">
                  <c:v>19354.28</c:v>
                </c:pt>
                <c:pt idx="30">
                  <c:v>21478.74</c:v>
                </c:pt>
                <c:pt idx="31">
                  <c:v>21757.210000000003</c:v>
                </c:pt>
                <c:pt idx="32">
                  <c:v>22193.350000000002</c:v>
                </c:pt>
                <c:pt idx="33">
                  <c:v>22604.520000000004</c:v>
                </c:pt>
                <c:pt idx="34">
                  <c:v>23163.58</c:v>
                </c:pt>
                <c:pt idx="35">
                  <c:v>26922.9</c:v>
                </c:pt>
                <c:pt idx="36">
                  <c:v>27267.159999999996</c:v>
                </c:pt>
                <c:pt idx="37">
                  <c:v>23748.609999999997</c:v>
                </c:pt>
                <c:pt idx="38">
                  <c:v>23105.469999999994</c:v>
                </c:pt>
                <c:pt idx="39">
                  <c:v>28464.629999999997</c:v>
                </c:pt>
                <c:pt idx="40">
                  <c:v>29159.48</c:v>
                </c:pt>
                <c:pt idx="41">
                  <c:v>27857.079999999998</c:v>
                </c:pt>
                <c:pt idx="42">
                  <c:v>25780.69</c:v>
                </c:pt>
                <c:pt idx="43">
                  <c:v>33124.649999999994</c:v>
                </c:pt>
                <c:pt idx="44">
                  <c:v>32688.51</c:v>
                </c:pt>
                <c:pt idx="45">
                  <c:v>34177.65</c:v>
                </c:pt>
                <c:pt idx="46">
                  <c:v>32251.949999999997</c:v>
                </c:pt>
                <c:pt idx="47">
                  <c:v>32976.57</c:v>
                </c:pt>
                <c:pt idx="48">
                  <c:v>29575.079999999998</c:v>
                </c:pt>
                <c:pt idx="49">
                  <c:v>27580.289999999997</c:v>
                </c:pt>
                <c:pt idx="50">
                  <c:v>28216.560000000001</c:v>
                </c:pt>
                <c:pt idx="51">
                  <c:v>22750.71</c:v>
                </c:pt>
                <c:pt idx="52">
                  <c:v>22779.08</c:v>
                </c:pt>
                <c:pt idx="53">
                  <c:v>22551.99</c:v>
                </c:pt>
                <c:pt idx="54">
                  <c:v>22541.7</c:v>
                </c:pt>
                <c:pt idx="55">
                  <c:v>15852.269999999997</c:v>
                </c:pt>
                <c:pt idx="56">
                  <c:v>15852.269999999997</c:v>
                </c:pt>
                <c:pt idx="57">
                  <c:v>13367.899999999998</c:v>
                </c:pt>
                <c:pt idx="58">
                  <c:v>13056.829999999998</c:v>
                </c:pt>
                <c:pt idx="59">
                  <c:v>8204.369999999999</c:v>
                </c:pt>
                <c:pt idx="60">
                  <c:v>8242.7099999999991</c:v>
                </c:pt>
                <c:pt idx="61">
                  <c:v>7978.8799999999992</c:v>
                </c:pt>
                <c:pt idx="62">
                  <c:v>7748.92</c:v>
                </c:pt>
                <c:pt idx="63">
                  <c:v>5739.8700000000008</c:v>
                </c:pt>
                <c:pt idx="64">
                  <c:v>3149.81</c:v>
                </c:pt>
                <c:pt idx="65">
                  <c:v>2907.4</c:v>
                </c:pt>
                <c:pt idx="66">
                  <c:v>42790.82</c:v>
                </c:pt>
                <c:pt idx="67">
                  <c:v>45855.72</c:v>
                </c:pt>
                <c:pt idx="68">
                  <c:v>45855.72</c:v>
                </c:pt>
                <c:pt idx="69">
                  <c:v>45855.72</c:v>
                </c:pt>
                <c:pt idx="70">
                  <c:v>48583.14</c:v>
                </c:pt>
                <c:pt idx="71">
                  <c:v>48463.14</c:v>
                </c:pt>
                <c:pt idx="72">
                  <c:v>48407.280000000006</c:v>
                </c:pt>
                <c:pt idx="73">
                  <c:v>48887.310000000005</c:v>
                </c:pt>
                <c:pt idx="74">
                  <c:v>50120.790000000008</c:v>
                </c:pt>
                <c:pt idx="75">
                  <c:v>50986.500000000007</c:v>
                </c:pt>
                <c:pt idx="76">
                  <c:v>51147.570000000007</c:v>
                </c:pt>
                <c:pt idx="77">
                  <c:v>53864.310000000005</c:v>
                </c:pt>
                <c:pt idx="78">
                  <c:v>14344.78</c:v>
                </c:pt>
                <c:pt idx="79">
                  <c:v>10798.59</c:v>
                </c:pt>
                <c:pt idx="80">
                  <c:v>11211.59</c:v>
                </c:pt>
                <c:pt idx="81">
                  <c:v>12729.11</c:v>
                </c:pt>
                <c:pt idx="82">
                  <c:v>12536.929999999998</c:v>
                </c:pt>
                <c:pt idx="83">
                  <c:v>13917.14</c:v>
                </c:pt>
                <c:pt idx="84">
                  <c:v>12980.21</c:v>
                </c:pt>
                <c:pt idx="85">
                  <c:v>12750.050000000001</c:v>
                </c:pt>
                <c:pt idx="86">
                  <c:v>11516.569999999998</c:v>
                </c:pt>
                <c:pt idx="87">
                  <c:v>10650.859999999999</c:v>
                </c:pt>
                <c:pt idx="88">
                  <c:v>10270.039999999999</c:v>
                </c:pt>
                <c:pt idx="89">
                  <c:v>8669.2999999999993</c:v>
                </c:pt>
                <c:pt idx="90">
                  <c:v>10198.93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55-46DA-8768-8E965E80AA18}"/>
            </c:ext>
          </c:extLst>
        </c:ser>
        <c:ser>
          <c:idx val="0"/>
          <c:order val="13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sites'!$A$2:$A$98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sites'!$O$2:$O$98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14194.33</c:v>
                </c:pt>
                <c:pt idx="60">
                  <c:v>14194.33</c:v>
                </c:pt>
                <c:pt idx="61">
                  <c:v>14194.33</c:v>
                </c:pt>
                <c:pt idx="62">
                  <c:v>39302.089999999997</c:v>
                </c:pt>
                <c:pt idx="63">
                  <c:v>27332.089999999997</c:v>
                </c:pt>
                <c:pt idx="64">
                  <c:v>27583.009999999995</c:v>
                </c:pt>
                <c:pt idx="65">
                  <c:v>27583.009999999995</c:v>
                </c:pt>
                <c:pt idx="66">
                  <c:v>27583.009999999995</c:v>
                </c:pt>
                <c:pt idx="67">
                  <c:v>29694.379999999994</c:v>
                </c:pt>
                <c:pt idx="68">
                  <c:v>34570.639999999992</c:v>
                </c:pt>
                <c:pt idx="69">
                  <c:v>32367.87999999999</c:v>
                </c:pt>
                <c:pt idx="70">
                  <c:v>37202.549999999988</c:v>
                </c:pt>
                <c:pt idx="71">
                  <c:v>44284.649999999994</c:v>
                </c:pt>
                <c:pt idx="72">
                  <c:v>52062.489999999991</c:v>
                </c:pt>
                <c:pt idx="73">
                  <c:v>53083.729999999989</c:v>
                </c:pt>
                <c:pt idx="74">
                  <c:v>41486.559999999998</c:v>
                </c:pt>
                <c:pt idx="75">
                  <c:v>66325.72</c:v>
                </c:pt>
                <c:pt idx="76">
                  <c:v>73141.13</c:v>
                </c:pt>
                <c:pt idx="77">
                  <c:v>81668.540000000008</c:v>
                </c:pt>
                <c:pt idx="78">
                  <c:v>100554.16</c:v>
                </c:pt>
                <c:pt idx="79">
                  <c:v>113005.01000000001</c:v>
                </c:pt>
                <c:pt idx="80">
                  <c:v>113654.75</c:v>
                </c:pt>
                <c:pt idx="81">
                  <c:v>122133.93000000001</c:v>
                </c:pt>
                <c:pt idx="82">
                  <c:v>121601.97000000002</c:v>
                </c:pt>
                <c:pt idx="83">
                  <c:v>100478.74</c:v>
                </c:pt>
                <c:pt idx="84">
                  <c:v>95254.67</c:v>
                </c:pt>
                <c:pt idx="85">
                  <c:v>99759.52</c:v>
                </c:pt>
                <c:pt idx="86">
                  <c:v>87694.049999999988</c:v>
                </c:pt>
                <c:pt idx="87">
                  <c:v>76099.01999999999</c:v>
                </c:pt>
                <c:pt idx="88">
                  <c:v>72089.349999999991</c:v>
                </c:pt>
                <c:pt idx="89">
                  <c:v>63561.939999999988</c:v>
                </c:pt>
                <c:pt idx="90">
                  <c:v>49162.860000000008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78-403F-B07C-B334D762FBB5}"/>
            </c:ext>
          </c:extLst>
        </c:ser>
        <c:ser>
          <c:idx val="11"/>
          <c:order val="14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sites'!$A$2:$A$98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sites'!$P$2:$P$98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-2245</c:v>
                </c:pt>
                <c:pt idx="38">
                  <c:v>-1915</c:v>
                </c:pt>
                <c:pt idx="39">
                  <c:v>-119</c:v>
                </c:pt>
                <c:pt idx="40">
                  <c:v>231</c:v>
                </c:pt>
                <c:pt idx="41">
                  <c:v>966</c:v>
                </c:pt>
                <c:pt idx="42">
                  <c:v>2091</c:v>
                </c:pt>
                <c:pt idx="43">
                  <c:v>2120.81</c:v>
                </c:pt>
                <c:pt idx="44">
                  <c:v>2705.81</c:v>
                </c:pt>
                <c:pt idx="45">
                  <c:v>2800.81</c:v>
                </c:pt>
                <c:pt idx="46">
                  <c:v>12691.81</c:v>
                </c:pt>
                <c:pt idx="47">
                  <c:v>13451.81</c:v>
                </c:pt>
                <c:pt idx="48">
                  <c:v>26697.91</c:v>
                </c:pt>
                <c:pt idx="49">
                  <c:v>29512.260000000002</c:v>
                </c:pt>
                <c:pt idx="50">
                  <c:v>29698.51</c:v>
                </c:pt>
                <c:pt idx="51">
                  <c:v>29531.51</c:v>
                </c:pt>
                <c:pt idx="52">
                  <c:v>30951.51</c:v>
                </c:pt>
                <c:pt idx="53">
                  <c:v>35261.509999999995</c:v>
                </c:pt>
                <c:pt idx="54">
                  <c:v>34427.009999999995</c:v>
                </c:pt>
                <c:pt idx="55">
                  <c:v>35729.899999999994</c:v>
                </c:pt>
                <c:pt idx="56">
                  <c:v>37152.299999999996</c:v>
                </c:pt>
                <c:pt idx="57">
                  <c:v>38067.299999999996</c:v>
                </c:pt>
                <c:pt idx="58">
                  <c:v>29312.300000000003</c:v>
                </c:pt>
                <c:pt idx="59">
                  <c:v>30067.300000000003</c:v>
                </c:pt>
                <c:pt idx="60">
                  <c:v>23920.7</c:v>
                </c:pt>
                <c:pt idx="61">
                  <c:v>23831.85</c:v>
                </c:pt>
                <c:pt idx="62">
                  <c:v>25798.1</c:v>
                </c:pt>
                <c:pt idx="63">
                  <c:v>24289.1</c:v>
                </c:pt>
                <c:pt idx="64">
                  <c:v>22519.1</c:v>
                </c:pt>
                <c:pt idx="65">
                  <c:v>17684.099999999999</c:v>
                </c:pt>
                <c:pt idx="66">
                  <c:v>17593.599999999999</c:v>
                </c:pt>
                <c:pt idx="67">
                  <c:v>21395.9</c:v>
                </c:pt>
                <c:pt idx="68">
                  <c:v>19728.5</c:v>
                </c:pt>
                <c:pt idx="69">
                  <c:v>18778.5</c:v>
                </c:pt>
                <c:pt idx="70">
                  <c:v>19110.5</c:v>
                </c:pt>
                <c:pt idx="71">
                  <c:v>17595.5</c:v>
                </c:pt>
                <c:pt idx="72">
                  <c:v>10994.5</c:v>
                </c:pt>
                <c:pt idx="73">
                  <c:v>10581.5</c:v>
                </c:pt>
                <c:pt idx="74">
                  <c:v>12356.5</c:v>
                </c:pt>
                <c:pt idx="75">
                  <c:v>12533</c:v>
                </c:pt>
                <c:pt idx="76">
                  <c:v>12360</c:v>
                </c:pt>
                <c:pt idx="77">
                  <c:v>18105</c:v>
                </c:pt>
                <c:pt idx="78">
                  <c:v>18232.55</c:v>
                </c:pt>
                <c:pt idx="79">
                  <c:v>13881.55</c:v>
                </c:pt>
                <c:pt idx="80">
                  <c:v>13610.55</c:v>
                </c:pt>
                <c:pt idx="81">
                  <c:v>15909.55</c:v>
                </c:pt>
                <c:pt idx="82">
                  <c:v>15001.55</c:v>
                </c:pt>
                <c:pt idx="83">
                  <c:v>16564.05</c:v>
                </c:pt>
                <c:pt idx="84">
                  <c:v>25885.55</c:v>
                </c:pt>
                <c:pt idx="85">
                  <c:v>27275.05</c:v>
                </c:pt>
                <c:pt idx="86">
                  <c:v>27227.55</c:v>
                </c:pt>
                <c:pt idx="87">
                  <c:v>28751.05</c:v>
                </c:pt>
                <c:pt idx="88">
                  <c:v>31021.05</c:v>
                </c:pt>
                <c:pt idx="89">
                  <c:v>25637.3</c:v>
                </c:pt>
                <c:pt idx="90">
                  <c:v>29579.25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FA-49F5-A024-25C8D3F5D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1699832"/>
        <c:axId val="520594840"/>
        <c:extLst/>
      </c:lineChart>
      <c:dateAx>
        <c:axId val="521699832"/>
        <c:scaling>
          <c:orientation val="minMax"/>
        </c:scaling>
        <c:delete val="0"/>
        <c:axPos val="b"/>
        <c:numFmt formatCode="mmm\-aa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0594840"/>
        <c:crosses val="autoZero"/>
        <c:auto val="1"/>
        <c:lblOffset val="100"/>
        <c:baseTimeUnit val="months"/>
      </c:dateAx>
      <c:valAx>
        <c:axId val="520594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Standard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1699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COLOMBES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426822135245613E-2"/>
          <c:y val="5.5877908785558726E-2"/>
          <c:w val="0.91194830319865117"/>
          <c:h val="0.79878043895516215"/>
        </c:manualLayout>
      </c:layout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sites'!$A$104:$A$200</c:f>
              <c:numCache>
                <c:formatCode>[$-40C]mmm\-aa;@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 formatCode="mmm\-aa">
                  <c:v>43101</c:v>
                </c:pt>
                <c:pt idx="38" formatCode="mmm\-aa">
                  <c:v>43132</c:v>
                </c:pt>
                <c:pt idx="39" formatCode="mmm\-aa">
                  <c:v>43160</c:v>
                </c:pt>
                <c:pt idx="40" formatCode="mmm\-aa">
                  <c:v>43191</c:v>
                </c:pt>
                <c:pt idx="41" formatCode="mmm\-aa">
                  <c:v>43221</c:v>
                </c:pt>
                <c:pt idx="42" formatCode="mmm\-aa">
                  <c:v>43252</c:v>
                </c:pt>
                <c:pt idx="43" formatCode="mmm\-aa">
                  <c:v>43282</c:v>
                </c:pt>
                <c:pt idx="44" formatCode="mmm\-aa">
                  <c:v>43313</c:v>
                </c:pt>
                <c:pt idx="45" formatCode="mmm\-aa">
                  <c:v>43344</c:v>
                </c:pt>
                <c:pt idx="46" formatCode="mmm\-aa">
                  <c:v>43374</c:v>
                </c:pt>
                <c:pt idx="47" formatCode="mmm\-aa">
                  <c:v>43405</c:v>
                </c:pt>
                <c:pt idx="48" formatCode="mmm\-aa">
                  <c:v>43435</c:v>
                </c:pt>
                <c:pt idx="49" formatCode="mmm\-aa">
                  <c:v>43466</c:v>
                </c:pt>
                <c:pt idx="50" formatCode="mmm\-aa">
                  <c:v>43497</c:v>
                </c:pt>
                <c:pt idx="51" formatCode="mmm\-aa">
                  <c:v>43525</c:v>
                </c:pt>
                <c:pt idx="52" formatCode="mmm\-aa">
                  <c:v>43556</c:v>
                </c:pt>
                <c:pt idx="53" formatCode="mmm\-aa">
                  <c:v>43586</c:v>
                </c:pt>
                <c:pt idx="54" formatCode="mmm\-aa">
                  <c:v>43617</c:v>
                </c:pt>
                <c:pt idx="55" formatCode="mmm\-aa">
                  <c:v>43647</c:v>
                </c:pt>
                <c:pt idx="56" formatCode="mmm\-aa">
                  <c:v>43678</c:v>
                </c:pt>
                <c:pt idx="57" formatCode="mmm\-aa">
                  <c:v>43709</c:v>
                </c:pt>
                <c:pt idx="58" formatCode="mmm\-aa">
                  <c:v>43739</c:v>
                </c:pt>
                <c:pt idx="59" formatCode="mmm\-aa">
                  <c:v>43770</c:v>
                </c:pt>
                <c:pt idx="60" formatCode="mmm\-aa">
                  <c:v>43800</c:v>
                </c:pt>
                <c:pt idx="61" formatCode="mmm\-aa">
                  <c:v>43831</c:v>
                </c:pt>
                <c:pt idx="62" formatCode="mmm\-aa">
                  <c:v>43862</c:v>
                </c:pt>
                <c:pt idx="63" formatCode="mmm\-aa">
                  <c:v>43891</c:v>
                </c:pt>
                <c:pt idx="64" formatCode="mmm\-aa">
                  <c:v>43922</c:v>
                </c:pt>
                <c:pt idx="65" formatCode="mmm\-aa">
                  <c:v>43952</c:v>
                </c:pt>
                <c:pt idx="66" formatCode="mmm\-aa">
                  <c:v>43983</c:v>
                </c:pt>
                <c:pt idx="67" formatCode="mmm\-aa">
                  <c:v>44013</c:v>
                </c:pt>
                <c:pt idx="68" formatCode="mmm\-aa">
                  <c:v>44044</c:v>
                </c:pt>
                <c:pt idx="69" formatCode="mmm\-aa">
                  <c:v>44075</c:v>
                </c:pt>
                <c:pt idx="70" formatCode="mmm\-aa">
                  <c:v>44105</c:v>
                </c:pt>
                <c:pt idx="71" formatCode="mmm\-aa">
                  <c:v>44136</c:v>
                </c:pt>
                <c:pt idx="72" formatCode="mmm\-aa">
                  <c:v>44166</c:v>
                </c:pt>
                <c:pt idx="73" formatCode="mmm\-aa">
                  <c:v>44197</c:v>
                </c:pt>
                <c:pt idx="74" formatCode="mmm\-aa">
                  <c:v>44228</c:v>
                </c:pt>
                <c:pt idx="75" formatCode="mmm\-aa">
                  <c:v>44256</c:v>
                </c:pt>
                <c:pt idx="76" formatCode="mmm\-aa">
                  <c:v>44287</c:v>
                </c:pt>
                <c:pt idx="77" formatCode="mmm\-aa">
                  <c:v>44317</c:v>
                </c:pt>
                <c:pt idx="78" formatCode="mmm\-aa">
                  <c:v>44348</c:v>
                </c:pt>
                <c:pt idx="79" formatCode="mmm\-aa">
                  <c:v>44378</c:v>
                </c:pt>
                <c:pt idx="80" formatCode="mmm\-aa">
                  <c:v>44409</c:v>
                </c:pt>
                <c:pt idx="81" formatCode="mmm\-aa">
                  <c:v>44440</c:v>
                </c:pt>
                <c:pt idx="82" formatCode="mmm\-aa">
                  <c:v>44470</c:v>
                </c:pt>
                <c:pt idx="83" formatCode="mmm\-aa">
                  <c:v>44501</c:v>
                </c:pt>
                <c:pt idx="84" formatCode="mmm\-aa">
                  <c:v>44531</c:v>
                </c:pt>
                <c:pt idx="85" formatCode="mmm\-aa">
                  <c:v>44562</c:v>
                </c:pt>
                <c:pt idx="86" formatCode="mmm\-aa">
                  <c:v>44593</c:v>
                </c:pt>
                <c:pt idx="87" formatCode="mmm\-aa">
                  <c:v>44621</c:v>
                </c:pt>
                <c:pt idx="88" formatCode="mmm\-aa">
                  <c:v>44652</c:v>
                </c:pt>
                <c:pt idx="89" formatCode="mmm\-aa">
                  <c:v>44682</c:v>
                </c:pt>
                <c:pt idx="90" formatCode="mmm\-aa">
                  <c:v>44713</c:v>
                </c:pt>
                <c:pt idx="91" formatCode="mmm\-aa">
                  <c:v>44743</c:v>
                </c:pt>
                <c:pt idx="92" formatCode="mmm\-aa">
                  <c:v>44774</c:v>
                </c:pt>
                <c:pt idx="93" formatCode="mmm\-aa">
                  <c:v>44805</c:v>
                </c:pt>
                <c:pt idx="94" formatCode="mmm\-aa">
                  <c:v>44835</c:v>
                </c:pt>
                <c:pt idx="95" formatCode="mmm\-aa">
                  <c:v>44866</c:v>
                </c:pt>
                <c:pt idx="96" formatCode="mmm\-aa">
                  <c:v>44896</c:v>
                </c:pt>
              </c:numCache>
            </c:numRef>
          </c:cat>
          <c:val>
            <c:numRef>
              <c:f>'12M glissant produits &amp; sites'!$B$104:$B$200</c:f>
              <c:numCache>
                <c:formatCode>Standard</c:formatCode>
                <c:ptCount val="97"/>
                <c:pt idx="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B0AC-4DDF-86B7-1EC5AD0E25FE}"/>
            </c:ext>
          </c:extLst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sites'!$A$104:$A$200</c:f>
              <c:numCache>
                <c:formatCode>[$-40C]mmm\-aa;@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 formatCode="mmm\-aa">
                  <c:v>43101</c:v>
                </c:pt>
                <c:pt idx="38" formatCode="mmm\-aa">
                  <c:v>43132</c:v>
                </c:pt>
                <c:pt idx="39" formatCode="mmm\-aa">
                  <c:v>43160</c:v>
                </c:pt>
                <c:pt idx="40" formatCode="mmm\-aa">
                  <c:v>43191</c:v>
                </c:pt>
                <c:pt idx="41" formatCode="mmm\-aa">
                  <c:v>43221</c:v>
                </c:pt>
                <c:pt idx="42" formatCode="mmm\-aa">
                  <c:v>43252</c:v>
                </c:pt>
                <c:pt idx="43" formatCode="mmm\-aa">
                  <c:v>43282</c:v>
                </c:pt>
                <c:pt idx="44" formatCode="mmm\-aa">
                  <c:v>43313</c:v>
                </c:pt>
                <c:pt idx="45" formatCode="mmm\-aa">
                  <c:v>43344</c:v>
                </c:pt>
                <c:pt idx="46" formatCode="mmm\-aa">
                  <c:v>43374</c:v>
                </c:pt>
                <c:pt idx="47" formatCode="mmm\-aa">
                  <c:v>43405</c:v>
                </c:pt>
                <c:pt idx="48" formatCode="mmm\-aa">
                  <c:v>43435</c:v>
                </c:pt>
                <c:pt idx="49" formatCode="mmm\-aa">
                  <c:v>43466</c:v>
                </c:pt>
                <c:pt idx="50" formatCode="mmm\-aa">
                  <c:v>43497</c:v>
                </c:pt>
                <c:pt idx="51" formatCode="mmm\-aa">
                  <c:v>43525</c:v>
                </c:pt>
                <c:pt idx="52" formatCode="mmm\-aa">
                  <c:v>43556</c:v>
                </c:pt>
                <c:pt idx="53" formatCode="mmm\-aa">
                  <c:v>43586</c:v>
                </c:pt>
                <c:pt idx="54" formatCode="mmm\-aa">
                  <c:v>43617</c:v>
                </c:pt>
                <c:pt idx="55" formatCode="mmm\-aa">
                  <c:v>43647</c:v>
                </c:pt>
                <c:pt idx="56" formatCode="mmm\-aa">
                  <c:v>43678</c:v>
                </c:pt>
                <c:pt idx="57" formatCode="mmm\-aa">
                  <c:v>43709</c:v>
                </c:pt>
                <c:pt idx="58" formatCode="mmm\-aa">
                  <c:v>43739</c:v>
                </c:pt>
                <c:pt idx="59" formatCode="mmm\-aa">
                  <c:v>43770</c:v>
                </c:pt>
                <c:pt idx="60" formatCode="mmm\-aa">
                  <c:v>43800</c:v>
                </c:pt>
                <c:pt idx="61" formatCode="mmm\-aa">
                  <c:v>43831</c:v>
                </c:pt>
                <c:pt idx="62" formatCode="mmm\-aa">
                  <c:v>43862</c:v>
                </c:pt>
                <c:pt idx="63" formatCode="mmm\-aa">
                  <c:v>43891</c:v>
                </c:pt>
                <c:pt idx="64" formatCode="mmm\-aa">
                  <c:v>43922</c:v>
                </c:pt>
                <c:pt idx="65" formatCode="mmm\-aa">
                  <c:v>43952</c:v>
                </c:pt>
                <c:pt idx="66" formatCode="mmm\-aa">
                  <c:v>43983</c:v>
                </c:pt>
                <c:pt idx="67" formatCode="mmm\-aa">
                  <c:v>44013</c:v>
                </c:pt>
                <c:pt idx="68" formatCode="mmm\-aa">
                  <c:v>44044</c:v>
                </c:pt>
                <c:pt idx="69" formatCode="mmm\-aa">
                  <c:v>44075</c:v>
                </c:pt>
                <c:pt idx="70" formatCode="mmm\-aa">
                  <c:v>44105</c:v>
                </c:pt>
                <c:pt idx="71" formatCode="mmm\-aa">
                  <c:v>44136</c:v>
                </c:pt>
                <c:pt idx="72" formatCode="mmm\-aa">
                  <c:v>44166</c:v>
                </c:pt>
                <c:pt idx="73" formatCode="mmm\-aa">
                  <c:v>44197</c:v>
                </c:pt>
                <c:pt idx="74" formatCode="mmm\-aa">
                  <c:v>44228</c:v>
                </c:pt>
                <c:pt idx="75" formatCode="mmm\-aa">
                  <c:v>44256</c:v>
                </c:pt>
                <c:pt idx="76" formatCode="mmm\-aa">
                  <c:v>44287</c:v>
                </c:pt>
                <c:pt idx="77" formatCode="mmm\-aa">
                  <c:v>44317</c:v>
                </c:pt>
                <c:pt idx="78" formatCode="mmm\-aa">
                  <c:v>44348</c:v>
                </c:pt>
                <c:pt idx="79" formatCode="mmm\-aa">
                  <c:v>44378</c:v>
                </c:pt>
                <c:pt idx="80" formatCode="mmm\-aa">
                  <c:v>44409</c:v>
                </c:pt>
                <c:pt idx="81" formatCode="mmm\-aa">
                  <c:v>44440</c:v>
                </c:pt>
                <c:pt idx="82" formatCode="mmm\-aa">
                  <c:v>44470</c:v>
                </c:pt>
                <c:pt idx="83" formatCode="mmm\-aa">
                  <c:v>44501</c:v>
                </c:pt>
                <c:pt idx="84" formatCode="mmm\-aa">
                  <c:v>44531</c:v>
                </c:pt>
                <c:pt idx="85" formatCode="mmm\-aa">
                  <c:v>44562</c:v>
                </c:pt>
                <c:pt idx="86" formatCode="mmm\-aa">
                  <c:v>44593</c:v>
                </c:pt>
                <c:pt idx="87" formatCode="mmm\-aa">
                  <c:v>44621</c:v>
                </c:pt>
                <c:pt idx="88" formatCode="mmm\-aa">
                  <c:v>44652</c:v>
                </c:pt>
                <c:pt idx="89" formatCode="mmm\-aa">
                  <c:v>44682</c:v>
                </c:pt>
                <c:pt idx="90" formatCode="mmm\-aa">
                  <c:v>44713</c:v>
                </c:pt>
                <c:pt idx="91" formatCode="mmm\-aa">
                  <c:v>44743</c:v>
                </c:pt>
                <c:pt idx="92" formatCode="mmm\-aa">
                  <c:v>44774</c:v>
                </c:pt>
                <c:pt idx="93" formatCode="mmm\-aa">
                  <c:v>44805</c:v>
                </c:pt>
                <c:pt idx="94" formatCode="mmm\-aa">
                  <c:v>44835</c:v>
                </c:pt>
                <c:pt idx="95" formatCode="mmm\-aa">
                  <c:v>44866</c:v>
                </c:pt>
                <c:pt idx="96" formatCode="mmm\-aa">
                  <c:v>44896</c:v>
                </c:pt>
              </c:numCache>
            </c:numRef>
          </c:cat>
          <c:val>
            <c:numRef>
              <c:f>'12M glissant produits &amp; sites'!$C$104:$C$200</c:f>
              <c:numCache>
                <c:formatCode>_-* #\ ##0\ [$€-40C]_-;\-* #\ ##0\ [$€-40C]_-;_-* "-"??\ [$€-40C]_-;_-@_-</c:formatCode>
                <c:ptCount val="97"/>
                <c:pt idx="0">
                  <c:v>3045709.8400000003</c:v>
                </c:pt>
                <c:pt idx="1">
                  <c:v>3072197.9900000007</c:v>
                </c:pt>
                <c:pt idx="2">
                  <c:v>3084327.7200000007</c:v>
                </c:pt>
                <c:pt idx="3">
                  <c:v>3045116.2300000004</c:v>
                </c:pt>
                <c:pt idx="4">
                  <c:v>3057969.6300000004</c:v>
                </c:pt>
                <c:pt idx="5">
                  <c:v>3006592.9600000004</c:v>
                </c:pt>
                <c:pt idx="6">
                  <c:v>3116166.4300000006</c:v>
                </c:pt>
                <c:pt idx="7">
                  <c:v>3127088.8300000005</c:v>
                </c:pt>
                <c:pt idx="8">
                  <c:v>3118389.040000001</c:v>
                </c:pt>
                <c:pt idx="9">
                  <c:v>3107843.0800000005</c:v>
                </c:pt>
                <c:pt idx="10">
                  <c:v>3151892.09</c:v>
                </c:pt>
                <c:pt idx="11">
                  <c:v>3191525.2500000005</c:v>
                </c:pt>
                <c:pt idx="12">
                  <c:v>3110354.8499999996</c:v>
                </c:pt>
                <c:pt idx="13">
                  <c:v>3169678.7400000007</c:v>
                </c:pt>
                <c:pt idx="14">
                  <c:v>3155950.03</c:v>
                </c:pt>
                <c:pt idx="15">
                  <c:v>3211483.77</c:v>
                </c:pt>
                <c:pt idx="16">
                  <c:v>3191044.2100000004</c:v>
                </c:pt>
                <c:pt idx="17">
                  <c:v>3227800.9000000004</c:v>
                </c:pt>
                <c:pt idx="18">
                  <c:v>3164093.8600000003</c:v>
                </c:pt>
                <c:pt idx="19">
                  <c:v>3157603.25</c:v>
                </c:pt>
                <c:pt idx="20">
                  <c:v>3165662.37</c:v>
                </c:pt>
                <c:pt idx="21">
                  <c:v>3106613.8499999996</c:v>
                </c:pt>
                <c:pt idx="22">
                  <c:v>3070972.330000001</c:v>
                </c:pt>
                <c:pt idx="23">
                  <c:v>3036626.8000000003</c:v>
                </c:pt>
                <c:pt idx="24">
                  <c:v>3000327.9099999997</c:v>
                </c:pt>
                <c:pt idx="25">
                  <c:v>2955794.8400000008</c:v>
                </c:pt>
                <c:pt idx="26">
                  <c:v>2922540.2700000005</c:v>
                </c:pt>
                <c:pt idx="27">
                  <c:v>2882422.21</c:v>
                </c:pt>
                <c:pt idx="28">
                  <c:v>2815323.08</c:v>
                </c:pt>
                <c:pt idx="29">
                  <c:v>2883460.3800000008</c:v>
                </c:pt>
                <c:pt idx="30">
                  <c:v>2859660.1700000004</c:v>
                </c:pt>
                <c:pt idx="31">
                  <c:v>2841414.1300000004</c:v>
                </c:pt>
                <c:pt idx="32">
                  <c:v>2817102.4899999993</c:v>
                </c:pt>
                <c:pt idx="33">
                  <c:v>2847756.36</c:v>
                </c:pt>
                <c:pt idx="34">
                  <c:v>2848374.04</c:v>
                </c:pt>
                <c:pt idx="35">
                  <c:v>2843712.2299999995</c:v>
                </c:pt>
                <c:pt idx="36">
                  <c:v>2814821.5300000007</c:v>
                </c:pt>
                <c:pt idx="37">
                  <c:v>2857355.72</c:v>
                </c:pt>
                <c:pt idx="38">
                  <c:v>2854965.0300000007</c:v>
                </c:pt>
                <c:pt idx="39">
                  <c:v>2882198.81</c:v>
                </c:pt>
                <c:pt idx="40">
                  <c:v>2973850.26</c:v>
                </c:pt>
                <c:pt idx="41">
                  <c:v>2899430.1599999997</c:v>
                </c:pt>
                <c:pt idx="42">
                  <c:v>2920331.6500000004</c:v>
                </c:pt>
                <c:pt idx="43">
                  <c:v>2947548.2999999993</c:v>
                </c:pt>
                <c:pt idx="44">
                  <c:v>3019266.6400000006</c:v>
                </c:pt>
                <c:pt idx="45">
                  <c:v>3036665.1</c:v>
                </c:pt>
                <c:pt idx="46">
                  <c:v>3049623.46</c:v>
                </c:pt>
                <c:pt idx="47">
                  <c:v>3029847.24</c:v>
                </c:pt>
                <c:pt idx="48">
                  <c:v>3043239.8299999996</c:v>
                </c:pt>
                <c:pt idx="49">
                  <c:v>2998592.0900000008</c:v>
                </c:pt>
                <c:pt idx="50">
                  <c:v>2951925.4099999997</c:v>
                </c:pt>
                <c:pt idx="51">
                  <c:v>2864581.0000000005</c:v>
                </c:pt>
                <c:pt idx="52">
                  <c:v>2782229.92</c:v>
                </c:pt>
                <c:pt idx="53">
                  <c:v>2810867.6500000004</c:v>
                </c:pt>
                <c:pt idx="54">
                  <c:v>2745097.24</c:v>
                </c:pt>
                <c:pt idx="55">
                  <c:v>2703781.06</c:v>
                </c:pt>
                <c:pt idx="56">
                  <c:v>2701066.7300000004</c:v>
                </c:pt>
                <c:pt idx="57">
                  <c:v>2673170.9300000006</c:v>
                </c:pt>
                <c:pt idx="58">
                  <c:v>2593428.81</c:v>
                </c:pt>
                <c:pt idx="59">
                  <c:v>2549638.7900000005</c:v>
                </c:pt>
                <c:pt idx="60">
                  <c:v>2552495.6500000008</c:v>
                </c:pt>
                <c:pt idx="61">
                  <c:v>2597825.71</c:v>
                </c:pt>
                <c:pt idx="62">
                  <c:v>2622081.88</c:v>
                </c:pt>
                <c:pt idx="63">
                  <c:v>2568256.8200000003</c:v>
                </c:pt>
                <c:pt idx="64">
                  <c:v>2429688.4699999997</c:v>
                </c:pt>
                <c:pt idx="65">
                  <c:v>2253716.8299999996</c:v>
                </c:pt>
                <c:pt idx="66">
                  <c:v>2180184.0100000002</c:v>
                </c:pt>
                <c:pt idx="67">
                  <c:v>2219382.2300000004</c:v>
                </c:pt>
                <c:pt idx="68">
                  <c:v>2202072.7800000003</c:v>
                </c:pt>
                <c:pt idx="69">
                  <c:v>2178162.7999999993</c:v>
                </c:pt>
                <c:pt idx="70">
                  <c:v>2120188.7299999995</c:v>
                </c:pt>
                <c:pt idx="71">
                  <c:v>2028588.8099999998</c:v>
                </c:pt>
                <c:pt idx="72">
                  <c:v>1962285.9599999997</c:v>
                </c:pt>
                <c:pt idx="73">
                  <c:v>1833101.6699999997</c:v>
                </c:pt>
                <c:pt idx="74">
                  <c:v>1789694.7899999998</c:v>
                </c:pt>
                <c:pt idx="75">
                  <c:v>1811915.1899999995</c:v>
                </c:pt>
                <c:pt idx="76">
                  <c:v>1975080.9799999995</c:v>
                </c:pt>
                <c:pt idx="77">
                  <c:v>2044474.68</c:v>
                </c:pt>
                <c:pt idx="78">
                  <c:v>2085941.1500000001</c:v>
                </c:pt>
                <c:pt idx="79">
                  <c:v>1993266.1500000001</c:v>
                </c:pt>
                <c:pt idx="80">
                  <c:v>2004454.7999999998</c:v>
                </c:pt>
                <c:pt idx="81">
                  <c:v>2004470.4499999997</c:v>
                </c:pt>
                <c:pt idx="82">
                  <c:v>2025181.71</c:v>
                </c:pt>
                <c:pt idx="83">
                  <c:v>2075545.7600000002</c:v>
                </c:pt>
                <c:pt idx="84">
                  <c:v>2128750.9199999995</c:v>
                </c:pt>
                <c:pt idx="85">
                  <c:v>2241205.54</c:v>
                </c:pt>
                <c:pt idx="86">
                  <c:v>2249841.89</c:v>
                </c:pt>
                <c:pt idx="87">
                  <c:v>2269728.1600000006</c:v>
                </c:pt>
                <c:pt idx="88">
                  <c:v>2212355.6100000003</c:v>
                </c:pt>
                <c:pt idx="89">
                  <c:v>2261879.5700000003</c:v>
                </c:pt>
                <c:pt idx="90">
                  <c:v>2276034.16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AC-4DDF-86B7-1EC5AD0E25FE}"/>
            </c:ext>
          </c:extLst>
        </c:ser>
        <c:ser>
          <c:idx val="3"/>
          <c:order val="2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sites'!$A$104:$A$200</c:f>
              <c:numCache>
                <c:formatCode>[$-40C]mmm\-aa;@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 formatCode="mmm\-aa">
                  <c:v>43101</c:v>
                </c:pt>
                <c:pt idx="38" formatCode="mmm\-aa">
                  <c:v>43132</c:v>
                </c:pt>
                <c:pt idx="39" formatCode="mmm\-aa">
                  <c:v>43160</c:v>
                </c:pt>
                <c:pt idx="40" formatCode="mmm\-aa">
                  <c:v>43191</c:v>
                </c:pt>
                <c:pt idx="41" formatCode="mmm\-aa">
                  <c:v>43221</c:v>
                </c:pt>
                <c:pt idx="42" formatCode="mmm\-aa">
                  <c:v>43252</c:v>
                </c:pt>
                <c:pt idx="43" formatCode="mmm\-aa">
                  <c:v>43282</c:v>
                </c:pt>
                <c:pt idx="44" formatCode="mmm\-aa">
                  <c:v>43313</c:v>
                </c:pt>
                <c:pt idx="45" formatCode="mmm\-aa">
                  <c:v>43344</c:v>
                </c:pt>
                <c:pt idx="46" formatCode="mmm\-aa">
                  <c:v>43374</c:v>
                </c:pt>
                <c:pt idx="47" formatCode="mmm\-aa">
                  <c:v>43405</c:v>
                </c:pt>
                <c:pt idx="48" formatCode="mmm\-aa">
                  <c:v>43435</c:v>
                </c:pt>
                <c:pt idx="49" formatCode="mmm\-aa">
                  <c:v>43466</c:v>
                </c:pt>
                <c:pt idx="50" formatCode="mmm\-aa">
                  <c:v>43497</c:v>
                </c:pt>
                <c:pt idx="51" formatCode="mmm\-aa">
                  <c:v>43525</c:v>
                </c:pt>
                <c:pt idx="52" formatCode="mmm\-aa">
                  <c:v>43556</c:v>
                </c:pt>
                <c:pt idx="53" formatCode="mmm\-aa">
                  <c:v>43586</c:v>
                </c:pt>
                <c:pt idx="54" formatCode="mmm\-aa">
                  <c:v>43617</c:v>
                </c:pt>
                <c:pt idx="55" formatCode="mmm\-aa">
                  <c:v>43647</c:v>
                </c:pt>
                <c:pt idx="56" formatCode="mmm\-aa">
                  <c:v>43678</c:v>
                </c:pt>
                <c:pt idx="57" formatCode="mmm\-aa">
                  <c:v>43709</c:v>
                </c:pt>
                <c:pt idx="58" formatCode="mmm\-aa">
                  <c:v>43739</c:v>
                </c:pt>
                <c:pt idx="59" formatCode="mmm\-aa">
                  <c:v>43770</c:v>
                </c:pt>
                <c:pt idx="60" formatCode="mmm\-aa">
                  <c:v>43800</c:v>
                </c:pt>
                <c:pt idx="61" formatCode="mmm\-aa">
                  <c:v>43831</c:v>
                </c:pt>
                <c:pt idx="62" formatCode="mmm\-aa">
                  <c:v>43862</c:v>
                </c:pt>
                <c:pt idx="63" formatCode="mmm\-aa">
                  <c:v>43891</c:v>
                </c:pt>
                <c:pt idx="64" formatCode="mmm\-aa">
                  <c:v>43922</c:v>
                </c:pt>
                <c:pt idx="65" formatCode="mmm\-aa">
                  <c:v>43952</c:v>
                </c:pt>
                <c:pt idx="66" formatCode="mmm\-aa">
                  <c:v>43983</c:v>
                </c:pt>
                <c:pt idx="67" formatCode="mmm\-aa">
                  <c:v>44013</c:v>
                </c:pt>
                <c:pt idx="68" formatCode="mmm\-aa">
                  <c:v>44044</c:v>
                </c:pt>
                <c:pt idx="69" formatCode="mmm\-aa">
                  <c:v>44075</c:v>
                </c:pt>
                <c:pt idx="70" formatCode="mmm\-aa">
                  <c:v>44105</c:v>
                </c:pt>
                <c:pt idx="71" formatCode="mmm\-aa">
                  <c:v>44136</c:v>
                </c:pt>
                <c:pt idx="72" formatCode="mmm\-aa">
                  <c:v>44166</c:v>
                </c:pt>
                <c:pt idx="73" formatCode="mmm\-aa">
                  <c:v>44197</c:v>
                </c:pt>
                <c:pt idx="74" formatCode="mmm\-aa">
                  <c:v>44228</c:v>
                </c:pt>
                <c:pt idx="75" formatCode="mmm\-aa">
                  <c:v>44256</c:v>
                </c:pt>
                <c:pt idx="76" formatCode="mmm\-aa">
                  <c:v>44287</c:v>
                </c:pt>
                <c:pt idx="77" formatCode="mmm\-aa">
                  <c:v>44317</c:v>
                </c:pt>
                <c:pt idx="78" formatCode="mmm\-aa">
                  <c:v>44348</c:v>
                </c:pt>
                <c:pt idx="79" formatCode="mmm\-aa">
                  <c:v>44378</c:v>
                </c:pt>
                <c:pt idx="80" formatCode="mmm\-aa">
                  <c:v>44409</c:v>
                </c:pt>
                <c:pt idx="81" formatCode="mmm\-aa">
                  <c:v>44440</c:v>
                </c:pt>
                <c:pt idx="82" formatCode="mmm\-aa">
                  <c:v>44470</c:v>
                </c:pt>
                <c:pt idx="83" formatCode="mmm\-aa">
                  <c:v>44501</c:v>
                </c:pt>
                <c:pt idx="84" formatCode="mmm\-aa">
                  <c:v>44531</c:v>
                </c:pt>
                <c:pt idx="85" formatCode="mmm\-aa">
                  <c:v>44562</c:v>
                </c:pt>
                <c:pt idx="86" formatCode="mmm\-aa">
                  <c:v>44593</c:v>
                </c:pt>
                <c:pt idx="87" formatCode="mmm\-aa">
                  <c:v>44621</c:v>
                </c:pt>
                <c:pt idx="88" formatCode="mmm\-aa">
                  <c:v>44652</c:v>
                </c:pt>
                <c:pt idx="89" formatCode="mmm\-aa">
                  <c:v>44682</c:v>
                </c:pt>
                <c:pt idx="90" formatCode="mmm\-aa">
                  <c:v>44713</c:v>
                </c:pt>
                <c:pt idx="91" formatCode="mmm\-aa">
                  <c:v>44743</c:v>
                </c:pt>
                <c:pt idx="92" formatCode="mmm\-aa">
                  <c:v>44774</c:v>
                </c:pt>
                <c:pt idx="93" formatCode="mmm\-aa">
                  <c:v>44805</c:v>
                </c:pt>
                <c:pt idx="94" formatCode="mmm\-aa">
                  <c:v>44835</c:v>
                </c:pt>
                <c:pt idx="95" formatCode="mmm\-aa">
                  <c:v>44866</c:v>
                </c:pt>
                <c:pt idx="96" formatCode="mmm\-aa">
                  <c:v>44896</c:v>
                </c:pt>
              </c:numCache>
            </c:numRef>
          </c:cat>
          <c:val>
            <c:numRef>
              <c:f>'12M glissant produits &amp; sites'!$D$104:$D$200</c:f>
              <c:numCache>
                <c:formatCode>_-* #\ ##0\ [$€-40C]_-;\-* #\ ##0\ [$€-40C]_-;_-* "-"??\ [$€-40C]_-;_-@_-</c:formatCode>
                <c:ptCount val="97"/>
                <c:pt idx="0">
                  <c:v>1053251.5600000003</c:v>
                </c:pt>
                <c:pt idx="1">
                  <c:v>1068634.6200000003</c:v>
                </c:pt>
                <c:pt idx="2">
                  <c:v>1086932.8500000003</c:v>
                </c:pt>
                <c:pt idx="3">
                  <c:v>1059160.99</c:v>
                </c:pt>
                <c:pt idx="4">
                  <c:v>1074560</c:v>
                </c:pt>
                <c:pt idx="5">
                  <c:v>1070014.1400000001</c:v>
                </c:pt>
                <c:pt idx="6">
                  <c:v>1113617.7500000002</c:v>
                </c:pt>
                <c:pt idx="7">
                  <c:v>1144158.8</c:v>
                </c:pt>
                <c:pt idx="8">
                  <c:v>1141170.8300000003</c:v>
                </c:pt>
                <c:pt idx="9">
                  <c:v>1114614.6500000001</c:v>
                </c:pt>
                <c:pt idx="10">
                  <c:v>1114027.4200000002</c:v>
                </c:pt>
                <c:pt idx="11">
                  <c:v>1153367.08</c:v>
                </c:pt>
                <c:pt idx="12">
                  <c:v>1141929.31</c:v>
                </c:pt>
                <c:pt idx="13">
                  <c:v>1154407.3700000001</c:v>
                </c:pt>
                <c:pt idx="14">
                  <c:v>1138727.51</c:v>
                </c:pt>
                <c:pt idx="15">
                  <c:v>1148731.2400000002</c:v>
                </c:pt>
                <c:pt idx="16">
                  <c:v>1118860.75</c:v>
                </c:pt>
                <c:pt idx="17">
                  <c:v>1131668.2799999998</c:v>
                </c:pt>
                <c:pt idx="18">
                  <c:v>1086670.4999999998</c:v>
                </c:pt>
                <c:pt idx="19">
                  <c:v>1107956.7599999998</c:v>
                </c:pt>
                <c:pt idx="20">
                  <c:v>1129170.5999999999</c:v>
                </c:pt>
                <c:pt idx="21">
                  <c:v>1128570.5999999999</c:v>
                </c:pt>
                <c:pt idx="22">
                  <c:v>1150606.0900000001</c:v>
                </c:pt>
                <c:pt idx="23">
                  <c:v>1142381.8699999999</c:v>
                </c:pt>
                <c:pt idx="24">
                  <c:v>1116800.1100000001</c:v>
                </c:pt>
                <c:pt idx="25">
                  <c:v>1122391.5100000002</c:v>
                </c:pt>
                <c:pt idx="26">
                  <c:v>1115897.1700000002</c:v>
                </c:pt>
                <c:pt idx="27">
                  <c:v>1163514.07</c:v>
                </c:pt>
                <c:pt idx="28">
                  <c:v>1162164.24</c:v>
                </c:pt>
                <c:pt idx="29">
                  <c:v>1207444.01</c:v>
                </c:pt>
                <c:pt idx="30">
                  <c:v>1243567.3</c:v>
                </c:pt>
                <c:pt idx="31">
                  <c:v>1236699.4000000001</c:v>
                </c:pt>
                <c:pt idx="32">
                  <c:v>1234558.3599999999</c:v>
                </c:pt>
                <c:pt idx="33">
                  <c:v>1286109.6299999999</c:v>
                </c:pt>
                <c:pt idx="34">
                  <c:v>1303240.8999999999</c:v>
                </c:pt>
                <c:pt idx="35">
                  <c:v>1352732.43</c:v>
                </c:pt>
                <c:pt idx="36">
                  <c:v>1336159.92</c:v>
                </c:pt>
                <c:pt idx="37">
                  <c:v>1354094.0100000002</c:v>
                </c:pt>
                <c:pt idx="38">
                  <c:v>1346064.7300000004</c:v>
                </c:pt>
                <c:pt idx="39">
                  <c:v>1349198.88</c:v>
                </c:pt>
                <c:pt idx="40">
                  <c:v>1408980.48</c:v>
                </c:pt>
                <c:pt idx="41">
                  <c:v>1360139.07</c:v>
                </c:pt>
                <c:pt idx="42">
                  <c:v>1341654.02</c:v>
                </c:pt>
                <c:pt idx="43">
                  <c:v>1336309.06</c:v>
                </c:pt>
                <c:pt idx="44">
                  <c:v>1356602.03</c:v>
                </c:pt>
                <c:pt idx="45">
                  <c:v>1343029.4500000002</c:v>
                </c:pt>
                <c:pt idx="46">
                  <c:v>1296981.6200000001</c:v>
                </c:pt>
                <c:pt idx="47">
                  <c:v>1250113.9100000001</c:v>
                </c:pt>
                <c:pt idx="48">
                  <c:v>1265255.71</c:v>
                </c:pt>
                <c:pt idx="49">
                  <c:v>1246479.3399999999</c:v>
                </c:pt>
                <c:pt idx="50">
                  <c:v>1240049.6000000001</c:v>
                </c:pt>
                <c:pt idx="51">
                  <c:v>1202264.4899999998</c:v>
                </c:pt>
                <c:pt idx="52">
                  <c:v>1149524.29</c:v>
                </c:pt>
                <c:pt idx="53">
                  <c:v>1171839.01</c:v>
                </c:pt>
                <c:pt idx="54">
                  <c:v>1165702.48</c:v>
                </c:pt>
                <c:pt idx="55">
                  <c:v>1171862.95</c:v>
                </c:pt>
                <c:pt idx="56">
                  <c:v>1191228.08</c:v>
                </c:pt>
                <c:pt idx="57">
                  <c:v>1152439.5800000003</c:v>
                </c:pt>
                <c:pt idx="58">
                  <c:v>1136628.9400000002</c:v>
                </c:pt>
                <c:pt idx="59">
                  <c:v>1113043.6100000001</c:v>
                </c:pt>
                <c:pt idx="60">
                  <c:v>1113333.7200000002</c:v>
                </c:pt>
                <c:pt idx="61">
                  <c:v>1158891.33</c:v>
                </c:pt>
                <c:pt idx="62">
                  <c:v>1165041.2000000002</c:v>
                </c:pt>
                <c:pt idx="63">
                  <c:v>1116642.74</c:v>
                </c:pt>
                <c:pt idx="64">
                  <c:v>1051687.03</c:v>
                </c:pt>
                <c:pt idx="65">
                  <c:v>977878.24</c:v>
                </c:pt>
                <c:pt idx="66">
                  <c:v>927834.08</c:v>
                </c:pt>
                <c:pt idx="67">
                  <c:v>935939.95</c:v>
                </c:pt>
                <c:pt idx="68">
                  <c:v>913406.77999999991</c:v>
                </c:pt>
                <c:pt idx="69">
                  <c:v>915865.33999999985</c:v>
                </c:pt>
                <c:pt idx="70">
                  <c:v>885755.25</c:v>
                </c:pt>
                <c:pt idx="71">
                  <c:v>833707.87</c:v>
                </c:pt>
                <c:pt idx="72">
                  <c:v>786844.55999999982</c:v>
                </c:pt>
                <c:pt idx="73">
                  <c:v>704392.95999999985</c:v>
                </c:pt>
                <c:pt idx="74">
                  <c:v>697537.46999999986</c:v>
                </c:pt>
                <c:pt idx="75">
                  <c:v>718071.77999999991</c:v>
                </c:pt>
                <c:pt idx="76">
                  <c:v>748700.41999999993</c:v>
                </c:pt>
                <c:pt idx="77">
                  <c:v>762385.28</c:v>
                </c:pt>
                <c:pt idx="78">
                  <c:v>770535.45</c:v>
                </c:pt>
                <c:pt idx="79">
                  <c:v>696862.95000000007</c:v>
                </c:pt>
                <c:pt idx="80">
                  <c:v>683938.65</c:v>
                </c:pt>
                <c:pt idx="81">
                  <c:v>667789.29999999993</c:v>
                </c:pt>
                <c:pt idx="82">
                  <c:v>651845.96</c:v>
                </c:pt>
                <c:pt idx="83">
                  <c:v>683475.37</c:v>
                </c:pt>
                <c:pt idx="84">
                  <c:v>723258.83</c:v>
                </c:pt>
                <c:pt idx="85">
                  <c:v>759265.8</c:v>
                </c:pt>
                <c:pt idx="86">
                  <c:v>739447.02</c:v>
                </c:pt>
                <c:pt idx="87">
                  <c:v>748131.85000000009</c:v>
                </c:pt>
                <c:pt idx="88">
                  <c:v>752249.52000000014</c:v>
                </c:pt>
                <c:pt idx="89">
                  <c:v>775659.18</c:v>
                </c:pt>
                <c:pt idx="90">
                  <c:v>796876.97000000009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0AC-4DDF-86B7-1EC5AD0E25FE}"/>
            </c:ext>
          </c:extLst>
        </c:ser>
        <c:ser>
          <c:idx val="4"/>
          <c:order val="3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sites'!$A$104:$A$200</c:f>
              <c:numCache>
                <c:formatCode>[$-40C]mmm\-aa;@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 formatCode="mmm\-aa">
                  <c:v>43101</c:v>
                </c:pt>
                <c:pt idx="38" formatCode="mmm\-aa">
                  <c:v>43132</c:v>
                </c:pt>
                <c:pt idx="39" formatCode="mmm\-aa">
                  <c:v>43160</c:v>
                </c:pt>
                <c:pt idx="40" formatCode="mmm\-aa">
                  <c:v>43191</c:v>
                </c:pt>
                <c:pt idx="41" formatCode="mmm\-aa">
                  <c:v>43221</c:v>
                </c:pt>
                <c:pt idx="42" formatCode="mmm\-aa">
                  <c:v>43252</c:v>
                </c:pt>
                <c:pt idx="43" formatCode="mmm\-aa">
                  <c:v>43282</c:v>
                </c:pt>
                <c:pt idx="44" formatCode="mmm\-aa">
                  <c:v>43313</c:v>
                </c:pt>
                <c:pt idx="45" formatCode="mmm\-aa">
                  <c:v>43344</c:v>
                </c:pt>
                <c:pt idx="46" formatCode="mmm\-aa">
                  <c:v>43374</c:v>
                </c:pt>
                <c:pt idx="47" formatCode="mmm\-aa">
                  <c:v>43405</c:v>
                </c:pt>
                <c:pt idx="48" formatCode="mmm\-aa">
                  <c:v>43435</c:v>
                </c:pt>
                <c:pt idx="49" formatCode="mmm\-aa">
                  <c:v>43466</c:v>
                </c:pt>
                <c:pt idx="50" formatCode="mmm\-aa">
                  <c:v>43497</c:v>
                </c:pt>
                <c:pt idx="51" formatCode="mmm\-aa">
                  <c:v>43525</c:v>
                </c:pt>
                <c:pt idx="52" formatCode="mmm\-aa">
                  <c:v>43556</c:v>
                </c:pt>
                <c:pt idx="53" formatCode="mmm\-aa">
                  <c:v>43586</c:v>
                </c:pt>
                <c:pt idx="54" formatCode="mmm\-aa">
                  <c:v>43617</c:v>
                </c:pt>
                <c:pt idx="55" formatCode="mmm\-aa">
                  <c:v>43647</c:v>
                </c:pt>
                <c:pt idx="56" formatCode="mmm\-aa">
                  <c:v>43678</c:v>
                </c:pt>
                <c:pt idx="57" formatCode="mmm\-aa">
                  <c:v>43709</c:v>
                </c:pt>
                <c:pt idx="58" formatCode="mmm\-aa">
                  <c:v>43739</c:v>
                </c:pt>
                <c:pt idx="59" formatCode="mmm\-aa">
                  <c:v>43770</c:v>
                </c:pt>
                <c:pt idx="60" formatCode="mmm\-aa">
                  <c:v>43800</c:v>
                </c:pt>
                <c:pt idx="61" formatCode="mmm\-aa">
                  <c:v>43831</c:v>
                </c:pt>
                <c:pt idx="62" formatCode="mmm\-aa">
                  <c:v>43862</c:v>
                </c:pt>
                <c:pt idx="63" formatCode="mmm\-aa">
                  <c:v>43891</c:v>
                </c:pt>
                <c:pt idx="64" formatCode="mmm\-aa">
                  <c:v>43922</c:v>
                </c:pt>
                <c:pt idx="65" formatCode="mmm\-aa">
                  <c:v>43952</c:v>
                </c:pt>
                <c:pt idx="66" formatCode="mmm\-aa">
                  <c:v>43983</c:v>
                </c:pt>
                <c:pt idx="67" formatCode="mmm\-aa">
                  <c:v>44013</c:v>
                </c:pt>
                <c:pt idx="68" formatCode="mmm\-aa">
                  <c:v>44044</c:v>
                </c:pt>
                <c:pt idx="69" formatCode="mmm\-aa">
                  <c:v>44075</c:v>
                </c:pt>
                <c:pt idx="70" formatCode="mmm\-aa">
                  <c:v>44105</c:v>
                </c:pt>
                <c:pt idx="71" formatCode="mmm\-aa">
                  <c:v>44136</c:v>
                </c:pt>
                <c:pt idx="72" formatCode="mmm\-aa">
                  <c:v>44166</c:v>
                </c:pt>
                <c:pt idx="73" formatCode="mmm\-aa">
                  <c:v>44197</c:v>
                </c:pt>
                <c:pt idx="74" formatCode="mmm\-aa">
                  <c:v>44228</c:v>
                </c:pt>
                <c:pt idx="75" formatCode="mmm\-aa">
                  <c:v>44256</c:v>
                </c:pt>
                <c:pt idx="76" formatCode="mmm\-aa">
                  <c:v>44287</c:v>
                </c:pt>
                <c:pt idx="77" formatCode="mmm\-aa">
                  <c:v>44317</c:v>
                </c:pt>
                <c:pt idx="78" formatCode="mmm\-aa">
                  <c:v>44348</c:v>
                </c:pt>
                <c:pt idx="79" formatCode="mmm\-aa">
                  <c:v>44378</c:v>
                </c:pt>
                <c:pt idx="80" formatCode="mmm\-aa">
                  <c:v>44409</c:v>
                </c:pt>
                <c:pt idx="81" formatCode="mmm\-aa">
                  <c:v>44440</c:v>
                </c:pt>
                <c:pt idx="82" formatCode="mmm\-aa">
                  <c:v>44470</c:v>
                </c:pt>
                <c:pt idx="83" formatCode="mmm\-aa">
                  <c:v>44501</c:v>
                </c:pt>
                <c:pt idx="84" formatCode="mmm\-aa">
                  <c:v>44531</c:v>
                </c:pt>
                <c:pt idx="85" formatCode="mmm\-aa">
                  <c:v>44562</c:v>
                </c:pt>
                <c:pt idx="86" formatCode="mmm\-aa">
                  <c:v>44593</c:v>
                </c:pt>
                <c:pt idx="87" formatCode="mmm\-aa">
                  <c:v>44621</c:v>
                </c:pt>
                <c:pt idx="88" formatCode="mmm\-aa">
                  <c:v>44652</c:v>
                </c:pt>
                <c:pt idx="89" formatCode="mmm\-aa">
                  <c:v>44682</c:v>
                </c:pt>
                <c:pt idx="90" formatCode="mmm\-aa">
                  <c:v>44713</c:v>
                </c:pt>
                <c:pt idx="91" formatCode="mmm\-aa">
                  <c:v>44743</c:v>
                </c:pt>
                <c:pt idx="92" formatCode="mmm\-aa">
                  <c:v>44774</c:v>
                </c:pt>
                <c:pt idx="93" formatCode="mmm\-aa">
                  <c:v>44805</c:v>
                </c:pt>
                <c:pt idx="94" formatCode="mmm\-aa">
                  <c:v>44835</c:v>
                </c:pt>
                <c:pt idx="95" formatCode="mmm\-aa">
                  <c:v>44866</c:v>
                </c:pt>
                <c:pt idx="96" formatCode="mmm\-aa">
                  <c:v>44896</c:v>
                </c:pt>
              </c:numCache>
            </c:numRef>
          </c:cat>
          <c:val>
            <c:numRef>
              <c:f>'12M glissant produits &amp; sites'!$E$104:$E$200</c:f>
              <c:numCache>
                <c:formatCode>_-* #\ ##0\ [$€-40C]_-;\-* #\ ##0\ [$€-40C]_-;_-* "-"??\ [$€-40C]_-;_-@_-</c:formatCode>
                <c:ptCount val="97"/>
                <c:pt idx="0">
                  <c:v>311353.84000000003</c:v>
                </c:pt>
                <c:pt idx="1">
                  <c:v>312968.31</c:v>
                </c:pt>
                <c:pt idx="2">
                  <c:v>309734.58</c:v>
                </c:pt>
                <c:pt idx="3">
                  <c:v>310626.59000000008</c:v>
                </c:pt>
                <c:pt idx="4">
                  <c:v>315472.15000000008</c:v>
                </c:pt>
                <c:pt idx="5">
                  <c:v>302198.31000000006</c:v>
                </c:pt>
                <c:pt idx="6">
                  <c:v>324941.78000000009</c:v>
                </c:pt>
                <c:pt idx="7">
                  <c:v>312695.36000000004</c:v>
                </c:pt>
                <c:pt idx="8">
                  <c:v>328032.81000000006</c:v>
                </c:pt>
                <c:pt idx="9">
                  <c:v>357456.84</c:v>
                </c:pt>
                <c:pt idx="10">
                  <c:v>365225.52</c:v>
                </c:pt>
                <c:pt idx="11">
                  <c:v>372432.26</c:v>
                </c:pt>
                <c:pt idx="12">
                  <c:v>369458.94000000006</c:v>
                </c:pt>
                <c:pt idx="13">
                  <c:v>370848.35000000003</c:v>
                </c:pt>
                <c:pt idx="14">
                  <c:v>375353.46000000008</c:v>
                </c:pt>
                <c:pt idx="15">
                  <c:v>383056.36</c:v>
                </c:pt>
                <c:pt idx="16">
                  <c:v>382256.55000000005</c:v>
                </c:pt>
                <c:pt idx="17">
                  <c:v>391785.52</c:v>
                </c:pt>
                <c:pt idx="18">
                  <c:v>365880.35</c:v>
                </c:pt>
                <c:pt idx="19">
                  <c:v>369903.81</c:v>
                </c:pt>
                <c:pt idx="20">
                  <c:v>352282.45</c:v>
                </c:pt>
                <c:pt idx="21">
                  <c:v>339455.24000000005</c:v>
                </c:pt>
                <c:pt idx="22">
                  <c:v>325038.73000000004</c:v>
                </c:pt>
                <c:pt idx="23">
                  <c:v>322062.13</c:v>
                </c:pt>
                <c:pt idx="24">
                  <c:v>327127.77</c:v>
                </c:pt>
                <c:pt idx="25">
                  <c:v>321983.71000000002</c:v>
                </c:pt>
                <c:pt idx="26">
                  <c:v>333680.81</c:v>
                </c:pt>
                <c:pt idx="27">
                  <c:v>322640.71000000002</c:v>
                </c:pt>
                <c:pt idx="28">
                  <c:v>314405.40999999997</c:v>
                </c:pt>
                <c:pt idx="29">
                  <c:v>306669.40000000002</c:v>
                </c:pt>
                <c:pt idx="30">
                  <c:v>280918.74000000005</c:v>
                </c:pt>
                <c:pt idx="31">
                  <c:v>277253.07</c:v>
                </c:pt>
                <c:pt idx="32">
                  <c:v>272312.56999999995</c:v>
                </c:pt>
                <c:pt idx="33">
                  <c:v>254089.41999999998</c:v>
                </c:pt>
                <c:pt idx="34">
                  <c:v>263256.25</c:v>
                </c:pt>
                <c:pt idx="35">
                  <c:v>250837.22</c:v>
                </c:pt>
                <c:pt idx="36">
                  <c:v>244955.25</c:v>
                </c:pt>
                <c:pt idx="37">
                  <c:v>245576.81999999998</c:v>
                </c:pt>
                <c:pt idx="38">
                  <c:v>226819.8</c:v>
                </c:pt>
                <c:pt idx="39">
                  <c:v>223753.36000000002</c:v>
                </c:pt>
                <c:pt idx="40">
                  <c:v>219937.27</c:v>
                </c:pt>
                <c:pt idx="41">
                  <c:v>224470.59999999998</c:v>
                </c:pt>
                <c:pt idx="42">
                  <c:v>250949.46000000002</c:v>
                </c:pt>
                <c:pt idx="43">
                  <c:v>259572.92000000004</c:v>
                </c:pt>
                <c:pt idx="44">
                  <c:v>271252.3</c:v>
                </c:pt>
                <c:pt idx="45">
                  <c:v>268410.97000000003</c:v>
                </c:pt>
                <c:pt idx="46">
                  <c:v>256369.06</c:v>
                </c:pt>
                <c:pt idx="47">
                  <c:v>263485.83</c:v>
                </c:pt>
                <c:pt idx="48">
                  <c:v>255970.53000000003</c:v>
                </c:pt>
                <c:pt idx="49">
                  <c:v>250465.28</c:v>
                </c:pt>
                <c:pt idx="50">
                  <c:v>242310.02999999997</c:v>
                </c:pt>
                <c:pt idx="51">
                  <c:v>237465.94</c:v>
                </c:pt>
                <c:pt idx="52">
                  <c:v>236230.27999999997</c:v>
                </c:pt>
                <c:pt idx="53">
                  <c:v>226776.28999999995</c:v>
                </c:pt>
                <c:pt idx="54">
                  <c:v>200132.13</c:v>
                </c:pt>
                <c:pt idx="55">
                  <c:v>182299.71</c:v>
                </c:pt>
                <c:pt idx="56">
                  <c:v>170571.62999999998</c:v>
                </c:pt>
                <c:pt idx="57">
                  <c:v>169041.89999999997</c:v>
                </c:pt>
                <c:pt idx="58">
                  <c:v>163363.30999999997</c:v>
                </c:pt>
                <c:pt idx="59">
                  <c:v>148657.84000000003</c:v>
                </c:pt>
                <c:pt idx="60">
                  <c:v>164803.09</c:v>
                </c:pt>
                <c:pt idx="61">
                  <c:v>156363.52000000002</c:v>
                </c:pt>
                <c:pt idx="62">
                  <c:v>150847.00000000003</c:v>
                </c:pt>
                <c:pt idx="63">
                  <c:v>132978.32999999999</c:v>
                </c:pt>
                <c:pt idx="64">
                  <c:v>114463.15</c:v>
                </c:pt>
                <c:pt idx="65">
                  <c:v>108853.48</c:v>
                </c:pt>
                <c:pt idx="66">
                  <c:v>97912.8</c:v>
                </c:pt>
                <c:pt idx="67">
                  <c:v>99199.67</c:v>
                </c:pt>
                <c:pt idx="68">
                  <c:v>99715.510000000009</c:v>
                </c:pt>
                <c:pt idx="69">
                  <c:v>89839.11</c:v>
                </c:pt>
                <c:pt idx="70">
                  <c:v>85140.319999999992</c:v>
                </c:pt>
                <c:pt idx="71">
                  <c:v>76145.83</c:v>
                </c:pt>
                <c:pt idx="72">
                  <c:v>51093.759999999995</c:v>
                </c:pt>
                <c:pt idx="73">
                  <c:v>50080.6</c:v>
                </c:pt>
                <c:pt idx="74">
                  <c:v>51873.909999999996</c:v>
                </c:pt>
                <c:pt idx="75">
                  <c:v>58573.569999999992</c:v>
                </c:pt>
                <c:pt idx="76">
                  <c:v>67534.189999999988</c:v>
                </c:pt>
                <c:pt idx="77">
                  <c:v>74032.78</c:v>
                </c:pt>
                <c:pt idx="78">
                  <c:v>80979.73000000001</c:v>
                </c:pt>
                <c:pt idx="79">
                  <c:v>80008.94</c:v>
                </c:pt>
                <c:pt idx="80">
                  <c:v>79334.460000000006</c:v>
                </c:pt>
                <c:pt idx="81">
                  <c:v>88692.049999999988</c:v>
                </c:pt>
                <c:pt idx="82">
                  <c:v>95136.94</c:v>
                </c:pt>
                <c:pt idx="83">
                  <c:v>99676.89999999998</c:v>
                </c:pt>
                <c:pt idx="84">
                  <c:v>106457.01999999999</c:v>
                </c:pt>
                <c:pt idx="85">
                  <c:v>109160.31999999998</c:v>
                </c:pt>
                <c:pt idx="86">
                  <c:v>107619.95999999998</c:v>
                </c:pt>
                <c:pt idx="87">
                  <c:v>102884.88</c:v>
                </c:pt>
                <c:pt idx="88">
                  <c:v>95820.87000000001</c:v>
                </c:pt>
                <c:pt idx="89">
                  <c:v>85039.8</c:v>
                </c:pt>
                <c:pt idx="90">
                  <c:v>82643.48000000001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B0AC-4DDF-86B7-1EC5AD0E25FE}"/>
            </c:ext>
          </c:extLst>
        </c:ser>
        <c:ser>
          <c:idx val="5"/>
          <c:order val="4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sites'!$A$104:$A$200</c:f>
              <c:numCache>
                <c:formatCode>[$-40C]mmm\-aa;@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 formatCode="mmm\-aa">
                  <c:v>43101</c:v>
                </c:pt>
                <c:pt idx="38" formatCode="mmm\-aa">
                  <c:v>43132</c:v>
                </c:pt>
                <c:pt idx="39" formatCode="mmm\-aa">
                  <c:v>43160</c:v>
                </c:pt>
                <c:pt idx="40" formatCode="mmm\-aa">
                  <c:v>43191</c:v>
                </c:pt>
                <c:pt idx="41" formatCode="mmm\-aa">
                  <c:v>43221</c:v>
                </c:pt>
                <c:pt idx="42" formatCode="mmm\-aa">
                  <c:v>43252</c:v>
                </c:pt>
                <c:pt idx="43" formatCode="mmm\-aa">
                  <c:v>43282</c:v>
                </c:pt>
                <c:pt idx="44" formatCode="mmm\-aa">
                  <c:v>43313</c:v>
                </c:pt>
                <c:pt idx="45" formatCode="mmm\-aa">
                  <c:v>43344</c:v>
                </c:pt>
                <c:pt idx="46" formatCode="mmm\-aa">
                  <c:v>43374</c:v>
                </c:pt>
                <c:pt idx="47" formatCode="mmm\-aa">
                  <c:v>43405</c:v>
                </c:pt>
                <c:pt idx="48" formatCode="mmm\-aa">
                  <c:v>43435</c:v>
                </c:pt>
                <c:pt idx="49" formatCode="mmm\-aa">
                  <c:v>43466</c:v>
                </c:pt>
                <c:pt idx="50" formatCode="mmm\-aa">
                  <c:v>43497</c:v>
                </c:pt>
                <c:pt idx="51" formatCode="mmm\-aa">
                  <c:v>43525</c:v>
                </c:pt>
                <c:pt idx="52" formatCode="mmm\-aa">
                  <c:v>43556</c:v>
                </c:pt>
                <c:pt idx="53" formatCode="mmm\-aa">
                  <c:v>43586</c:v>
                </c:pt>
                <c:pt idx="54" formatCode="mmm\-aa">
                  <c:v>43617</c:v>
                </c:pt>
                <c:pt idx="55" formatCode="mmm\-aa">
                  <c:v>43647</c:v>
                </c:pt>
                <c:pt idx="56" formatCode="mmm\-aa">
                  <c:v>43678</c:v>
                </c:pt>
                <c:pt idx="57" formatCode="mmm\-aa">
                  <c:v>43709</c:v>
                </c:pt>
                <c:pt idx="58" formatCode="mmm\-aa">
                  <c:v>43739</c:v>
                </c:pt>
                <c:pt idx="59" formatCode="mmm\-aa">
                  <c:v>43770</c:v>
                </c:pt>
                <c:pt idx="60" formatCode="mmm\-aa">
                  <c:v>43800</c:v>
                </c:pt>
                <c:pt idx="61" formatCode="mmm\-aa">
                  <c:v>43831</c:v>
                </c:pt>
                <c:pt idx="62" formatCode="mmm\-aa">
                  <c:v>43862</c:v>
                </c:pt>
                <c:pt idx="63" formatCode="mmm\-aa">
                  <c:v>43891</c:v>
                </c:pt>
                <c:pt idx="64" formatCode="mmm\-aa">
                  <c:v>43922</c:v>
                </c:pt>
                <c:pt idx="65" formatCode="mmm\-aa">
                  <c:v>43952</c:v>
                </c:pt>
                <c:pt idx="66" formatCode="mmm\-aa">
                  <c:v>43983</c:v>
                </c:pt>
                <c:pt idx="67" formatCode="mmm\-aa">
                  <c:v>44013</c:v>
                </c:pt>
                <c:pt idx="68" formatCode="mmm\-aa">
                  <c:v>44044</c:v>
                </c:pt>
                <c:pt idx="69" formatCode="mmm\-aa">
                  <c:v>44075</c:v>
                </c:pt>
                <c:pt idx="70" formatCode="mmm\-aa">
                  <c:v>44105</c:v>
                </c:pt>
                <c:pt idx="71" formatCode="mmm\-aa">
                  <c:v>44136</c:v>
                </c:pt>
                <c:pt idx="72" formatCode="mmm\-aa">
                  <c:v>44166</c:v>
                </c:pt>
                <c:pt idx="73" formatCode="mmm\-aa">
                  <c:v>44197</c:v>
                </c:pt>
                <c:pt idx="74" formatCode="mmm\-aa">
                  <c:v>44228</c:v>
                </c:pt>
                <c:pt idx="75" formatCode="mmm\-aa">
                  <c:v>44256</c:v>
                </c:pt>
                <c:pt idx="76" formatCode="mmm\-aa">
                  <c:v>44287</c:v>
                </c:pt>
                <c:pt idx="77" formatCode="mmm\-aa">
                  <c:v>44317</c:v>
                </c:pt>
                <c:pt idx="78" formatCode="mmm\-aa">
                  <c:v>44348</c:v>
                </c:pt>
                <c:pt idx="79" formatCode="mmm\-aa">
                  <c:v>44378</c:v>
                </c:pt>
                <c:pt idx="80" formatCode="mmm\-aa">
                  <c:v>44409</c:v>
                </c:pt>
                <c:pt idx="81" formatCode="mmm\-aa">
                  <c:v>44440</c:v>
                </c:pt>
                <c:pt idx="82" formatCode="mmm\-aa">
                  <c:v>44470</c:v>
                </c:pt>
                <c:pt idx="83" formatCode="mmm\-aa">
                  <c:v>44501</c:v>
                </c:pt>
                <c:pt idx="84" formatCode="mmm\-aa">
                  <c:v>44531</c:v>
                </c:pt>
                <c:pt idx="85" formatCode="mmm\-aa">
                  <c:v>44562</c:v>
                </c:pt>
                <c:pt idx="86" formatCode="mmm\-aa">
                  <c:v>44593</c:v>
                </c:pt>
                <c:pt idx="87" formatCode="mmm\-aa">
                  <c:v>44621</c:v>
                </c:pt>
                <c:pt idx="88" formatCode="mmm\-aa">
                  <c:v>44652</c:v>
                </c:pt>
                <c:pt idx="89" formatCode="mmm\-aa">
                  <c:v>44682</c:v>
                </c:pt>
                <c:pt idx="90" formatCode="mmm\-aa">
                  <c:v>44713</c:v>
                </c:pt>
                <c:pt idx="91" formatCode="mmm\-aa">
                  <c:v>44743</c:v>
                </c:pt>
                <c:pt idx="92" formatCode="mmm\-aa">
                  <c:v>44774</c:v>
                </c:pt>
                <c:pt idx="93" formatCode="mmm\-aa">
                  <c:v>44805</c:v>
                </c:pt>
                <c:pt idx="94" formatCode="mmm\-aa">
                  <c:v>44835</c:v>
                </c:pt>
                <c:pt idx="95" formatCode="mmm\-aa">
                  <c:v>44866</c:v>
                </c:pt>
                <c:pt idx="96" formatCode="mmm\-aa">
                  <c:v>44896</c:v>
                </c:pt>
              </c:numCache>
            </c:numRef>
          </c:cat>
          <c:val>
            <c:numRef>
              <c:f>'12M glissant produits &amp; sites'!$F$104:$F$200</c:f>
              <c:numCache>
                <c:formatCode>_-* #\ ##0\ [$€-40C]_-;\-* #\ ##0\ [$€-40C]_-;_-* "-"??\ [$€-40C]_-;_-@_-</c:formatCode>
                <c:ptCount val="97"/>
                <c:pt idx="0">
                  <c:v>357561.68</c:v>
                </c:pt>
                <c:pt idx="1">
                  <c:v>359383.03</c:v>
                </c:pt>
                <c:pt idx="2">
                  <c:v>354947.03</c:v>
                </c:pt>
                <c:pt idx="3">
                  <c:v>350572.1</c:v>
                </c:pt>
                <c:pt idx="4">
                  <c:v>355331.39</c:v>
                </c:pt>
                <c:pt idx="5">
                  <c:v>336538.19</c:v>
                </c:pt>
                <c:pt idx="6">
                  <c:v>348493.77</c:v>
                </c:pt>
                <c:pt idx="7">
                  <c:v>346871.16</c:v>
                </c:pt>
                <c:pt idx="8">
                  <c:v>345338.69</c:v>
                </c:pt>
                <c:pt idx="9">
                  <c:v>347793.74999999994</c:v>
                </c:pt>
                <c:pt idx="10">
                  <c:v>342771.01999999996</c:v>
                </c:pt>
                <c:pt idx="11">
                  <c:v>346407.80999999994</c:v>
                </c:pt>
                <c:pt idx="12">
                  <c:v>343431.77999999991</c:v>
                </c:pt>
                <c:pt idx="13">
                  <c:v>337602.40999999992</c:v>
                </c:pt>
                <c:pt idx="14">
                  <c:v>336427.50999999995</c:v>
                </c:pt>
                <c:pt idx="15">
                  <c:v>335191.86</c:v>
                </c:pt>
                <c:pt idx="16">
                  <c:v>333034.56999999995</c:v>
                </c:pt>
                <c:pt idx="17">
                  <c:v>342309.94999999995</c:v>
                </c:pt>
                <c:pt idx="18">
                  <c:v>332736.62999999995</c:v>
                </c:pt>
                <c:pt idx="19">
                  <c:v>325996.86</c:v>
                </c:pt>
                <c:pt idx="20">
                  <c:v>324275.13999999996</c:v>
                </c:pt>
                <c:pt idx="21">
                  <c:v>309327.79999999993</c:v>
                </c:pt>
                <c:pt idx="22">
                  <c:v>306752.70999999996</c:v>
                </c:pt>
                <c:pt idx="23">
                  <c:v>288675.14</c:v>
                </c:pt>
                <c:pt idx="24">
                  <c:v>283495.08</c:v>
                </c:pt>
                <c:pt idx="25">
                  <c:v>283652.53000000003</c:v>
                </c:pt>
                <c:pt idx="26">
                  <c:v>272616.27</c:v>
                </c:pt>
                <c:pt idx="27">
                  <c:v>275152.78999999998</c:v>
                </c:pt>
                <c:pt idx="28">
                  <c:v>262247.74</c:v>
                </c:pt>
                <c:pt idx="29">
                  <c:v>255333.37</c:v>
                </c:pt>
                <c:pt idx="30">
                  <c:v>241920.35000000003</c:v>
                </c:pt>
                <c:pt idx="31">
                  <c:v>243002.64000000004</c:v>
                </c:pt>
                <c:pt idx="32">
                  <c:v>240315.31000000006</c:v>
                </c:pt>
                <c:pt idx="33">
                  <c:v>238635.80000000005</c:v>
                </c:pt>
                <c:pt idx="34">
                  <c:v>236902.41</c:v>
                </c:pt>
                <c:pt idx="35">
                  <c:v>237232.50999999998</c:v>
                </c:pt>
                <c:pt idx="36">
                  <c:v>233177.23999999996</c:v>
                </c:pt>
                <c:pt idx="37">
                  <c:v>238297.13</c:v>
                </c:pt>
                <c:pt idx="38">
                  <c:v>236927.07</c:v>
                </c:pt>
                <c:pt idx="39">
                  <c:v>237350.97000000003</c:v>
                </c:pt>
                <c:pt idx="40">
                  <c:v>241217.63</c:v>
                </c:pt>
                <c:pt idx="41">
                  <c:v>233245.49000000002</c:v>
                </c:pt>
                <c:pt idx="42">
                  <c:v>231133.06</c:v>
                </c:pt>
                <c:pt idx="43">
                  <c:v>232486.63</c:v>
                </c:pt>
                <c:pt idx="44">
                  <c:v>230779.28</c:v>
                </c:pt>
                <c:pt idx="45">
                  <c:v>235018.54</c:v>
                </c:pt>
                <c:pt idx="46">
                  <c:v>229088.66999999998</c:v>
                </c:pt>
                <c:pt idx="47">
                  <c:v>222940.96</c:v>
                </c:pt>
                <c:pt idx="48">
                  <c:v>211414.13999999998</c:v>
                </c:pt>
                <c:pt idx="49">
                  <c:v>200421.06999999998</c:v>
                </c:pt>
                <c:pt idx="50">
                  <c:v>196862.87</c:v>
                </c:pt>
                <c:pt idx="51">
                  <c:v>184813.96</c:v>
                </c:pt>
                <c:pt idx="52">
                  <c:v>180797.35</c:v>
                </c:pt>
                <c:pt idx="53">
                  <c:v>181809.99</c:v>
                </c:pt>
                <c:pt idx="54">
                  <c:v>182427.40999999997</c:v>
                </c:pt>
                <c:pt idx="55">
                  <c:v>176698.94000000003</c:v>
                </c:pt>
                <c:pt idx="56">
                  <c:v>178402.33000000002</c:v>
                </c:pt>
                <c:pt idx="57">
                  <c:v>171294.45</c:v>
                </c:pt>
                <c:pt idx="58">
                  <c:v>164341.99</c:v>
                </c:pt>
                <c:pt idx="59">
                  <c:v>162323.53</c:v>
                </c:pt>
                <c:pt idx="60">
                  <c:v>176098.16999999998</c:v>
                </c:pt>
                <c:pt idx="61">
                  <c:v>166988.24000000002</c:v>
                </c:pt>
                <c:pt idx="62">
                  <c:v>167335.6</c:v>
                </c:pt>
                <c:pt idx="63">
                  <c:v>170036.29</c:v>
                </c:pt>
                <c:pt idx="64">
                  <c:v>159722.49000000002</c:v>
                </c:pt>
                <c:pt idx="65">
                  <c:v>147460.17000000001</c:v>
                </c:pt>
                <c:pt idx="66">
                  <c:v>153465.11000000002</c:v>
                </c:pt>
                <c:pt idx="67">
                  <c:v>145495.61000000002</c:v>
                </c:pt>
                <c:pt idx="68">
                  <c:v>143518.22000000003</c:v>
                </c:pt>
                <c:pt idx="69">
                  <c:v>140357.09</c:v>
                </c:pt>
                <c:pt idx="70">
                  <c:v>145538.22999999998</c:v>
                </c:pt>
                <c:pt idx="71">
                  <c:v>146622.68000000002</c:v>
                </c:pt>
                <c:pt idx="72">
                  <c:v>137206.94</c:v>
                </c:pt>
                <c:pt idx="73">
                  <c:v>137394.11000000002</c:v>
                </c:pt>
                <c:pt idx="74">
                  <c:v>133745.58000000002</c:v>
                </c:pt>
                <c:pt idx="75">
                  <c:v>128391.37999999998</c:v>
                </c:pt>
                <c:pt idx="76">
                  <c:v>138590.70000000001</c:v>
                </c:pt>
                <c:pt idx="77">
                  <c:v>139497.4</c:v>
                </c:pt>
                <c:pt idx="78">
                  <c:v>129812.68000000001</c:v>
                </c:pt>
                <c:pt idx="79">
                  <c:v>127960.93000000001</c:v>
                </c:pt>
                <c:pt idx="80">
                  <c:v>120763.62000000001</c:v>
                </c:pt>
                <c:pt idx="81">
                  <c:v>120683.53</c:v>
                </c:pt>
                <c:pt idx="82">
                  <c:v>119359.73</c:v>
                </c:pt>
                <c:pt idx="83">
                  <c:v>110763.4</c:v>
                </c:pt>
                <c:pt idx="84">
                  <c:v>105294.99999999999</c:v>
                </c:pt>
                <c:pt idx="85">
                  <c:v>107677.73999999999</c:v>
                </c:pt>
                <c:pt idx="86">
                  <c:v>114042.90999999999</c:v>
                </c:pt>
                <c:pt idx="87">
                  <c:v>113506</c:v>
                </c:pt>
                <c:pt idx="88">
                  <c:v>113181.73999999999</c:v>
                </c:pt>
                <c:pt idx="89">
                  <c:v>122915.82</c:v>
                </c:pt>
                <c:pt idx="90">
                  <c:v>121112.67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B0AC-4DDF-86B7-1EC5AD0E25FE}"/>
            </c:ext>
          </c:extLst>
        </c:ser>
        <c:ser>
          <c:idx val="6"/>
          <c:order val="5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sites'!$A$104:$A$200</c:f>
              <c:numCache>
                <c:formatCode>[$-40C]mmm\-aa;@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 formatCode="mmm\-aa">
                  <c:v>43101</c:v>
                </c:pt>
                <c:pt idx="38" formatCode="mmm\-aa">
                  <c:v>43132</c:v>
                </c:pt>
                <c:pt idx="39" formatCode="mmm\-aa">
                  <c:v>43160</c:v>
                </c:pt>
                <c:pt idx="40" formatCode="mmm\-aa">
                  <c:v>43191</c:v>
                </c:pt>
                <c:pt idx="41" formatCode="mmm\-aa">
                  <c:v>43221</c:v>
                </c:pt>
                <c:pt idx="42" formatCode="mmm\-aa">
                  <c:v>43252</c:v>
                </c:pt>
                <c:pt idx="43" formatCode="mmm\-aa">
                  <c:v>43282</c:v>
                </c:pt>
                <c:pt idx="44" formatCode="mmm\-aa">
                  <c:v>43313</c:v>
                </c:pt>
                <c:pt idx="45" formatCode="mmm\-aa">
                  <c:v>43344</c:v>
                </c:pt>
                <c:pt idx="46" formatCode="mmm\-aa">
                  <c:v>43374</c:v>
                </c:pt>
                <c:pt idx="47" formatCode="mmm\-aa">
                  <c:v>43405</c:v>
                </c:pt>
                <c:pt idx="48" formatCode="mmm\-aa">
                  <c:v>43435</c:v>
                </c:pt>
                <c:pt idx="49" formatCode="mmm\-aa">
                  <c:v>43466</c:v>
                </c:pt>
                <c:pt idx="50" formatCode="mmm\-aa">
                  <c:v>43497</c:v>
                </c:pt>
                <c:pt idx="51" formatCode="mmm\-aa">
                  <c:v>43525</c:v>
                </c:pt>
                <c:pt idx="52" formatCode="mmm\-aa">
                  <c:v>43556</c:v>
                </c:pt>
                <c:pt idx="53" formatCode="mmm\-aa">
                  <c:v>43586</c:v>
                </c:pt>
                <c:pt idx="54" formatCode="mmm\-aa">
                  <c:v>43617</c:v>
                </c:pt>
                <c:pt idx="55" formatCode="mmm\-aa">
                  <c:v>43647</c:v>
                </c:pt>
                <c:pt idx="56" formatCode="mmm\-aa">
                  <c:v>43678</c:v>
                </c:pt>
                <c:pt idx="57" formatCode="mmm\-aa">
                  <c:v>43709</c:v>
                </c:pt>
                <c:pt idx="58" formatCode="mmm\-aa">
                  <c:v>43739</c:v>
                </c:pt>
                <c:pt idx="59" formatCode="mmm\-aa">
                  <c:v>43770</c:v>
                </c:pt>
                <c:pt idx="60" formatCode="mmm\-aa">
                  <c:v>43800</c:v>
                </c:pt>
                <c:pt idx="61" formatCode="mmm\-aa">
                  <c:v>43831</c:v>
                </c:pt>
                <c:pt idx="62" formatCode="mmm\-aa">
                  <c:v>43862</c:v>
                </c:pt>
                <c:pt idx="63" formatCode="mmm\-aa">
                  <c:v>43891</c:v>
                </c:pt>
                <c:pt idx="64" formatCode="mmm\-aa">
                  <c:v>43922</c:v>
                </c:pt>
                <c:pt idx="65" formatCode="mmm\-aa">
                  <c:v>43952</c:v>
                </c:pt>
                <c:pt idx="66" formatCode="mmm\-aa">
                  <c:v>43983</c:v>
                </c:pt>
                <c:pt idx="67" formatCode="mmm\-aa">
                  <c:v>44013</c:v>
                </c:pt>
                <c:pt idx="68" formatCode="mmm\-aa">
                  <c:v>44044</c:v>
                </c:pt>
                <c:pt idx="69" formatCode="mmm\-aa">
                  <c:v>44075</c:v>
                </c:pt>
                <c:pt idx="70" formatCode="mmm\-aa">
                  <c:v>44105</c:v>
                </c:pt>
                <c:pt idx="71" formatCode="mmm\-aa">
                  <c:v>44136</c:v>
                </c:pt>
                <c:pt idx="72" formatCode="mmm\-aa">
                  <c:v>44166</c:v>
                </c:pt>
                <c:pt idx="73" formatCode="mmm\-aa">
                  <c:v>44197</c:v>
                </c:pt>
                <c:pt idx="74" formatCode="mmm\-aa">
                  <c:v>44228</c:v>
                </c:pt>
                <c:pt idx="75" formatCode="mmm\-aa">
                  <c:v>44256</c:v>
                </c:pt>
                <c:pt idx="76" formatCode="mmm\-aa">
                  <c:v>44287</c:v>
                </c:pt>
                <c:pt idx="77" formatCode="mmm\-aa">
                  <c:v>44317</c:v>
                </c:pt>
                <c:pt idx="78" formatCode="mmm\-aa">
                  <c:v>44348</c:v>
                </c:pt>
                <c:pt idx="79" formatCode="mmm\-aa">
                  <c:v>44378</c:v>
                </c:pt>
                <c:pt idx="80" formatCode="mmm\-aa">
                  <c:v>44409</c:v>
                </c:pt>
                <c:pt idx="81" formatCode="mmm\-aa">
                  <c:v>44440</c:v>
                </c:pt>
                <c:pt idx="82" formatCode="mmm\-aa">
                  <c:v>44470</c:v>
                </c:pt>
                <c:pt idx="83" formatCode="mmm\-aa">
                  <c:v>44501</c:v>
                </c:pt>
                <c:pt idx="84" formatCode="mmm\-aa">
                  <c:v>44531</c:v>
                </c:pt>
                <c:pt idx="85" formatCode="mmm\-aa">
                  <c:v>44562</c:v>
                </c:pt>
                <c:pt idx="86" formatCode="mmm\-aa">
                  <c:v>44593</c:v>
                </c:pt>
                <c:pt idx="87" formatCode="mmm\-aa">
                  <c:v>44621</c:v>
                </c:pt>
                <c:pt idx="88" formatCode="mmm\-aa">
                  <c:v>44652</c:v>
                </c:pt>
                <c:pt idx="89" formatCode="mmm\-aa">
                  <c:v>44682</c:v>
                </c:pt>
                <c:pt idx="90" formatCode="mmm\-aa">
                  <c:v>44713</c:v>
                </c:pt>
                <c:pt idx="91" formatCode="mmm\-aa">
                  <c:v>44743</c:v>
                </c:pt>
                <c:pt idx="92" formatCode="mmm\-aa">
                  <c:v>44774</c:v>
                </c:pt>
                <c:pt idx="93" formatCode="mmm\-aa">
                  <c:v>44805</c:v>
                </c:pt>
                <c:pt idx="94" formatCode="mmm\-aa">
                  <c:v>44835</c:v>
                </c:pt>
                <c:pt idx="95" formatCode="mmm\-aa">
                  <c:v>44866</c:v>
                </c:pt>
                <c:pt idx="96" formatCode="mmm\-aa">
                  <c:v>44896</c:v>
                </c:pt>
              </c:numCache>
            </c:numRef>
          </c:cat>
          <c:val>
            <c:numRef>
              <c:f>'12M glissant produits &amp; sites'!$G$104:$G$200</c:f>
              <c:numCache>
                <c:formatCode>_-* #\ ##0\ [$€-40C]_-;\-* #\ ##0\ [$€-40C]_-;_-* "-"??\ [$€-40C]_-;_-@_-</c:formatCode>
                <c:ptCount val="97"/>
                <c:pt idx="0">
                  <c:v>78138.579999999987</c:v>
                </c:pt>
                <c:pt idx="1">
                  <c:v>79152.339999999982</c:v>
                </c:pt>
                <c:pt idx="2">
                  <c:v>83686.049999999988</c:v>
                </c:pt>
                <c:pt idx="3">
                  <c:v>92579.919999999984</c:v>
                </c:pt>
                <c:pt idx="4">
                  <c:v>94041.459999999977</c:v>
                </c:pt>
                <c:pt idx="5">
                  <c:v>91156.14999999998</c:v>
                </c:pt>
                <c:pt idx="6">
                  <c:v>92823.769999999975</c:v>
                </c:pt>
                <c:pt idx="7">
                  <c:v>88009.789999999979</c:v>
                </c:pt>
                <c:pt idx="8">
                  <c:v>87130.049999999988</c:v>
                </c:pt>
                <c:pt idx="9">
                  <c:v>81563.16</c:v>
                </c:pt>
                <c:pt idx="10">
                  <c:v>81757.42</c:v>
                </c:pt>
                <c:pt idx="11">
                  <c:v>81352.780000000013</c:v>
                </c:pt>
                <c:pt idx="12">
                  <c:v>80279.520000000019</c:v>
                </c:pt>
                <c:pt idx="13">
                  <c:v>77369.220000000016</c:v>
                </c:pt>
                <c:pt idx="14">
                  <c:v>71110.13</c:v>
                </c:pt>
                <c:pt idx="15">
                  <c:v>69513.69</c:v>
                </c:pt>
                <c:pt idx="16">
                  <c:v>77606.350000000006</c:v>
                </c:pt>
                <c:pt idx="17">
                  <c:v>83732.13</c:v>
                </c:pt>
                <c:pt idx="18">
                  <c:v>90341.6</c:v>
                </c:pt>
                <c:pt idx="19">
                  <c:v>92105.17</c:v>
                </c:pt>
                <c:pt idx="20">
                  <c:v>92019.8</c:v>
                </c:pt>
                <c:pt idx="21">
                  <c:v>92446.28</c:v>
                </c:pt>
                <c:pt idx="22">
                  <c:v>86667.099999999991</c:v>
                </c:pt>
                <c:pt idx="23">
                  <c:v>86275.589999999982</c:v>
                </c:pt>
                <c:pt idx="24">
                  <c:v>83642.959999999992</c:v>
                </c:pt>
                <c:pt idx="25">
                  <c:v>81820.749999999985</c:v>
                </c:pt>
                <c:pt idx="26">
                  <c:v>80222.13</c:v>
                </c:pt>
                <c:pt idx="27">
                  <c:v>71192.789999999994</c:v>
                </c:pt>
                <c:pt idx="28">
                  <c:v>57277.69999999999</c:v>
                </c:pt>
                <c:pt idx="29">
                  <c:v>51144.12</c:v>
                </c:pt>
                <c:pt idx="30">
                  <c:v>42511.989999999991</c:v>
                </c:pt>
                <c:pt idx="31">
                  <c:v>37963.82</c:v>
                </c:pt>
                <c:pt idx="32">
                  <c:v>36940.730000000003</c:v>
                </c:pt>
                <c:pt idx="33">
                  <c:v>35989.730000000003</c:v>
                </c:pt>
                <c:pt idx="34">
                  <c:v>37290.04</c:v>
                </c:pt>
                <c:pt idx="35">
                  <c:v>36005.61</c:v>
                </c:pt>
                <c:pt idx="36">
                  <c:v>36185.040000000001</c:v>
                </c:pt>
                <c:pt idx="37">
                  <c:v>36999.300000000003</c:v>
                </c:pt>
                <c:pt idx="38">
                  <c:v>41931.39</c:v>
                </c:pt>
                <c:pt idx="39">
                  <c:v>45343.659999999989</c:v>
                </c:pt>
                <c:pt idx="40">
                  <c:v>55529.089999999989</c:v>
                </c:pt>
                <c:pt idx="41">
                  <c:v>60583.56</c:v>
                </c:pt>
                <c:pt idx="42">
                  <c:v>72192.509999999995</c:v>
                </c:pt>
                <c:pt idx="43">
                  <c:v>80043.210000000006</c:v>
                </c:pt>
                <c:pt idx="44">
                  <c:v>84223.06</c:v>
                </c:pt>
                <c:pt idx="45">
                  <c:v>87991.679999999993</c:v>
                </c:pt>
                <c:pt idx="46">
                  <c:v>93025.239999999991</c:v>
                </c:pt>
                <c:pt idx="47">
                  <c:v>91900.840000000011</c:v>
                </c:pt>
                <c:pt idx="48">
                  <c:v>100053.48</c:v>
                </c:pt>
                <c:pt idx="49">
                  <c:v>99499.800000000017</c:v>
                </c:pt>
                <c:pt idx="50">
                  <c:v>93269.81</c:v>
                </c:pt>
                <c:pt idx="51">
                  <c:v>86317.12000000001</c:v>
                </c:pt>
                <c:pt idx="52">
                  <c:v>74986.110000000015</c:v>
                </c:pt>
                <c:pt idx="53">
                  <c:v>70032.039999999994</c:v>
                </c:pt>
                <c:pt idx="54">
                  <c:v>55229.04</c:v>
                </c:pt>
                <c:pt idx="55">
                  <c:v>46027.68</c:v>
                </c:pt>
                <c:pt idx="56">
                  <c:v>41290.080000000002</c:v>
                </c:pt>
                <c:pt idx="57">
                  <c:v>36057.310000000005</c:v>
                </c:pt>
                <c:pt idx="58">
                  <c:v>26753.620000000003</c:v>
                </c:pt>
                <c:pt idx="59">
                  <c:v>26068.860000000004</c:v>
                </c:pt>
                <c:pt idx="60">
                  <c:v>16179.559999999996</c:v>
                </c:pt>
                <c:pt idx="61">
                  <c:v>14455.67</c:v>
                </c:pt>
                <c:pt idx="62">
                  <c:v>13484.47</c:v>
                </c:pt>
                <c:pt idx="63">
                  <c:v>12225.8</c:v>
                </c:pt>
                <c:pt idx="64">
                  <c:v>11325.22</c:v>
                </c:pt>
                <c:pt idx="65">
                  <c:v>9521.61</c:v>
                </c:pt>
                <c:pt idx="66">
                  <c:v>8126.1799999999994</c:v>
                </c:pt>
                <c:pt idx="67">
                  <c:v>7052.7599999999984</c:v>
                </c:pt>
                <c:pt idx="68">
                  <c:v>6548.0499999999984</c:v>
                </c:pt>
                <c:pt idx="69">
                  <c:v>7018.5699999999979</c:v>
                </c:pt>
                <c:pt idx="70">
                  <c:v>7119.3</c:v>
                </c:pt>
                <c:pt idx="71">
                  <c:v>5750.69</c:v>
                </c:pt>
                <c:pt idx="72">
                  <c:v>6139.47</c:v>
                </c:pt>
                <c:pt idx="73">
                  <c:v>5787.5400000000009</c:v>
                </c:pt>
                <c:pt idx="74">
                  <c:v>7717.2800000000007</c:v>
                </c:pt>
                <c:pt idx="75">
                  <c:v>8226.82</c:v>
                </c:pt>
                <c:pt idx="76">
                  <c:v>9992.25</c:v>
                </c:pt>
                <c:pt idx="77">
                  <c:v>10092.129999999999</c:v>
                </c:pt>
                <c:pt idx="78">
                  <c:v>11745.59</c:v>
                </c:pt>
                <c:pt idx="79">
                  <c:v>12851.369999999999</c:v>
                </c:pt>
                <c:pt idx="80">
                  <c:v>36297.300000000003</c:v>
                </c:pt>
                <c:pt idx="81">
                  <c:v>40753.96</c:v>
                </c:pt>
                <c:pt idx="82">
                  <c:v>41061.79</c:v>
                </c:pt>
                <c:pt idx="83">
                  <c:v>39937.360000000001</c:v>
                </c:pt>
                <c:pt idx="84">
                  <c:v>39461.33</c:v>
                </c:pt>
                <c:pt idx="85">
                  <c:v>39564.960000000006</c:v>
                </c:pt>
                <c:pt idx="86">
                  <c:v>37521.000000000007</c:v>
                </c:pt>
                <c:pt idx="87">
                  <c:v>36664.170000000006</c:v>
                </c:pt>
                <c:pt idx="88">
                  <c:v>34878.860000000008</c:v>
                </c:pt>
                <c:pt idx="89">
                  <c:v>34836.610000000008</c:v>
                </c:pt>
                <c:pt idx="90">
                  <c:v>33340.39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B0AC-4DDF-86B7-1EC5AD0E25FE}"/>
            </c:ext>
          </c:extLst>
        </c:ser>
        <c:ser>
          <c:idx val="7"/>
          <c:order val="6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sites'!$A$104:$A$200</c:f>
              <c:numCache>
                <c:formatCode>[$-40C]mmm\-aa;@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 formatCode="mmm\-aa">
                  <c:v>43101</c:v>
                </c:pt>
                <c:pt idx="38" formatCode="mmm\-aa">
                  <c:v>43132</c:v>
                </c:pt>
                <c:pt idx="39" formatCode="mmm\-aa">
                  <c:v>43160</c:v>
                </c:pt>
                <c:pt idx="40" formatCode="mmm\-aa">
                  <c:v>43191</c:v>
                </c:pt>
                <c:pt idx="41" formatCode="mmm\-aa">
                  <c:v>43221</c:v>
                </c:pt>
                <c:pt idx="42" formatCode="mmm\-aa">
                  <c:v>43252</c:v>
                </c:pt>
                <c:pt idx="43" formatCode="mmm\-aa">
                  <c:v>43282</c:v>
                </c:pt>
                <c:pt idx="44" formatCode="mmm\-aa">
                  <c:v>43313</c:v>
                </c:pt>
                <c:pt idx="45" formatCode="mmm\-aa">
                  <c:v>43344</c:v>
                </c:pt>
                <c:pt idx="46" formatCode="mmm\-aa">
                  <c:v>43374</c:v>
                </c:pt>
                <c:pt idx="47" formatCode="mmm\-aa">
                  <c:v>43405</c:v>
                </c:pt>
                <c:pt idx="48" formatCode="mmm\-aa">
                  <c:v>43435</c:v>
                </c:pt>
                <c:pt idx="49" formatCode="mmm\-aa">
                  <c:v>43466</c:v>
                </c:pt>
                <c:pt idx="50" formatCode="mmm\-aa">
                  <c:v>43497</c:v>
                </c:pt>
                <c:pt idx="51" formatCode="mmm\-aa">
                  <c:v>43525</c:v>
                </c:pt>
                <c:pt idx="52" formatCode="mmm\-aa">
                  <c:v>43556</c:v>
                </c:pt>
                <c:pt idx="53" formatCode="mmm\-aa">
                  <c:v>43586</c:v>
                </c:pt>
                <c:pt idx="54" formatCode="mmm\-aa">
                  <c:v>43617</c:v>
                </c:pt>
                <c:pt idx="55" formatCode="mmm\-aa">
                  <c:v>43647</c:v>
                </c:pt>
                <c:pt idx="56" formatCode="mmm\-aa">
                  <c:v>43678</c:v>
                </c:pt>
                <c:pt idx="57" formatCode="mmm\-aa">
                  <c:v>43709</c:v>
                </c:pt>
                <c:pt idx="58" formatCode="mmm\-aa">
                  <c:v>43739</c:v>
                </c:pt>
                <c:pt idx="59" formatCode="mmm\-aa">
                  <c:v>43770</c:v>
                </c:pt>
                <c:pt idx="60" formatCode="mmm\-aa">
                  <c:v>43800</c:v>
                </c:pt>
                <c:pt idx="61" formatCode="mmm\-aa">
                  <c:v>43831</c:v>
                </c:pt>
                <c:pt idx="62" formatCode="mmm\-aa">
                  <c:v>43862</c:v>
                </c:pt>
                <c:pt idx="63" formatCode="mmm\-aa">
                  <c:v>43891</c:v>
                </c:pt>
                <c:pt idx="64" formatCode="mmm\-aa">
                  <c:v>43922</c:v>
                </c:pt>
                <c:pt idx="65" formatCode="mmm\-aa">
                  <c:v>43952</c:v>
                </c:pt>
                <c:pt idx="66" formatCode="mmm\-aa">
                  <c:v>43983</c:v>
                </c:pt>
                <c:pt idx="67" formatCode="mmm\-aa">
                  <c:v>44013</c:v>
                </c:pt>
                <c:pt idx="68" formatCode="mmm\-aa">
                  <c:v>44044</c:v>
                </c:pt>
                <c:pt idx="69" formatCode="mmm\-aa">
                  <c:v>44075</c:v>
                </c:pt>
                <c:pt idx="70" formatCode="mmm\-aa">
                  <c:v>44105</c:v>
                </c:pt>
                <c:pt idx="71" formatCode="mmm\-aa">
                  <c:v>44136</c:v>
                </c:pt>
                <c:pt idx="72" formatCode="mmm\-aa">
                  <c:v>44166</c:v>
                </c:pt>
                <c:pt idx="73" formatCode="mmm\-aa">
                  <c:v>44197</c:v>
                </c:pt>
                <c:pt idx="74" formatCode="mmm\-aa">
                  <c:v>44228</c:v>
                </c:pt>
                <c:pt idx="75" formatCode="mmm\-aa">
                  <c:v>44256</c:v>
                </c:pt>
                <c:pt idx="76" formatCode="mmm\-aa">
                  <c:v>44287</c:v>
                </c:pt>
                <c:pt idx="77" formatCode="mmm\-aa">
                  <c:v>44317</c:v>
                </c:pt>
                <c:pt idx="78" formatCode="mmm\-aa">
                  <c:v>44348</c:v>
                </c:pt>
                <c:pt idx="79" formatCode="mmm\-aa">
                  <c:v>44378</c:v>
                </c:pt>
                <c:pt idx="80" formatCode="mmm\-aa">
                  <c:v>44409</c:v>
                </c:pt>
                <c:pt idx="81" formatCode="mmm\-aa">
                  <c:v>44440</c:v>
                </c:pt>
                <c:pt idx="82" formatCode="mmm\-aa">
                  <c:v>44470</c:v>
                </c:pt>
                <c:pt idx="83" formatCode="mmm\-aa">
                  <c:v>44501</c:v>
                </c:pt>
                <c:pt idx="84" formatCode="mmm\-aa">
                  <c:v>44531</c:v>
                </c:pt>
                <c:pt idx="85" formatCode="mmm\-aa">
                  <c:v>44562</c:v>
                </c:pt>
                <c:pt idx="86" formatCode="mmm\-aa">
                  <c:v>44593</c:v>
                </c:pt>
                <c:pt idx="87" formatCode="mmm\-aa">
                  <c:v>44621</c:v>
                </c:pt>
                <c:pt idx="88" formatCode="mmm\-aa">
                  <c:v>44652</c:v>
                </c:pt>
                <c:pt idx="89" formatCode="mmm\-aa">
                  <c:v>44682</c:v>
                </c:pt>
                <c:pt idx="90" formatCode="mmm\-aa">
                  <c:v>44713</c:v>
                </c:pt>
                <c:pt idx="91" formatCode="mmm\-aa">
                  <c:v>44743</c:v>
                </c:pt>
                <c:pt idx="92" formatCode="mmm\-aa">
                  <c:v>44774</c:v>
                </c:pt>
                <c:pt idx="93" formatCode="mmm\-aa">
                  <c:v>44805</c:v>
                </c:pt>
                <c:pt idx="94" formatCode="mmm\-aa">
                  <c:v>44835</c:v>
                </c:pt>
                <c:pt idx="95" formatCode="mmm\-aa">
                  <c:v>44866</c:v>
                </c:pt>
                <c:pt idx="96" formatCode="mmm\-aa">
                  <c:v>44896</c:v>
                </c:pt>
              </c:numCache>
            </c:numRef>
          </c:cat>
          <c:val>
            <c:numRef>
              <c:f>'12M glissant produits &amp; sites'!$H$104:$H$200</c:f>
              <c:numCache>
                <c:formatCode>_-* #\ ##0\ [$€-40C]_-;\-* #\ ##0\ [$€-40C]_-;_-* "-"??\ [$€-40C]_-;_-@_-</c:formatCode>
                <c:ptCount val="97"/>
                <c:pt idx="0">
                  <c:v>126679.92</c:v>
                </c:pt>
                <c:pt idx="1">
                  <c:v>122797.06</c:v>
                </c:pt>
                <c:pt idx="2">
                  <c:v>122881.58</c:v>
                </c:pt>
                <c:pt idx="3">
                  <c:v>121442.37000000002</c:v>
                </c:pt>
                <c:pt idx="4">
                  <c:v>123053.17000000003</c:v>
                </c:pt>
                <c:pt idx="5">
                  <c:v>122214.79000000001</c:v>
                </c:pt>
                <c:pt idx="6">
                  <c:v>108828.23000000001</c:v>
                </c:pt>
                <c:pt idx="7">
                  <c:v>110569.22</c:v>
                </c:pt>
                <c:pt idx="8">
                  <c:v>114534.84999999999</c:v>
                </c:pt>
                <c:pt idx="9">
                  <c:v>117185.34000000001</c:v>
                </c:pt>
                <c:pt idx="10">
                  <c:v>126779.56999999999</c:v>
                </c:pt>
                <c:pt idx="11">
                  <c:v>133434.49000000002</c:v>
                </c:pt>
                <c:pt idx="12">
                  <c:v>135732.74000000002</c:v>
                </c:pt>
                <c:pt idx="13">
                  <c:v>140562.19</c:v>
                </c:pt>
                <c:pt idx="14">
                  <c:v>142397.71000000002</c:v>
                </c:pt>
                <c:pt idx="15">
                  <c:v>142497.27000000002</c:v>
                </c:pt>
                <c:pt idx="16">
                  <c:v>137041.71000000002</c:v>
                </c:pt>
                <c:pt idx="17">
                  <c:v>134625.91</c:v>
                </c:pt>
                <c:pt idx="18">
                  <c:v>152839.82</c:v>
                </c:pt>
                <c:pt idx="19">
                  <c:v>153527.74999999997</c:v>
                </c:pt>
                <c:pt idx="20">
                  <c:v>146376.34999999995</c:v>
                </c:pt>
                <c:pt idx="21">
                  <c:v>133073.09999999998</c:v>
                </c:pt>
                <c:pt idx="22">
                  <c:v>126203.73999999999</c:v>
                </c:pt>
                <c:pt idx="23">
                  <c:v>129313.39</c:v>
                </c:pt>
                <c:pt idx="24">
                  <c:v>129311.94999999998</c:v>
                </c:pt>
                <c:pt idx="25">
                  <c:v>136659.04</c:v>
                </c:pt>
                <c:pt idx="26">
                  <c:v>129775.95</c:v>
                </c:pt>
                <c:pt idx="27">
                  <c:v>127491.56</c:v>
                </c:pt>
                <c:pt idx="28">
                  <c:v>125230.53</c:v>
                </c:pt>
                <c:pt idx="29">
                  <c:v>140112.79999999999</c:v>
                </c:pt>
                <c:pt idx="30">
                  <c:v>130712.38</c:v>
                </c:pt>
                <c:pt idx="31">
                  <c:v>128538.18999999999</c:v>
                </c:pt>
                <c:pt idx="32">
                  <c:v>124473.93999999999</c:v>
                </c:pt>
                <c:pt idx="33">
                  <c:v>131676.88999999998</c:v>
                </c:pt>
                <c:pt idx="34">
                  <c:v>120289.49999999999</c:v>
                </c:pt>
                <c:pt idx="35">
                  <c:v>117465.31</c:v>
                </c:pt>
                <c:pt idx="36">
                  <c:v>125340.81999999998</c:v>
                </c:pt>
                <c:pt idx="37">
                  <c:v>132447.12</c:v>
                </c:pt>
                <c:pt idx="38">
                  <c:v>152367.56</c:v>
                </c:pt>
                <c:pt idx="39">
                  <c:v>163722.49</c:v>
                </c:pt>
                <c:pt idx="40">
                  <c:v>167110.29999999999</c:v>
                </c:pt>
                <c:pt idx="41">
                  <c:v>171238.29</c:v>
                </c:pt>
                <c:pt idx="42">
                  <c:v>188339.99</c:v>
                </c:pt>
                <c:pt idx="43">
                  <c:v>191818.43</c:v>
                </c:pt>
                <c:pt idx="44">
                  <c:v>200239.39999999997</c:v>
                </c:pt>
                <c:pt idx="45">
                  <c:v>211050.05999999997</c:v>
                </c:pt>
                <c:pt idx="46">
                  <c:v>237685.20999999996</c:v>
                </c:pt>
                <c:pt idx="47">
                  <c:v>233948.49</c:v>
                </c:pt>
                <c:pt idx="48">
                  <c:v>228573.98999999996</c:v>
                </c:pt>
                <c:pt idx="49">
                  <c:v>222483.99999999997</c:v>
                </c:pt>
                <c:pt idx="50">
                  <c:v>211594.93</c:v>
                </c:pt>
                <c:pt idx="51">
                  <c:v>203217.46</c:v>
                </c:pt>
                <c:pt idx="52">
                  <c:v>204183.95</c:v>
                </c:pt>
                <c:pt idx="53">
                  <c:v>193619.53999999998</c:v>
                </c:pt>
                <c:pt idx="54">
                  <c:v>181276.36000000002</c:v>
                </c:pt>
                <c:pt idx="55">
                  <c:v>180842.88</c:v>
                </c:pt>
                <c:pt idx="56">
                  <c:v>193201.21999999997</c:v>
                </c:pt>
                <c:pt idx="57">
                  <c:v>197185.63999999996</c:v>
                </c:pt>
                <c:pt idx="58">
                  <c:v>199247.95</c:v>
                </c:pt>
                <c:pt idx="59">
                  <c:v>214052.76</c:v>
                </c:pt>
                <c:pt idx="60">
                  <c:v>221703.49000000002</c:v>
                </c:pt>
                <c:pt idx="61">
                  <c:v>226268.43</c:v>
                </c:pt>
                <c:pt idx="62">
                  <c:v>223140.79</c:v>
                </c:pt>
                <c:pt idx="63">
                  <c:v>217238.03000000003</c:v>
                </c:pt>
                <c:pt idx="64">
                  <c:v>208963.09999999998</c:v>
                </c:pt>
                <c:pt idx="65">
                  <c:v>196257.05</c:v>
                </c:pt>
                <c:pt idx="66">
                  <c:v>178867.49000000002</c:v>
                </c:pt>
                <c:pt idx="67">
                  <c:v>188652.89000000004</c:v>
                </c:pt>
                <c:pt idx="68">
                  <c:v>175335.19</c:v>
                </c:pt>
                <c:pt idx="69">
                  <c:v>170132.23</c:v>
                </c:pt>
                <c:pt idx="70">
                  <c:v>147908.68000000002</c:v>
                </c:pt>
                <c:pt idx="71">
                  <c:v>126171.83</c:v>
                </c:pt>
                <c:pt idx="72">
                  <c:v>115733.75</c:v>
                </c:pt>
                <c:pt idx="73">
                  <c:v>107168.40000000002</c:v>
                </c:pt>
                <c:pt idx="74">
                  <c:v>101485.65</c:v>
                </c:pt>
                <c:pt idx="75">
                  <c:v>102543.95999999998</c:v>
                </c:pt>
                <c:pt idx="76">
                  <c:v>107357.52999999998</c:v>
                </c:pt>
                <c:pt idx="77">
                  <c:v>116404.96999999997</c:v>
                </c:pt>
                <c:pt idx="78">
                  <c:v>133737.85</c:v>
                </c:pt>
                <c:pt idx="79">
                  <c:v>126751.66</c:v>
                </c:pt>
                <c:pt idx="80">
                  <c:v>141164.57</c:v>
                </c:pt>
                <c:pt idx="81">
                  <c:v>138699.49</c:v>
                </c:pt>
                <c:pt idx="82">
                  <c:v>151734.47999999998</c:v>
                </c:pt>
                <c:pt idx="83">
                  <c:v>160180.02999999997</c:v>
                </c:pt>
                <c:pt idx="84">
                  <c:v>161541.40999999997</c:v>
                </c:pt>
                <c:pt idx="85">
                  <c:v>169759.99</c:v>
                </c:pt>
                <c:pt idx="86">
                  <c:v>167730.99</c:v>
                </c:pt>
                <c:pt idx="87">
                  <c:v>171238.55</c:v>
                </c:pt>
                <c:pt idx="88">
                  <c:v>172332.75</c:v>
                </c:pt>
                <c:pt idx="89">
                  <c:v>173361.34000000003</c:v>
                </c:pt>
                <c:pt idx="90">
                  <c:v>172234.51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B0AC-4DDF-86B7-1EC5AD0E25FE}"/>
            </c:ext>
          </c:extLst>
        </c:ser>
        <c:ser>
          <c:idx val="8"/>
          <c:order val="7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sites'!$A$104:$A$200</c:f>
              <c:numCache>
                <c:formatCode>[$-40C]mmm\-aa;@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 formatCode="mmm\-aa">
                  <c:v>43101</c:v>
                </c:pt>
                <c:pt idx="38" formatCode="mmm\-aa">
                  <c:v>43132</c:v>
                </c:pt>
                <c:pt idx="39" formatCode="mmm\-aa">
                  <c:v>43160</c:v>
                </c:pt>
                <c:pt idx="40" formatCode="mmm\-aa">
                  <c:v>43191</c:v>
                </c:pt>
                <c:pt idx="41" formatCode="mmm\-aa">
                  <c:v>43221</c:v>
                </c:pt>
                <c:pt idx="42" formatCode="mmm\-aa">
                  <c:v>43252</c:v>
                </c:pt>
                <c:pt idx="43" formatCode="mmm\-aa">
                  <c:v>43282</c:v>
                </c:pt>
                <c:pt idx="44" formatCode="mmm\-aa">
                  <c:v>43313</c:v>
                </c:pt>
                <c:pt idx="45" formatCode="mmm\-aa">
                  <c:v>43344</c:v>
                </c:pt>
                <c:pt idx="46" formatCode="mmm\-aa">
                  <c:v>43374</c:v>
                </c:pt>
                <c:pt idx="47" formatCode="mmm\-aa">
                  <c:v>43405</c:v>
                </c:pt>
                <c:pt idx="48" formatCode="mmm\-aa">
                  <c:v>43435</c:v>
                </c:pt>
                <c:pt idx="49" formatCode="mmm\-aa">
                  <c:v>43466</c:v>
                </c:pt>
                <c:pt idx="50" formatCode="mmm\-aa">
                  <c:v>43497</c:v>
                </c:pt>
                <c:pt idx="51" formatCode="mmm\-aa">
                  <c:v>43525</c:v>
                </c:pt>
                <c:pt idx="52" formatCode="mmm\-aa">
                  <c:v>43556</c:v>
                </c:pt>
                <c:pt idx="53" formatCode="mmm\-aa">
                  <c:v>43586</c:v>
                </c:pt>
                <c:pt idx="54" formatCode="mmm\-aa">
                  <c:v>43617</c:v>
                </c:pt>
                <c:pt idx="55" formatCode="mmm\-aa">
                  <c:v>43647</c:v>
                </c:pt>
                <c:pt idx="56" formatCode="mmm\-aa">
                  <c:v>43678</c:v>
                </c:pt>
                <c:pt idx="57" formatCode="mmm\-aa">
                  <c:v>43709</c:v>
                </c:pt>
                <c:pt idx="58" formatCode="mmm\-aa">
                  <c:v>43739</c:v>
                </c:pt>
                <c:pt idx="59" formatCode="mmm\-aa">
                  <c:v>43770</c:v>
                </c:pt>
                <c:pt idx="60" formatCode="mmm\-aa">
                  <c:v>43800</c:v>
                </c:pt>
                <c:pt idx="61" formatCode="mmm\-aa">
                  <c:v>43831</c:v>
                </c:pt>
                <c:pt idx="62" formatCode="mmm\-aa">
                  <c:v>43862</c:v>
                </c:pt>
                <c:pt idx="63" formatCode="mmm\-aa">
                  <c:v>43891</c:v>
                </c:pt>
                <c:pt idx="64" formatCode="mmm\-aa">
                  <c:v>43922</c:v>
                </c:pt>
                <c:pt idx="65" formatCode="mmm\-aa">
                  <c:v>43952</c:v>
                </c:pt>
                <c:pt idx="66" formatCode="mmm\-aa">
                  <c:v>43983</c:v>
                </c:pt>
                <c:pt idx="67" formatCode="mmm\-aa">
                  <c:v>44013</c:v>
                </c:pt>
                <c:pt idx="68" formatCode="mmm\-aa">
                  <c:v>44044</c:v>
                </c:pt>
                <c:pt idx="69" formatCode="mmm\-aa">
                  <c:v>44075</c:v>
                </c:pt>
                <c:pt idx="70" formatCode="mmm\-aa">
                  <c:v>44105</c:v>
                </c:pt>
                <c:pt idx="71" formatCode="mmm\-aa">
                  <c:v>44136</c:v>
                </c:pt>
                <c:pt idx="72" formatCode="mmm\-aa">
                  <c:v>44166</c:v>
                </c:pt>
                <c:pt idx="73" formatCode="mmm\-aa">
                  <c:v>44197</c:v>
                </c:pt>
                <c:pt idx="74" formatCode="mmm\-aa">
                  <c:v>44228</c:v>
                </c:pt>
                <c:pt idx="75" formatCode="mmm\-aa">
                  <c:v>44256</c:v>
                </c:pt>
                <c:pt idx="76" formatCode="mmm\-aa">
                  <c:v>44287</c:v>
                </c:pt>
                <c:pt idx="77" formatCode="mmm\-aa">
                  <c:v>44317</c:v>
                </c:pt>
                <c:pt idx="78" formatCode="mmm\-aa">
                  <c:v>44348</c:v>
                </c:pt>
                <c:pt idx="79" formatCode="mmm\-aa">
                  <c:v>44378</c:v>
                </c:pt>
                <c:pt idx="80" formatCode="mmm\-aa">
                  <c:v>44409</c:v>
                </c:pt>
                <c:pt idx="81" formatCode="mmm\-aa">
                  <c:v>44440</c:v>
                </c:pt>
                <c:pt idx="82" formatCode="mmm\-aa">
                  <c:v>44470</c:v>
                </c:pt>
                <c:pt idx="83" formatCode="mmm\-aa">
                  <c:v>44501</c:v>
                </c:pt>
                <c:pt idx="84" formatCode="mmm\-aa">
                  <c:v>44531</c:v>
                </c:pt>
                <c:pt idx="85" formatCode="mmm\-aa">
                  <c:v>44562</c:v>
                </c:pt>
                <c:pt idx="86" formatCode="mmm\-aa">
                  <c:v>44593</c:v>
                </c:pt>
                <c:pt idx="87" formatCode="mmm\-aa">
                  <c:v>44621</c:v>
                </c:pt>
                <c:pt idx="88" formatCode="mmm\-aa">
                  <c:v>44652</c:v>
                </c:pt>
                <c:pt idx="89" formatCode="mmm\-aa">
                  <c:v>44682</c:v>
                </c:pt>
                <c:pt idx="90" formatCode="mmm\-aa">
                  <c:v>44713</c:v>
                </c:pt>
                <c:pt idx="91" formatCode="mmm\-aa">
                  <c:v>44743</c:v>
                </c:pt>
                <c:pt idx="92" formatCode="mmm\-aa">
                  <c:v>44774</c:v>
                </c:pt>
                <c:pt idx="93" formatCode="mmm\-aa">
                  <c:v>44805</c:v>
                </c:pt>
                <c:pt idx="94" formatCode="mmm\-aa">
                  <c:v>44835</c:v>
                </c:pt>
                <c:pt idx="95" formatCode="mmm\-aa">
                  <c:v>44866</c:v>
                </c:pt>
                <c:pt idx="96" formatCode="mmm\-aa">
                  <c:v>44896</c:v>
                </c:pt>
              </c:numCache>
            </c:numRef>
          </c:cat>
          <c:val>
            <c:numRef>
              <c:f>'12M glissant produits &amp; sites'!$I$104:$I$200</c:f>
              <c:numCache>
                <c:formatCode>_-* #\ ##0\ [$€-40C]_-;\-* #\ ##0\ [$€-40C]_-;_-* "-"??\ [$€-40C]_-;_-@_-</c:formatCode>
                <c:ptCount val="97"/>
                <c:pt idx="0">
                  <c:v>51654.51999999999</c:v>
                </c:pt>
                <c:pt idx="1">
                  <c:v>50219.06</c:v>
                </c:pt>
                <c:pt idx="2">
                  <c:v>55099.299999999996</c:v>
                </c:pt>
                <c:pt idx="3">
                  <c:v>60571.569999999992</c:v>
                </c:pt>
                <c:pt idx="4">
                  <c:v>50556.6</c:v>
                </c:pt>
                <c:pt idx="5">
                  <c:v>46546.39</c:v>
                </c:pt>
                <c:pt idx="6">
                  <c:v>43770.03</c:v>
                </c:pt>
                <c:pt idx="7">
                  <c:v>45228.71</c:v>
                </c:pt>
                <c:pt idx="8">
                  <c:v>46432.9</c:v>
                </c:pt>
                <c:pt idx="9">
                  <c:v>45393.01</c:v>
                </c:pt>
                <c:pt idx="10">
                  <c:v>44400.149999999994</c:v>
                </c:pt>
                <c:pt idx="11">
                  <c:v>47267.909999999996</c:v>
                </c:pt>
                <c:pt idx="12">
                  <c:v>47025.849999999991</c:v>
                </c:pt>
                <c:pt idx="13">
                  <c:v>48947.689999999988</c:v>
                </c:pt>
                <c:pt idx="14">
                  <c:v>44626.589999999989</c:v>
                </c:pt>
                <c:pt idx="15">
                  <c:v>36466.769999999997</c:v>
                </c:pt>
                <c:pt idx="16">
                  <c:v>34601.94999999999</c:v>
                </c:pt>
                <c:pt idx="17">
                  <c:v>35448.51999999999</c:v>
                </c:pt>
                <c:pt idx="18">
                  <c:v>38841.599999999999</c:v>
                </c:pt>
                <c:pt idx="19">
                  <c:v>36580.879999999997</c:v>
                </c:pt>
                <c:pt idx="20">
                  <c:v>33374.729999999996</c:v>
                </c:pt>
                <c:pt idx="21">
                  <c:v>31524.73</c:v>
                </c:pt>
                <c:pt idx="22">
                  <c:v>29321.850000000002</c:v>
                </c:pt>
                <c:pt idx="23">
                  <c:v>24196.55</c:v>
                </c:pt>
                <c:pt idx="24">
                  <c:v>26102.44</c:v>
                </c:pt>
                <c:pt idx="25">
                  <c:v>23876.53</c:v>
                </c:pt>
                <c:pt idx="26">
                  <c:v>22175.040000000001</c:v>
                </c:pt>
                <c:pt idx="27">
                  <c:v>22112.98</c:v>
                </c:pt>
                <c:pt idx="28">
                  <c:v>25247.34</c:v>
                </c:pt>
                <c:pt idx="29">
                  <c:v>23520.59</c:v>
                </c:pt>
                <c:pt idx="30">
                  <c:v>19973.900000000001</c:v>
                </c:pt>
                <c:pt idx="31">
                  <c:v>19057.310000000001</c:v>
                </c:pt>
                <c:pt idx="32">
                  <c:v>19288.72</c:v>
                </c:pt>
                <c:pt idx="33">
                  <c:v>21228.679999999997</c:v>
                </c:pt>
                <c:pt idx="34">
                  <c:v>22996.63</c:v>
                </c:pt>
                <c:pt idx="35">
                  <c:v>24939.89</c:v>
                </c:pt>
                <c:pt idx="36">
                  <c:v>24494.36</c:v>
                </c:pt>
                <c:pt idx="37">
                  <c:v>25676.149999999998</c:v>
                </c:pt>
                <c:pt idx="38">
                  <c:v>29729.789999999994</c:v>
                </c:pt>
                <c:pt idx="39">
                  <c:v>29462.839999999997</c:v>
                </c:pt>
                <c:pt idx="40">
                  <c:v>25950.44</c:v>
                </c:pt>
                <c:pt idx="41">
                  <c:v>27536.519999999997</c:v>
                </c:pt>
                <c:pt idx="42">
                  <c:v>29725.91</c:v>
                </c:pt>
                <c:pt idx="43">
                  <c:v>31259.26</c:v>
                </c:pt>
                <c:pt idx="44">
                  <c:v>32405.64</c:v>
                </c:pt>
                <c:pt idx="45">
                  <c:v>31256.639999999999</c:v>
                </c:pt>
                <c:pt idx="46">
                  <c:v>29262.2</c:v>
                </c:pt>
                <c:pt idx="47">
                  <c:v>34107.93</c:v>
                </c:pt>
                <c:pt idx="48">
                  <c:v>30511.659999999996</c:v>
                </c:pt>
                <c:pt idx="49">
                  <c:v>29719.78</c:v>
                </c:pt>
                <c:pt idx="50">
                  <c:v>27527.740000000005</c:v>
                </c:pt>
                <c:pt idx="51">
                  <c:v>27475.600000000002</c:v>
                </c:pt>
                <c:pt idx="52">
                  <c:v>27483.010000000002</c:v>
                </c:pt>
                <c:pt idx="53">
                  <c:v>29990.319999999996</c:v>
                </c:pt>
                <c:pt idx="54">
                  <c:v>25661.66</c:v>
                </c:pt>
                <c:pt idx="55">
                  <c:v>24487.229999999996</c:v>
                </c:pt>
                <c:pt idx="56">
                  <c:v>26319.61</c:v>
                </c:pt>
                <c:pt idx="57">
                  <c:v>30756.710000000006</c:v>
                </c:pt>
                <c:pt idx="58">
                  <c:v>30095.070000000003</c:v>
                </c:pt>
                <c:pt idx="59">
                  <c:v>23573.29</c:v>
                </c:pt>
                <c:pt idx="60">
                  <c:v>24618.81</c:v>
                </c:pt>
                <c:pt idx="61">
                  <c:v>24907.95</c:v>
                </c:pt>
                <c:pt idx="62">
                  <c:v>24312.42</c:v>
                </c:pt>
                <c:pt idx="63">
                  <c:v>45437.53</c:v>
                </c:pt>
                <c:pt idx="64">
                  <c:v>65323.41</c:v>
                </c:pt>
                <c:pt idx="65">
                  <c:v>71742.09</c:v>
                </c:pt>
                <c:pt idx="66">
                  <c:v>117326.54000000001</c:v>
                </c:pt>
                <c:pt idx="67">
                  <c:v>140381.03</c:v>
                </c:pt>
                <c:pt idx="68">
                  <c:v>155913.03</c:v>
                </c:pt>
                <c:pt idx="69">
                  <c:v>178317.16999999998</c:v>
                </c:pt>
                <c:pt idx="70">
                  <c:v>200675.14999999997</c:v>
                </c:pt>
                <c:pt idx="71">
                  <c:v>213089.13999999998</c:v>
                </c:pt>
                <c:pt idx="72">
                  <c:v>233617.84999999998</c:v>
                </c:pt>
                <c:pt idx="73">
                  <c:v>241598.55999999997</c:v>
                </c:pt>
                <c:pt idx="74">
                  <c:v>248339.68999999997</c:v>
                </c:pt>
                <c:pt idx="75">
                  <c:v>235842.65999999997</c:v>
                </c:pt>
                <c:pt idx="76">
                  <c:v>260052.21999999997</c:v>
                </c:pt>
                <c:pt idx="77">
                  <c:v>271740.57999999996</c:v>
                </c:pt>
                <c:pt idx="78">
                  <c:v>247859.40999999997</c:v>
                </c:pt>
                <c:pt idx="79">
                  <c:v>236449.34999999998</c:v>
                </c:pt>
                <c:pt idx="80">
                  <c:v>243607.24</c:v>
                </c:pt>
                <c:pt idx="81">
                  <c:v>243911.43000000002</c:v>
                </c:pt>
                <c:pt idx="82">
                  <c:v>236293.43</c:v>
                </c:pt>
                <c:pt idx="83">
                  <c:v>240190.05</c:v>
                </c:pt>
                <c:pt idx="84">
                  <c:v>243160.85</c:v>
                </c:pt>
                <c:pt idx="85">
                  <c:v>272731.31</c:v>
                </c:pt>
                <c:pt idx="86">
                  <c:v>297202.41000000003</c:v>
                </c:pt>
                <c:pt idx="87">
                  <c:v>308870.72000000003</c:v>
                </c:pt>
                <c:pt idx="88">
                  <c:v>288903.37</c:v>
                </c:pt>
                <c:pt idx="89">
                  <c:v>294371.86</c:v>
                </c:pt>
                <c:pt idx="90">
                  <c:v>276100.8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B0AC-4DDF-86B7-1EC5AD0E25FE}"/>
            </c:ext>
          </c:extLst>
        </c:ser>
        <c:ser>
          <c:idx val="9"/>
          <c:order val="8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sites'!$A$104:$A$200</c:f>
              <c:numCache>
                <c:formatCode>[$-40C]mmm\-aa;@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 formatCode="mmm\-aa">
                  <c:v>43101</c:v>
                </c:pt>
                <c:pt idx="38" formatCode="mmm\-aa">
                  <c:v>43132</c:v>
                </c:pt>
                <c:pt idx="39" formatCode="mmm\-aa">
                  <c:v>43160</c:v>
                </c:pt>
                <c:pt idx="40" formatCode="mmm\-aa">
                  <c:v>43191</c:v>
                </c:pt>
                <c:pt idx="41" formatCode="mmm\-aa">
                  <c:v>43221</c:v>
                </c:pt>
                <c:pt idx="42" formatCode="mmm\-aa">
                  <c:v>43252</c:v>
                </c:pt>
                <c:pt idx="43" formatCode="mmm\-aa">
                  <c:v>43282</c:v>
                </c:pt>
                <c:pt idx="44" formatCode="mmm\-aa">
                  <c:v>43313</c:v>
                </c:pt>
                <c:pt idx="45" formatCode="mmm\-aa">
                  <c:v>43344</c:v>
                </c:pt>
                <c:pt idx="46" formatCode="mmm\-aa">
                  <c:v>43374</c:v>
                </c:pt>
                <c:pt idx="47" formatCode="mmm\-aa">
                  <c:v>43405</c:v>
                </c:pt>
                <c:pt idx="48" formatCode="mmm\-aa">
                  <c:v>43435</c:v>
                </c:pt>
                <c:pt idx="49" formatCode="mmm\-aa">
                  <c:v>43466</c:v>
                </c:pt>
                <c:pt idx="50" formatCode="mmm\-aa">
                  <c:v>43497</c:v>
                </c:pt>
                <c:pt idx="51" formatCode="mmm\-aa">
                  <c:v>43525</c:v>
                </c:pt>
                <c:pt idx="52" formatCode="mmm\-aa">
                  <c:v>43556</c:v>
                </c:pt>
                <c:pt idx="53" formatCode="mmm\-aa">
                  <c:v>43586</c:v>
                </c:pt>
                <c:pt idx="54" formatCode="mmm\-aa">
                  <c:v>43617</c:v>
                </c:pt>
                <c:pt idx="55" formatCode="mmm\-aa">
                  <c:v>43647</c:v>
                </c:pt>
                <c:pt idx="56" formatCode="mmm\-aa">
                  <c:v>43678</c:v>
                </c:pt>
                <c:pt idx="57" formatCode="mmm\-aa">
                  <c:v>43709</c:v>
                </c:pt>
                <c:pt idx="58" formatCode="mmm\-aa">
                  <c:v>43739</c:v>
                </c:pt>
                <c:pt idx="59" formatCode="mmm\-aa">
                  <c:v>43770</c:v>
                </c:pt>
                <c:pt idx="60" formatCode="mmm\-aa">
                  <c:v>43800</c:v>
                </c:pt>
                <c:pt idx="61" formatCode="mmm\-aa">
                  <c:v>43831</c:v>
                </c:pt>
                <c:pt idx="62" formatCode="mmm\-aa">
                  <c:v>43862</c:v>
                </c:pt>
                <c:pt idx="63" formatCode="mmm\-aa">
                  <c:v>43891</c:v>
                </c:pt>
                <c:pt idx="64" formatCode="mmm\-aa">
                  <c:v>43922</c:v>
                </c:pt>
                <c:pt idx="65" formatCode="mmm\-aa">
                  <c:v>43952</c:v>
                </c:pt>
                <c:pt idx="66" formatCode="mmm\-aa">
                  <c:v>43983</c:v>
                </c:pt>
                <c:pt idx="67" formatCode="mmm\-aa">
                  <c:v>44013</c:v>
                </c:pt>
                <c:pt idx="68" formatCode="mmm\-aa">
                  <c:v>44044</c:v>
                </c:pt>
                <c:pt idx="69" formatCode="mmm\-aa">
                  <c:v>44075</c:v>
                </c:pt>
                <c:pt idx="70" formatCode="mmm\-aa">
                  <c:v>44105</c:v>
                </c:pt>
                <c:pt idx="71" formatCode="mmm\-aa">
                  <c:v>44136</c:v>
                </c:pt>
                <c:pt idx="72" formatCode="mmm\-aa">
                  <c:v>44166</c:v>
                </c:pt>
                <c:pt idx="73" formatCode="mmm\-aa">
                  <c:v>44197</c:v>
                </c:pt>
                <c:pt idx="74" formatCode="mmm\-aa">
                  <c:v>44228</c:v>
                </c:pt>
                <c:pt idx="75" formatCode="mmm\-aa">
                  <c:v>44256</c:v>
                </c:pt>
                <c:pt idx="76" formatCode="mmm\-aa">
                  <c:v>44287</c:v>
                </c:pt>
                <c:pt idx="77" formatCode="mmm\-aa">
                  <c:v>44317</c:v>
                </c:pt>
                <c:pt idx="78" formatCode="mmm\-aa">
                  <c:v>44348</c:v>
                </c:pt>
                <c:pt idx="79" formatCode="mmm\-aa">
                  <c:v>44378</c:v>
                </c:pt>
                <c:pt idx="80" formatCode="mmm\-aa">
                  <c:v>44409</c:v>
                </c:pt>
                <c:pt idx="81" formatCode="mmm\-aa">
                  <c:v>44440</c:v>
                </c:pt>
                <c:pt idx="82" formatCode="mmm\-aa">
                  <c:v>44470</c:v>
                </c:pt>
                <c:pt idx="83" formatCode="mmm\-aa">
                  <c:v>44501</c:v>
                </c:pt>
                <c:pt idx="84" formatCode="mmm\-aa">
                  <c:v>44531</c:v>
                </c:pt>
                <c:pt idx="85" formatCode="mmm\-aa">
                  <c:v>44562</c:v>
                </c:pt>
                <c:pt idx="86" formatCode="mmm\-aa">
                  <c:v>44593</c:v>
                </c:pt>
                <c:pt idx="87" formatCode="mmm\-aa">
                  <c:v>44621</c:v>
                </c:pt>
                <c:pt idx="88" formatCode="mmm\-aa">
                  <c:v>44652</c:v>
                </c:pt>
                <c:pt idx="89" formatCode="mmm\-aa">
                  <c:v>44682</c:v>
                </c:pt>
                <c:pt idx="90" formatCode="mmm\-aa">
                  <c:v>44713</c:v>
                </c:pt>
                <c:pt idx="91" formatCode="mmm\-aa">
                  <c:v>44743</c:v>
                </c:pt>
                <c:pt idx="92" formatCode="mmm\-aa">
                  <c:v>44774</c:v>
                </c:pt>
                <c:pt idx="93" formatCode="mmm\-aa">
                  <c:v>44805</c:v>
                </c:pt>
                <c:pt idx="94" formatCode="mmm\-aa">
                  <c:v>44835</c:v>
                </c:pt>
                <c:pt idx="95" formatCode="mmm\-aa">
                  <c:v>44866</c:v>
                </c:pt>
                <c:pt idx="96" formatCode="mmm\-aa">
                  <c:v>44896</c:v>
                </c:pt>
              </c:numCache>
            </c:numRef>
          </c:cat>
          <c:val>
            <c:numRef>
              <c:f>'12M glissant produits &amp; sites'!$J$104:$J$200</c:f>
              <c:numCache>
                <c:formatCode>_-* #\ ##0\ [$€-40C]_-;\-* #\ ##0\ [$€-40C]_-;_-* "-"??\ [$€-40C]_-;_-@_-</c:formatCode>
                <c:ptCount val="97"/>
                <c:pt idx="0">
                  <c:v>183542.80000000002</c:v>
                </c:pt>
                <c:pt idx="1">
                  <c:v>202312.43000000002</c:v>
                </c:pt>
                <c:pt idx="2">
                  <c:v>207271.82</c:v>
                </c:pt>
                <c:pt idx="3">
                  <c:v>218310.71000000002</c:v>
                </c:pt>
                <c:pt idx="4">
                  <c:v>212136.41000000003</c:v>
                </c:pt>
                <c:pt idx="5">
                  <c:v>211135.76000000007</c:v>
                </c:pt>
                <c:pt idx="6">
                  <c:v>223817.27000000008</c:v>
                </c:pt>
                <c:pt idx="7">
                  <c:v>235752.57000000007</c:v>
                </c:pt>
                <c:pt idx="8">
                  <c:v>217794.37000000002</c:v>
                </c:pt>
                <c:pt idx="9">
                  <c:v>216470.82</c:v>
                </c:pt>
                <c:pt idx="10">
                  <c:v>220156.33999999997</c:v>
                </c:pt>
                <c:pt idx="11">
                  <c:v>209338.08999999997</c:v>
                </c:pt>
                <c:pt idx="12">
                  <c:v>203514.9</c:v>
                </c:pt>
                <c:pt idx="13">
                  <c:v>235775.72999999998</c:v>
                </c:pt>
                <c:pt idx="14">
                  <c:v>226537.54000000004</c:v>
                </c:pt>
                <c:pt idx="15">
                  <c:v>282692.31000000006</c:v>
                </c:pt>
                <c:pt idx="16">
                  <c:v>288638.15999999997</c:v>
                </c:pt>
                <c:pt idx="17">
                  <c:v>280242.21000000002</c:v>
                </c:pt>
                <c:pt idx="18">
                  <c:v>278692.39999999997</c:v>
                </c:pt>
                <c:pt idx="19">
                  <c:v>264388.85000000003</c:v>
                </c:pt>
                <c:pt idx="20">
                  <c:v>270254.30000000005</c:v>
                </c:pt>
                <c:pt idx="21">
                  <c:v>275692</c:v>
                </c:pt>
                <c:pt idx="22">
                  <c:v>271998.88999999996</c:v>
                </c:pt>
                <c:pt idx="23">
                  <c:v>281516.20999999996</c:v>
                </c:pt>
                <c:pt idx="24">
                  <c:v>279943.17</c:v>
                </c:pt>
                <c:pt idx="25">
                  <c:v>233348.43000000002</c:v>
                </c:pt>
                <c:pt idx="26">
                  <c:v>238558.07</c:v>
                </c:pt>
                <c:pt idx="27">
                  <c:v>171500.33999999997</c:v>
                </c:pt>
                <c:pt idx="28">
                  <c:v>166018.93999999997</c:v>
                </c:pt>
                <c:pt idx="29">
                  <c:v>184966.13999999998</c:v>
                </c:pt>
                <c:pt idx="30">
                  <c:v>204587.24</c:v>
                </c:pt>
                <c:pt idx="31">
                  <c:v>201087.09000000003</c:v>
                </c:pt>
                <c:pt idx="32">
                  <c:v>195527.78999999998</c:v>
                </c:pt>
                <c:pt idx="33">
                  <c:v>181812.09</c:v>
                </c:pt>
                <c:pt idx="34">
                  <c:v>172238.49000000002</c:v>
                </c:pt>
                <c:pt idx="35">
                  <c:v>160126.32</c:v>
                </c:pt>
                <c:pt idx="36">
                  <c:v>159978.52000000002</c:v>
                </c:pt>
                <c:pt idx="37">
                  <c:v>157871.22000000003</c:v>
                </c:pt>
                <c:pt idx="38">
                  <c:v>170596.33000000002</c:v>
                </c:pt>
                <c:pt idx="39">
                  <c:v>178268.3</c:v>
                </c:pt>
                <c:pt idx="40">
                  <c:v>174431.53</c:v>
                </c:pt>
                <c:pt idx="41">
                  <c:v>170413.38999999998</c:v>
                </c:pt>
                <c:pt idx="42">
                  <c:v>151068.34</c:v>
                </c:pt>
                <c:pt idx="43">
                  <c:v>150397.59</c:v>
                </c:pt>
                <c:pt idx="44">
                  <c:v>156604.99000000002</c:v>
                </c:pt>
                <c:pt idx="45">
                  <c:v>164667.62</c:v>
                </c:pt>
                <c:pt idx="46">
                  <c:v>179119.12</c:v>
                </c:pt>
                <c:pt idx="47">
                  <c:v>181688.47</c:v>
                </c:pt>
                <c:pt idx="48">
                  <c:v>182428.3</c:v>
                </c:pt>
                <c:pt idx="49">
                  <c:v>198843.01</c:v>
                </c:pt>
                <c:pt idx="50">
                  <c:v>177488.81</c:v>
                </c:pt>
                <c:pt idx="51">
                  <c:v>167856.2</c:v>
                </c:pt>
                <c:pt idx="52">
                  <c:v>168280.17</c:v>
                </c:pt>
                <c:pt idx="53">
                  <c:v>173238.92</c:v>
                </c:pt>
                <c:pt idx="54">
                  <c:v>170116.12000000002</c:v>
                </c:pt>
                <c:pt idx="55">
                  <c:v>174435.62000000002</c:v>
                </c:pt>
                <c:pt idx="56">
                  <c:v>159231.52000000002</c:v>
                </c:pt>
                <c:pt idx="57">
                  <c:v>161072.49000000002</c:v>
                </c:pt>
                <c:pt idx="58">
                  <c:v>151749.63999999998</c:v>
                </c:pt>
                <c:pt idx="59">
                  <c:v>149853.15</c:v>
                </c:pt>
                <c:pt idx="60">
                  <c:v>140857.28</c:v>
                </c:pt>
                <c:pt idx="61">
                  <c:v>127791.03</c:v>
                </c:pt>
                <c:pt idx="62">
                  <c:v>137674.76999999999</c:v>
                </c:pt>
                <c:pt idx="63">
                  <c:v>132462.16999999998</c:v>
                </c:pt>
                <c:pt idx="64">
                  <c:v>129883.07</c:v>
                </c:pt>
                <c:pt idx="65">
                  <c:v>110759.16</c:v>
                </c:pt>
                <c:pt idx="66">
                  <c:v>105057.46</c:v>
                </c:pt>
                <c:pt idx="67">
                  <c:v>100757.76000000001</c:v>
                </c:pt>
                <c:pt idx="68">
                  <c:v>107362.26000000001</c:v>
                </c:pt>
                <c:pt idx="69">
                  <c:v>100468.46</c:v>
                </c:pt>
                <c:pt idx="70">
                  <c:v>93480.57</c:v>
                </c:pt>
                <c:pt idx="71">
                  <c:v>92101.010000000009</c:v>
                </c:pt>
                <c:pt idx="72">
                  <c:v>99527.85</c:v>
                </c:pt>
                <c:pt idx="73">
                  <c:v>104539.9</c:v>
                </c:pt>
                <c:pt idx="74">
                  <c:v>93136.989999999991</c:v>
                </c:pt>
                <c:pt idx="75">
                  <c:v>98293.389999999985</c:v>
                </c:pt>
                <c:pt idx="76">
                  <c:v>95364.189999999988</c:v>
                </c:pt>
                <c:pt idx="77">
                  <c:v>96999.489999999991</c:v>
                </c:pt>
                <c:pt idx="78">
                  <c:v>102476.79</c:v>
                </c:pt>
                <c:pt idx="79">
                  <c:v>111340.71</c:v>
                </c:pt>
                <c:pt idx="80">
                  <c:v>107055.71</c:v>
                </c:pt>
                <c:pt idx="81">
                  <c:v>103316.11</c:v>
                </c:pt>
                <c:pt idx="82">
                  <c:v>108757.25</c:v>
                </c:pt>
                <c:pt idx="83">
                  <c:v>110043.8</c:v>
                </c:pt>
                <c:pt idx="84">
                  <c:v>107240.88</c:v>
                </c:pt>
                <c:pt idx="85">
                  <c:v>119599.33</c:v>
                </c:pt>
                <c:pt idx="86">
                  <c:v>129114.5</c:v>
                </c:pt>
                <c:pt idx="87">
                  <c:v>131102.1</c:v>
                </c:pt>
                <c:pt idx="88">
                  <c:v>146459.08000000002</c:v>
                </c:pt>
                <c:pt idx="89">
                  <c:v>152872.89000000001</c:v>
                </c:pt>
                <c:pt idx="90">
                  <c:v>159333.59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B0AC-4DDF-86B7-1EC5AD0E25FE}"/>
            </c:ext>
          </c:extLst>
        </c:ser>
        <c:ser>
          <c:idx val="10"/>
          <c:order val="9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sites'!$A$104:$A$200</c:f>
              <c:numCache>
                <c:formatCode>[$-40C]mmm\-aa;@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 formatCode="mmm\-aa">
                  <c:v>43101</c:v>
                </c:pt>
                <c:pt idx="38" formatCode="mmm\-aa">
                  <c:v>43132</c:v>
                </c:pt>
                <c:pt idx="39" formatCode="mmm\-aa">
                  <c:v>43160</c:v>
                </c:pt>
                <c:pt idx="40" formatCode="mmm\-aa">
                  <c:v>43191</c:v>
                </c:pt>
                <c:pt idx="41" formatCode="mmm\-aa">
                  <c:v>43221</c:v>
                </c:pt>
                <c:pt idx="42" formatCode="mmm\-aa">
                  <c:v>43252</c:v>
                </c:pt>
                <c:pt idx="43" formatCode="mmm\-aa">
                  <c:v>43282</c:v>
                </c:pt>
                <c:pt idx="44" formatCode="mmm\-aa">
                  <c:v>43313</c:v>
                </c:pt>
                <c:pt idx="45" formatCode="mmm\-aa">
                  <c:v>43344</c:v>
                </c:pt>
                <c:pt idx="46" formatCode="mmm\-aa">
                  <c:v>43374</c:v>
                </c:pt>
                <c:pt idx="47" formatCode="mmm\-aa">
                  <c:v>43405</c:v>
                </c:pt>
                <c:pt idx="48" formatCode="mmm\-aa">
                  <c:v>43435</c:v>
                </c:pt>
                <c:pt idx="49" formatCode="mmm\-aa">
                  <c:v>43466</c:v>
                </c:pt>
                <c:pt idx="50" formatCode="mmm\-aa">
                  <c:v>43497</c:v>
                </c:pt>
                <c:pt idx="51" formatCode="mmm\-aa">
                  <c:v>43525</c:v>
                </c:pt>
                <c:pt idx="52" formatCode="mmm\-aa">
                  <c:v>43556</c:v>
                </c:pt>
                <c:pt idx="53" formatCode="mmm\-aa">
                  <c:v>43586</c:v>
                </c:pt>
                <c:pt idx="54" formatCode="mmm\-aa">
                  <c:v>43617</c:v>
                </c:pt>
                <c:pt idx="55" formatCode="mmm\-aa">
                  <c:v>43647</c:v>
                </c:pt>
                <c:pt idx="56" formatCode="mmm\-aa">
                  <c:v>43678</c:v>
                </c:pt>
                <c:pt idx="57" formatCode="mmm\-aa">
                  <c:v>43709</c:v>
                </c:pt>
                <c:pt idx="58" formatCode="mmm\-aa">
                  <c:v>43739</c:v>
                </c:pt>
                <c:pt idx="59" formatCode="mmm\-aa">
                  <c:v>43770</c:v>
                </c:pt>
                <c:pt idx="60" formatCode="mmm\-aa">
                  <c:v>43800</c:v>
                </c:pt>
                <c:pt idx="61" formatCode="mmm\-aa">
                  <c:v>43831</c:v>
                </c:pt>
                <c:pt idx="62" formatCode="mmm\-aa">
                  <c:v>43862</c:v>
                </c:pt>
                <c:pt idx="63" formatCode="mmm\-aa">
                  <c:v>43891</c:v>
                </c:pt>
                <c:pt idx="64" formatCode="mmm\-aa">
                  <c:v>43922</c:v>
                </c:pt>
                <c:pt idx="65" formatCode="mmm\-aa">
                  <c:v>43952</c:v>
                </c:pt>
                <c:pt idx="66" formatCode="mmm\-aa">
                  <c:v>43983</c:v>
                </c:pt>
                <c:pt idx="67" formatCode="mmm\-aa">
                  <c:v>44013</c:v>
                </c:pt>
                <c:pt idx="68" formatCode="mmm\-aa">
                  <c:v>44044</c:v>
                </c:pt>
                <c:pt idx="69" formatCode="mmm\-aa">
                  <c:v>44075</c:v>
                </c:pt>
                <c:pt idx="70" formatCode="mmm\-aa">
                  <c:v>44105</c:v>
                </c:pt>
                <c:pt idx="71" formatCode="mmm\-aa">
                  <c:v>44136</c:v>
                </c:pt>
                <c:pt idx="72" formatCode="mmm\-aa">
                  <c:v>44166</c:v>
                </c:pt>
                <c:pt idx="73" formatCode="mmm\-aa">
                  <c:v>44197</c:v>
                </c:pt>
                <c:pt idx="74" formatCode="mmm\-aa">
                  <c:v>44228</c:v>
                </c:pt>
                <c:pt idx="75" formatCode="mmm\-aa">
                  <c:v>44256</c:v>
                </c:pt>
                <c:pt idx="76" formatCode="mmm\-aa">
                  <c:v>44287</c:v>
                </c:pt>
                <c:pt idx="77" formatCode="mmm\-aa">
                  <c:v>44317</c:v>
                </c:pt>
                <c:pt idx="78" formatCode="mmm\-aa">
                  <c:v>44348</c:v>
                </c:pt>
                <c:pt idx="79" formatCode="mmm\-aa">
                  <c:v>44378</c:v>
                </c:pt>
                <c:pt idx="80" formatCode="mmm\-aa">
                  <c:v>44409</c:v>
                </c:pt>
                <c:pt idx="81" formatCode="mmm\-aa">
                  <c:v>44440</c:v>
                </c:pt>
                <c:pt idx="82" formatCode="mmm\-aa">
                  <c:v>44470</c:v>
                </c:pt>
                <c:pt idx="83" formatCode="mmm\-aa">
                  <c:v>44501</c:v>
                </c:pt>
                <c:pt idx="84" formatCode="mmm\-aa">
                  <c:v>44531</c:v>
                </c:pt>
                <c:pt idx="85" formatCode="mmm\-aa">
                  <c:v>44562</c:v>
                </c:pt>
                <c:pt idx="86" formatCode="mmm\-aa">
                  <c:v>44593</c:v>
                </c:pt>
                <c:pt idx="87" formatCode="mmm\-aa">
                  <c:v>44621</c:v>
                </c:pt>
                <c:pt idx="88" formatCode="mmm\-aa">
                  <c:v>44652</c:v>
                </c:pt>
                <c:pt idx="89" formatCode="mmm\-aa">
                  <c:v>44682</c:v>
                </c:pt>
                <c:pt idx="90" formatCode="mmm\-aa">
                  <c:v>44713</c:v>
                </c:pt>
                <c:pt idx="91" formatCode="mmm\-aa">
                  <c:v>44743</c:v>
                </c:pt>
                <c:pt idx="92" formatCode="mmm\-aa">
                  <c:v>44774</c:v>
                </c:pt>
                <c:pt idx="93" formatCode="mmm\-aa">
                  <c:v>44805</c:v>
                </c:pt>
                <c:pt idx="94" formatCode="mmm\-aa">
                  <c:v>44835</c:v>
                </c:pt>
                <c:pt idx="95" formatCode="mmm\-aa">
                  <c:v>44866</c:v>
                </c:pt>
                <c:pt idx="96" formatCode="mmm\-aa">
                  <c:v>44896</c:v>
                </c:pt>
              </c:numCache>
            </c:numRef>
          </c:cat>
          <c:val>
            <c:numRef>
              <c:f>'12M glissant produits &amp; sites'!$K$104:$K$200</c:f>
              <c:numCache>
                <c:formatCode>_-* #\ ##0\ [$€-40C]_-;\-* #\ ##0\ [$€-40C]_-;_-* "-"??\ [$€-40C]_-;_-@_-</c:formatCode>
                <c:ptCount val="97"/>
                <c:pt idx="0">
                  <c:v>563955.06999999995</c:v>
                </c:pt>
                <c:pt idx="1">
                  <c:v>565287.57999999996</c:v>
                </c:pt>
                <c:pt idx="2">
                  <c:v>555184.77</c:v>
                </c:pt>
                <c:pt idx="3">
                  <c:v>545785.55999999994</c:v>
                </c:pt>
                <c:pt idx="4">
                  <c:v>552236.87</c:v>
                </c:pt>
                <c:pt idx="5">
                  <c:v>546456.20000000007</c:v>
                </c:pt>
                <c:pt idx="6">
                  <c:v>567074.11</c:v>
                </c:pt>
                <c:pt idx="7">
                  <c:v>558078.76</c:v>
                </c:pt>
                <c:pt idx="8">
                  <c:v>548006.70000000007</c:v>
                </c:pt>
                <c:pt idx="9">
                  <c:v>538159.55000000016</c:v>
                </c:pt>
                <c:pt idx="10">
                  <c:v>557448.72000000032</c:v>
                </c:pt>
                <c:pt idx="11">
                  <c:v>545568.92000000039</c:v>
                </c:pt>
                <c:pt idx="12">
                  <c:v>497196.25000000029</c:v>
                </c:pt>
                <c:pt idx="13">
                  <c:v>514673.14000000036</c:v>
                </c:pt>
                <c:pt idx="14">
                  <c:v>528947.62000000034</c:v>
                </c:pt>
                <c:pt idx="15">
                  <c:v>521484.37000000029</c:v>
                </c:pt>
                <c:pt idx="16">
                  <c:v>514868.63000000035</c:v>
                </c:pt>
                <c:pt idx="17">
                  <c:v>515079.25000000035</c:v>
                </c:pt>
                <c:pt idx="18">
                  <c:v>506181.8700000004</c:v>
                </c:pt>
                <c:pt idx="19">
                  <c:v>492281.7900000005</c:v>
                </c:pt>
                <c:pt idx="20">
                  <c:v>493696.28000000049</c:v>
                </c:pt>
                <c:pt idx="21">
                  <c:v>478656.96000000043</c:v>
                </c:pt>
                <c:pt idx="22">
                  <c:v>463680.73000000033</c:v>
                </c:pt>
                <c:pt idx="23">
                  <c:v>440588.33000000037</c:v>
                </c:pt>
                <c:pt idx="24">
                  <c:v>427553.91000000027</c:v>
                </c:pt>
                <c:pt idx="25">
                  <c:v>417064.28000000026</c:v>
                </c:pt>
                <c:pt idx="26">
                  <c:v>388844.62000000023</c:v>
                </c:pt>
                <c:pt idx="27">
                  <c:v>390981.39000000025</c:v>
                </c:pt>
                <c:pt idx="28">
                  <c:v>379785.87000000005</c:v>
                </c:pt>
                <c:pt idx="29">
                  <c:v>394996.81000000011</c:v>
                </c:pt>
                <c:pt idx="30">
                  <c:v>389476.63</c:v>
                </c:pt>
                <c:pt idx="31">
                  <c:v>394936.38000000006</c:v>
                </c:pt>
                <c:pt idx="32">
                  <c:v>398402.52000000008</c:v>
                </c:pt>
                <c:pt idx="33">
                  <c:v>401810.94000000012</c:v>
                </c:pt>
                <c:pt idx="34">
                  <c:v>401616.6100000001</c:v>
                </c:pt>
                <c:pt idx="35">
                  <c:v>390327.13</c:v>
                </c:pt>
                <c:pt idx="36">
                  <c:v>388826.43</c:v>
                </c:pt>
                <c:pt idx="37">
                  <c:v>408025.81000000006</c:v>
                </c:pt>
                <c:pt idx="38">
                  <c:v>407267.23000000004</c:v>
                </c:pt>
                <c:pt idx="39">
                  <c:v>415537.38000000006</c:v>
                </c:pt>
                <c:pt idx="40">
                  <c:v>422276.94000000006</c:v>
                </c:pt>
                <c:pt idx="41">
                  <c:v>398217.61000000004</c:v>
                </c:pt>
                <c:pt idx="42">
                  <c:v>393244.06999999995</c:v>
                </c:pt>
                <c:pt idx="43">
                  <c:v>393226.04999999993</c:v>
                </c:pt>
                <c:pt idx="44">
                  <c:v>405342.20999999996</c:v>
                </c:pt>
                <c:pt idx="45">
                  <c:v>412211.23000000004</c:v>
                </c:pt>
                <c:pt idx="46">
                  <c:v>423269.39000000007</c:v>
                </c:pt>
                <c:pt idx="47">
                  <c:v>427117.90000000008</c:v>
                </c:pt>
                <c:pt idx="48">
                  <c:v>427832.60000000009</c:v>
                </c:pt>
                <c:pt idx="49">
                  <c:v>408083.83000000007</c:v>
                </c:pt>
                <c:pt idx="50">
                  <c:v>411450.05000000005</c:v>
                </c:pt>
                <c:pt idx="51">
                  <c:v>405430.64</c:v>
                </c:pt>
                <c:pt idx="52">
                  <c:v>403814.1</c:v>
                </c:pt>
                <c:pt idx="53">
                  <c:v>407443.45</c:v>
                </c:pt>
                <c:pt idx="54">
                  <c:v>407677.53</c:v>
                </c:pt>
                <c:pt idx="55">
                  <c:v>401669.33000000007</c:v>
                </c:pt>
                <c:pt idx="56">
                  <c:v>398261.59000000008</c:v>
                </c:pt>
                <c:pt idx="57">
                  <c:v>393144.74</c:v>
                </c:pt>
                <c:pt idx="58">
                  <c:v>373637.94999999995</c:v>
                </c:pt>
                <c:pt idx="59">
                  <c:v>375961.80999999994</c:v>
                </c:pt>
                <c:pt idx="60">
                  <c:v>371952.92</c:v>
                </c:pt>
                <c:pt idx="61">
                  <c:v>369531.03</c:v>
                </c:pt>
                <c:pt idx="62">
                  <c:v>377158.07000000007</c:v>
                </c:pt>
                <c:pt idx="63">
                  <c:v>363071.01999999996</c:v>
                </c:pt>
                <c:pt idx="64">
                  <c:v>332799.0500000001</c:v>
                </c:pt>
                <c:pt idx="65">
                  <c:v>310317.93000000005</c:v>
                </c:pt>
                <c:pt idx="66">
                  <c:v>288684.19000000012</c:v>
                </c:pt>
                <c:pt idx="67">
                  <c:v>288063.56999999995</c:v>
                </c:pt>
                <c:pt idx="68">
                  <c:v>276371.87</c:v>
                </c:pt>
                <c:pt idx="69">
                  <c:v>273786.53999999998</c:v>
                </c:pt>
                <c:pt idx="70">
                  <c:v>260155.62999999998</c:v>
                </c:pt>
                <c:pt idx="71">
                  <c:v>256337.47</c:v>
                </c:pt>
                <c:pt idx="72">
                  <c:v>258265.46</c:v>
                </c:pt>
                <c:pt idx="73">
                  <c:v>256918.01</c:v>
                </c:pt>
                <c:pt idx="74">
                  <c:v>242747.96999999997</c:v>
                </c:pt>
                <c:pt idx="75">
                  <c:v>253485.33</c:v>
                </c:pt>
                <c:pt idx="76">
                  <c:v>286414.24</c:v>
                </c:pt>
                <c:pt idx="77">
                  <c:v>301912.84999999998</c:v>
                </c:pt>
                <c:pt idx="78">
                  <c:v>328445.00000000006</c:v>
                </c:pt>
                <c:pt idx="79">
                  <c:v>331643.68999999994</c:v>
                </c:pt>
                <c:pt idx="80">
                  <c:v>332345.62999999995</c:v>
                </c:pt>
                <c:pt idx="81">
                  <c:v>342557.17</c:v>
                </c:pt>
                <c:pt idx="82">
                  <c:v>360308.74</c:v>
                </c:pt>
                <c:pt idx="83">
                  <c:v>364564.09</c:v>
                </c:pt>
                <c:pt idx="84">
                  <c:v>364953.21</c:v>
                </c:pt>
                <c:pt idx="85">
                  <c:v>378143.56</c:v>
                </c:pt>
                <c:pt idx="86">
                  <c:v>382754.06</c:v>
                </c:pt>
                <c:pt idx="87">
                  <c:v>383506.72000000003</c:v>
                </c:pt>
                <c:pt idx="88">
                  <c:v>374335.21</c:v>
                </c:pt>
                <c:pt idx="89">
                  <c:v>380937.82</c:v>
                </c:pt>
                <c:pt idx="90">
                  <c:v>383048.55999999994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A-B0AC-4DDF-86B7-1EC5AD0E25FE}"/>
            </c:ext>
          </c:extLst>
        </c:ser>
        <c:ser>
          <c:idx val="12"/>
          <c:order val="10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sites'!$A$104:$A$200</c:f>
              <c:numCache>
                <c:formatCode>[$-40C]mmm\-aa;@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 formatCode="mmm\-aa">
                  <c:v>43101</c:v>
                </c:pt>
                <c:pt idx="38" formatCode="mmm\-aa">
                  <c:v>43132</c:v>
                </c:pt>
                <c:pt idx="39" formatCode="mmm\-aa">
                  <c:v>43160</c:v>
                </c:pt>
                <c:pt idx="40" formatCode="mmm\-aa">
                  <c:v>43191</c:v>
                </c:pt>
                <c:pt idx="41" formatCode="mmm\-aa">
                  <c:v>43221</c:v>
                </c:pt>
                <c:pt idx="42" formatCode="mmm\-aa">
                  <c:v>43252</c:v>
                </c:pt>
                <c:pt idx="43" formatCode="mmm\-aa">
                  <c:v>43282</c:v>
                </c:pt>
                <c:pt idx="44" formatCode="mmm\-aa">
                  <c:v>43313</c:v>
                </c:pt>
                <c:pt idx="45" formatCode="mmm\-aa">
                  <c:v>43344</c:v>
                </c:pt>
                <c:pt idx="46" formatCode="mmm\-aa">
                  <c:v>43374</c:v>
                </c:pt>
                <c:pt idx="47" formatCode="mmm\-aa">
                  <c:v>43405</c:v>
                </c:pt>
                <c:pt idx="48" formatCode="mmm\-aa">
                  <c:v>43435</c:v>
                </c:pt>
                <c:pt idx="49" formatCode="mmm\-aa">
                  <c:v>43466</c:v>
                </c:pt>
                <c:pt idx="50" formatCode="mmm\-aa">
                  <c:v>43497</c:v>
                </c:pt>
                <c:pt idx="51" formatCode="mmm\-aa">
                  <c:v>43525</c:v>
                </c:pt>
                <c:pt idx="52" formatCode="mmm\-aa">
                  <c:v>43556</c:v>
                </c:pt>
                <c:pt idx="53" formatCode="mmm\-aa">
                  <c:v>43586</c:v>
                </c:pt>
                <c:pt idx="54" formatCode="mmm\-aa">
                  <c:v>43617</c:v>
                </c:pt>
                <c:pt idx="55" formatCode="mmm\-aa">
                  <c:v>43647</c:v>
                </c:pt>
                <c:pt idx="56" formatCode="mmm\-aa">
                  <c:v>43678</c:v>
                </c:pt>
                <c:pt idx="57" formatCode="mmm\-aa">
                  <c:v>43709</c:v>
                </c:pt>
                <c:pt idx="58" formatCode="mmm\-aa">
                  <c:v>43739</c:v>
                </c:pt>
                <c:pt idx="59" formatCode="mmm\-aa">
                  <c:v>43770</c:v>
                </c:pt>
                <c:pt idx="60" formatCode="mmm\-aa">
                  <c:v>43800</c:v>
                </c:pt>
                <c:pt idx="61" formatCode="mmm\-aa">
                  <c:v>43831</c:v>
                </c:pt>
                <c:pt idx="62" formatCode="mmm\-aa">
                  <c:v>43862</c:v>
                </c:pt>
                <c:pt idx="63" formatCode="mmm\-aa">
                  <c:v>43891</c:v>
                </c:pt>
                <c:pt idx="64" formatCode="mmm\-aa">
                  <c:v>43922</c:v>
                </c:pt>
                <c:pt idx="65" formatCode="mmm\-aa">
                  <c:v>43952</c:v>
                </c:pt>
                <c:pt idx="66" formatCode="mmm\-aa">
                  <c:v>43983</c:v>
                </c:pt>
                <c:pt idx="67" formatCode="mmm\-aa">
                  <c:v>44013</c:v>
                </c:pt>
                <c:pt idx="68" formatCode="mmm\-aa">
                  <c:v>44044</c:v>
                </c:pt>
                <c:pt idx="69" formatCode="mmm\-aa">
                  <c:v>44075</c:v>
                </c:pt>
                <c:pt idx="70" formatCode="mmm\-aa">
                  <c:v>44105</c:v>
                </c:pt>
                <c:pt idx="71" formatCode="mmm\-aa">
                  <c:v>44136</c:v>
                </c:pt>
                <c:pt idx="72" formatCode="mmm\-aa">
                  <c:v>44166</c:v>
                </c:pt>
                <c:pt idx="73" formatCode="mmm\-aa">
                  <c:v>44197</c:v>
                </c:pt>
                <c:pt idx="74" formatCode="mmm\-aa">
                  <c:v>44228</c:v>
                </c:pt>
                <c:pt idx="75" formatCode="mmm\-aa">
                  <c:v>44256</c:v>
                </c:pt>
                <c:pt idx="76" formatCode="mmm\-aa">
                  <c:v>44287</c:v>
                </c:pt>
                <c:pt idx="77" formatCode="mmm\-aa">
                  <c:v>44317</c:v>
                </c:pt>
                <c:pt idx="78" formatCode="mmm\-aa">
                  <c:v>44348</c:v>
                </c:pt>
                <c:pt idx="79" formatCode="mmm\-aa">
                  <c:v>44378</c:v>
                </c:pt>
                <c:pt idx="80" formatCode="mmm\-aa">
                  <c:v>44409</c:v>
                </c:pt>
                <c:pt idx="81" formatCode="mmm\-aa">
                  <c:v>44440</c:v>
                </c:pt>
                <c:pt idx="82" formatCode="mmm\-aa">
                  <c:v>44470</c:v>
                </c:pt>
                <c:pt idx="83" formatCode="mmm\-aa">
                  <c:v>44501</c:v>
                </c:pt>
                <c:pt idx="84" formatCode="mmm\-aa">
                  <c:v>44531</c:v>
                </c:pt>
                <c:pt idx="85" formatCode="mmm\-aa">
                  <c:v>44562</c:v>
                </c:pt>
                <c:pt idx="86" formatCode="mmm\-aa">
                  <c:v>44593</c:v>
                </c:pt>
                <c:pt idx="87" formatCode="mmm\-aa">
                  <c:v>44621</c:v>
                </c:pt>
                <c:pt idx="88" formatCode="mmm\-aa">
                  <c:v>44652</c:v>
                </c:pt>
                <c:pt idx="89" formatCode="mmm\-aa">
                  <c:v>44682</c:v>
                </c:pt>
                <c:pt idx="90" formatCode="mmm\-aa">
                  <c:v>44713</c:v>
                </c:pt>
                <c:pt idx="91" formatCode="mmm\-aa">
                  <c:v>44743</c:v>
                </c:pt>
                <c:pt idx="92" formatCode="mmm\-aa">
                  <c:v>44774</c:v>
                </c:pt>
                <c:pt idx="93" formatCode="mmm\-aa">
                  <c:v>44805</c:v>
                </c:pt>
                <c:pt idx="94" formatCode="mmm\-aa">
                  <c:v>44835</c:v>
                </c:pt>
                <c:pt idx="95" formatCode="mmm\-aa">
                  <c:v>44866</c:v>
                </c:pt>
                <c:pt idx="96" formatCode="mmm\-aa">
                  <c:v>44896</c:v>
                </c:pt>
              </c:numCache>
            </c:numRef>
          </c:cat>
          <c:val>
            <c:numRef>
              <c:f>'12M glissant produits &amp; sites'!$L$104:$L$200</c:f>
              <c:numCache>
                <c:formatCode>_-* #\ ##0\ [$€-40C]_-;\-* #\ ##0\ [$€-40C]_-;_-* "-"??\ [$€-40C]_-;_-@_-</c:formatCode>
                <c:ptCount val="97"/>
                <c:pt idx="0">
                  <c:v>151111.19000000006</c:v>
                </c:pt>
                <c:pt idx="1">
                  <c:v>157116.24000000008</c:v>
                </c:pt>
                <c:pt idx="2">
                  <c:v>158185.83000000007</c:v>
                </c:pt>
                <c:pt idx="3">
                  <c:v>163171.11000000004</c:v>
                </c:pt>
                <c:pt idx="4">
                  <c:v>158017.25000000003</c:v>
                </c:pt>
                <c:pt idx="5">
                  <c:v>160493.14000000001</c:v>
                </c:pt>
                <c:pt idx="6">
                  <c:v>173718.23000000004</c:v>
                </c:pt>
                <c:pt idx="7">
                  <c:v>170773.53000000006</c:v>
                </c:pt>
                <c:pt idx="8">
                  <c:v>170466.72000000006</c:v>
                </c:pt>
                <c:pt idx="9">
                  <c:v>171730.87000000005</c:v>
                </c:pt>
                <c:pt idx="10">
                  <c:v>184319.07000000004</c:v>
                </c:pt>
                <c:pt idx="11">
                  <c:v>185465.56000000003</c:v>
                </c:pt>
                <c:pt idx="12">
                  <c:v>184913.34</c:v>
                </c:pt>
                <c:pt idx="13">
                  <c:v>180193.78999999998</c:v>
                </c:pt>
                <c:pt idx="14">
                  <c:v>180655.07</c:v>
                </c:pt>
                <c:pt idx="15">
                  <c:v>177593.92999999996</c:v>
                </c:pt>
                <c:pt idx="16">
                  <c:v>186499.06</c:v>
                </c:pt>
                <c:pt idx="17">
                  <c:v>187072.98</c:v>
                </c:pt>
                <c:pt idx="18">
                  <c:v>182574.67000000004</c:v>
                </c:pt>
                <c:pt idx="19">
                  <c:v>180127.25</c:v>
                </c:pt>
                <c:pt idx="20">
                  <c:v>188274.28</c:v>
                </c:pt>
                <c:pt idx="21">
                  <c:v>179756.15000000002</c:v>
                </c:pt>
                <c:pt idx="22">
                  <c:v>163600.89000000004</c:v>
                </c:pt>
                <c:pt idx="23">
                  <c:v>166730.06000000006</c:v>
                </c:pt>
                <c:pt idx="24">
                  <c:v>155782.91999999998</c:v>
                </c:pt>
                <c:pt idx="25">
                  <c:v>148016.71</c:v>
                </c:pt>
                <c:pt idx="26">
                  <c:v>150976.02000000002</c:v>
                </c:pt>
                <c:pt idx="27">
                  <c:v>145496.63</c:v>
                </c:pt>
                <c:pt idx="28">
                  <c:v>131528.06000000003</c:v>
                </c:pt>
                <c:pt idx="29">
                  <c:v>127986.90000000001</c:v>
                </c:pt>
                <c:pt idx="30">
                  <c:v>117468.22</c:v>
                </c:pt>
                <c:pt idx="31">
                  <c:v>115472.01000000001</c:v>
                </c:pt>
                <c:pt idx="32">
                  <c:v>111953.76000000001</c:v>
                </c:pt>
                <c:pt idx="33">
                  <c:v>107320.65999999999</c:v>
                </c:pt>
                <c:pt idx="34">
                  <c:v>107600.30000000002</c:v>
                </c:pt>
                <c:pt idx="35">
                  <c:v>96339.780000000013</c:v>
                </c:pt>
                <c:pt idx="36">
                  <c:v>97183.85</c:v>
                </c:pt>
                <c:pt idx="37">
                  <c:v>101146.07</c:v>
                </c:pt>
                <c:pt idx="38">
                  <c:v>91737.139999999985</c:v>
                </c:pt>
                <c:pt idx="39">
                  <c:v>90106.12</c:v>
                </c:pt>
                <c:pt idx="40">
                  <c:v>106054.85</c:v>
                </c:pt>
                <c:pt idx="41">
                  <c:v>103739.13</c:v>
                </c:pt>
                <c:pt idx="42">
                  <c:v>104707.87000000001</c:v>
                </c:pt>
                <c:pt idx="43">
                  <c:v>107418.22</c:v>
                </c:pt>
                <c:pt idx="44">
                  <c:v>108135.24</c:v>
                </c:pt>
                <c:pt idx="45">
                  <c:v>112968.30000000002</c:v>
                </c:pt>
                <c:pt idx="46">
                  <c:v>122040.19</c:v>
                </c:pt>
                <c:pt idx="47">
                  <c:v>129887.18000000001</c:v>
                </c:pt>
                <c:pt idx="48">
                  <c:v>139985.91</c:v>
                </c:pt>
                <c:pt idx="49">
                  <c:v>140814.61999999997</c:v>
                </c:pt>
                <c:pt idx="50">
                  <c:v>144317.72999999998</c:v>
                </c:pt>
                <c:pt idx="51">
                  <c:v>138203.12999999998</c:v>
                </c:pt>
                <c:pt idx="52">
                  <c:v>124671.08000000002</c:v>
                </c:pt>
                <c:pt idx="53">
                  <c:v>127914.00000000001</c:v>
                </c:pt>
                <c:pt idx="54">
                  <c:v>131252.26</c:v>
                </c:pt>
                <c:pt idx="55">
                  <c:v>127888.87000000001</c:v>
                </c:pt>
                <c:pt idx="56">
                  <c:v>122274.06000000001</c:v>
                </c:pt>
                <c:pt idx="57">
                  <c:v>135930.02000000002</c:v>
                </c:pt>
                <c:pt idx="58">
                  <c:v>132591.28</c:v>
                </c:pt>
                <c:pt idx="59">
                  <c:v>126224.06999999999</c:v>
                </c:pt>
                <c:pt idx="60">
                  <c:v>116293.84</c:v>
                </c:pt>
                <c:pt idx="61">
                  <c:v>147578.36000000002</c:v>
                </c:pt>
                <c:pt idx="62">
                  <c:v>148288.78</c:v>
                </c:pt>
                <c:pt idx="63">
                  <c:v>153469.80999999997</c:v>
                </c:pt>
                <c:pt idx="64">
                  <c:v>147920.43</c:v>
                </c:pt>
                <c:pt idx="65">
                  <c:v>138953.20000000001</c:v>
                </c:pt>
                <c:pt idx="66">
                  <c:v>129533.87000000002</c:v>
                </c:pt>
                <c:pt idx="67">
                  <c:v>140081.14000000001</c:v>
                </c:pt>
                <c:pt idx="68">
                  <c:v>143880.09000000003</c:v>
                </c:pt>
                <c:pt idx="69">
                  <c:v>133118.75</c:v>
                </c:pt>
                <c:pt idx="70">
                  <c:v>130201.47</c:v>
                </c:pt>
                <c:pt idx="71">
                  <c:v>128889.77000000002</c:v>
                </c:pt>
                <c:pt idx="72">
                  <c:v>130589.78</c:v>
                </c:pt>
                <c:pt idx="73">
                  <c:v>95117.460000000021</c:v>
                </c:pt>
                <c:pt idx="74">
                  <c:v>100014.03000000001</c:v>
                </c:pt>
                <c:pt idx="75">
                  <c:v>105569.44</c:v>
                </c:pt>
                <c:pt idx="76">
                  <c:v>111450.40999999999</c:v>
                </c:pt>
                <c:pt idx="77">
                  <c:v>116643.6</c:v>
                </c:pt>
                <c:pt idx="78">
                  <c:v>123733.55</c:v>
                </c:pt>
                <c:pt idx="79">
                  <c:v>112016.56999999999</c:v>
                </c:pt>
                <c:pt idx="80">
                  <c:v>110884.43999999999</c:v>
                </c:pt>
                <c:pt idx="81">
                  <c:v>104755.9</c:v>
                </c:pt>
                <c:pt idx="82">
                  <c:v>105305.31</c:v>
                </c:pt>
                <c:pt idx="83">
                  <c:v>105380.54</c:v>
                </c:pt>
                <c:pt idx="84">
                  <c:v>103290.64</c:v>
                </c:pt>
                <c:pt idx="85">
                  <c:v>104538.16</c:v>
                </c:pt>
                <c:pt idx="86">
                  <c:v>95768.3</c:v>
                </c:pt>
                <c:pt idx="87">
                  <c:v>91529.51999999999</c:v>
                </c:pt>
                <c:pt idx="88">
                  <c:v>88583.54</c:v>
                </c:pt>
                <c:pt idx="89">
                  <c:v>87069.61</c:v>
                </c:pt>
                <c:pt idx="90">
                  <c:v>84579.959999999992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C-B0AC-4DDF-86B7-1EC5AD0E25FE}"/>
            </c:ext>
          </c:extLst>
        </c:ser>
        <c:ser>
          <c:idx val="13"/>
          <c:order val="11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sites'!$A$104:$A$200</c:f>
              <c:numCache>
                <c:formatCode>[$-40C]mmm\-aa;@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 formatCode="mmm\-aa">
                  <c:v>43101</c:v>
                </c:pt>
                <c:pt idx="38" formatCode="mmm\-aa">
                  <c:v>43132</c:v>
                </c:pt>
                <c:pt idx="39" formatCode="mmm\-aa">
                  <c:v>43160</c:v>
                </c:pt>
                <c:pt idx="40" formatCode="mmm\-aa">
                  <c:v>43191</c:v>
                </c:pt>
                <c:pt idx="41" formatCode="mmm\-aa">
                  <c:v>43221</c:v>
                </c:pt>
                <c:pt idx="42" formatCode="mmm\-aa">
                  <c:v>43252</c:v>
                </c:pt>
                <c:pt idx="43" formatCode="mmm\-aa">
                  <c:v>43282</c:v>
                </c:pt>
                <c:pt idx="44" formatCode="mmm\-aa">
                  <c:v>43313</c:v>
                </c:pt>
                <c:pt idx="45" formatCode="mmm\-aa">
                  <c:v>43344</c:v>
                </c:pt>
                <c:pt idx="46" formatCode="mmm\-aa">
                  <c:v>43374</c:v>
                </c:pt>
                <c:pt idx="47" formatCode="mmm\-aa">
                  <c:v>43405</c:v>
                </c:pt>
                <c:pt idx="48" formatCode="mmm\-aa">
                  <c:v>43435</c:v>
                </c:pt>
                <c:pt idx="49" formatCode="mmm\-aa">
                  <c:v>43466</c:v>
                </c:pt>
                <c:pt idx="50" formatCode="mmm\-aa">
                  <c:v>43497</c:v>
                </c:pt>
                <c:pt idx="51" formatCode="mmm\-aa">
                  <c:v>43525</c:v>
                </c:pt>
                <c:pt idx="52" formatCode="mmm\-aa">
                  <c:v>43556</c:v>
                </c:pt>
                <c:pt idx="53" formatCode="mmm\-aa">
                  <c:v>43586</c:v>
                </c:pt>
                <c:pt idx="54" formatCode="mmm\-aa">
                  <c:v>43617</c:v>
                </c:pt>
                <c:pt idx="55" formatCode="mmm\-aa">
                  <c:v>43647</c:v>
                </c:pt>
                <c:pt idx="56" formatCode="mmm\-aa">
                  <c:v>43678</c:v>
                </c:pt>
                <c:pt idx="57" formatCode="mmm\-aa">
                  <c:v>43709</c:v>
                </c:pt>
                <c:pt idx="58" formatCode="mmm\-aa">
                  <c:v>43739</c:v>
                </c:pt>
                <c:pt idx="59" formatCode="mmm\-aa">
                  <c:v>43770</c:v>
                </c:pt>
                <c:pt idx="60" formatCode="mmm\-aa">
                  <c:v>43800</c:v>
                </c:pt>
                <c:pt idx="61" formatCode="mmm\-aa">
                  <c:v>43831</c:v>
                </c:pt>
                <c:pt idx="62" formatCode="mmm\-aa">
                  <c:v>43862</c:v>
                </c:pt>
                <c:pt idx="63" formatCode="mmm\-aa">
                  <c:v>43891</c:v>
                </c:pt>
                <c:pt idx="64" formatCode="mmm\-aa">
                  <c:v>43922</c:v>
                </c:pt>
                <c:pt idx="65" formatCode="mmm\-aa">
                  <c:v>43952</c:v>
                </c:pt>
                <c:pt idx="66" formatCode="mmm\-aa">
                  <c:v>43983</c:v>
                </c:pt>
                <c:pt idx="67" formatCode="mmm\-aa">
                  <c:v>44013</c:v>
                </c:pt>
                <c:pt idx="68" formatCode="mmm\-aa">
                  <c:v>44044</c:v>
                </c:pt>
                <c:pt idx="69" formatCode="mmm\-aa">
                  <c:v>44075</c:v>
                </c:pt>
                <c:pt idx="70" formatCode="mmm\-aa">
                  <c:v>44105</c:v>
                </c:pt>
                <c:pt idx="71" formatCode="mmm\-aa">
                  <c:v>44136</c:v>
                </c:pt>
                <c:pt idx="72" formatCode="mmm\-aa">
                  <c:v>44166</c:v>
                </c:pt>
                <c:pt idx="73" formatCode="mmm\-aa">
                  <c:v>44197</c:v>
                </c:pt>
                <c:pt idx="74" formatCode="mmm\-aa">
                  <c:v>44228</c:v>
                </c:pt>
                <c:pt idx="75" formatCode="mmm\-aa">
                  <c:v>44256</c:v>
                </c:pt>
                <c:pt idx="76" formatCode="mmm\-aa">
                  <c:v>44287</c:v>
                </c:pt>
                <c:pt idx="77" formatCode="mmm\-aa">
                  <c:v>44317</c:v>
                </c:pt>
                <c:pt idx="78" formatCode="mmm\-aa">
                  <c:v>44348</c:v>
                </c:pt>
                <c:pt idx="79" formatCode="mmm\-aa">
                  <c:v>44378</c:v>
                </c:pt>
                <c:pt idx="80" formatCode="mmm\-aa">
                  <c:v>44409</c:v>
                </c:pt>
                <c:pt idx="81" formatCode="mmm\-aa">
                  <c:v>44440</c:v>
                </c:pt>
                <c:pt idx="82" formatCode="mmm\-aa">
                  <c:v>44470</c:v>
                </c:pt>
                <c:pt idx="83" formatCode="mmm\-aa">
                  <c:v>44501</c:v>
                </c:pt>
                <c:pt idx="84" formatCode="mmm\-aa">
                  <c:v>44531</c:v>
                </c:pt>
                <c:pt idx="85" formatCode="mmm\-aa">
                  <c:v>44562</c:v>
                </c:pt>
                <c:pt idx="86" formatCode="mmm\-aa">
                  <c:v>44593</c:v>
                </c:pt>
                <c:pt idx="87" formatCode="mmm\-aa">
                  <c:v>44621</c:v>
                </c:pt>
                <c:pt idx="88" formatCode="mmm\-aa">
                  <c:v>44652</c:v>
                </c:pt>
                <c:pt idx="89" formatCode="mmm\-aa">
                  <c:v>44682</c:v>
                </c:pt>
                <c:pt idx="90" formatCode="mmm\-aa">
                  <c:v>44713</c:v>
                </c:pt>
                <c:pt idx="91" formatCode="mmm\-aa">
                  <c:v>44743</c:v>
                </c:pt>
                <c:pt idx="92" formatCode="mmm\-aa">
                  <c:v>44774</c:v>
                </c:pt>
                <c:pt idx="93" formatCode="mmm\-aa">
                  <c:v>44805</c:v>
                </c:pt>
                <c:pt idx="94" formatCode="mmm\-aa">
                  <c:v>44835</c:v>
                </c:pt>
                <c:pt idx="95" formatCode="mmm\-aa">
                  <c:v>44866</c:v>
                </c:pt>
                <c:pt idx="96" formatCode="mmm\-aa">
                  <c:v>44896</c:v>
                </c:pt>
              </c:numCache>
            </c:numRef>
          </c:cat>
          <c:val>
            <c:numRef>
              <c:f>'12M glissant produits &amp; sites'!$M$104:$M$200</c:f>
              <c:numCache>
                <c:formatCode>_-* #\ ##0\ [$€-40C]_-;\-* #\ ##0\ [$€-40C]_-;_-* "-"??\ [$€-40C]_-;_-@_-</c:formatCode>
                <c:ptCount val="97"/>
                <c:pt idx="0">
                  <c:v>168460.67999999996</c:v>
                </c:pt>
                <c:pt idx="1">
                  <c:v>154327.31999999995</c:v>
                </c:pt>
                <c:pt idx="2">
                  <c:v>150403.91</c:v>
                </c:pt>
                <c:pt idx="3">
                  <c:v>122895.31000000001</c:v>
                </c:pt>
                <c:pt idx="4">
                  <c:v>122564.33000000002</c:v>
                </c:pt>
                <c:pt idx="5">
                  <c:v>119839.89000000001</c:v>
                </c:pt>
                <c:pt idx="6">
                  <c:v>119081.49000000002</c:v>
                </c:pt>
                <c:pt idx="7">
                  <c:v>114950.93000000002</c:v>
                </c:pt>
                <c:pt idx="8">
                  <c:v>119481.12000000001</c:v>
                </c:pt>
                <c:pt idx="9">
                  <c:v>117475.09000000001</c:v>
                </c:pt>
                <c:pt idx="10">
                  <c:v>115006.86000000003</c:v>
                </c:pt>
                <c:pt idx="11">
                  <c:v>116622.24000000003</c:v>
                </c:pt>
                <c:pt idx="12">
                  <c:v>106604.11000000002</c:v>
                </c:pt>
                <c:pt idx="13">
                  <c:v>109030.74000000002</c:v>
                </c:pt>
                <c:pt idx="14">
                  <c:v>109427.28000000001</c:v>
                </c:pt>
                <c:pt idx="15">
                  <c:v>111356.53000000001</c:v>
                </c:pt>
                <c:pt idx="16">
                  <c:v>113001.78</c:v>
                </c:pt>
                <c:pt idx="17">
                  <c:v>121201.44999999998</c:v>
                </c:pt>
                <c:pt idx="18">
                  <c:v>121480.14000000001</c:v>
                </c:pt>
                <c:pt idx="19">
                  <c:v>126879.85</c:v>
                </c:pt>
                <c:pt idx="20">
                  <c:v>128084.15999999999</c:v>
                </c:pt>
                <c:pt idx="21">
                  <c:v>128909.22999999998</c:v>
                </c:pt>
                <c:pt idx="22">
                  <c:v>134790.38999999998</c:v>
                </c:pt>
                <c:pt idx="23">
                  <c:v>140716.71999999997</c:v>
                </c:pt>
                <c:pt idx="24">
                  <c:v>155985.75999999998</c:v>
                </c:pt>
                <c:pt idx="25">
                  <c:v>166026.57999999999</c:v>
                </c:pt>
                <c:pt idx="26">
                  <c:v>170310.92</c:v>
                </c:pt>
                <c:pt idx="27">
                  <c:v>172113.92000000001</c:v>
                </c:pt>
                <c:pt idx="28">
                  <c:v>170543.22</c:v>
                </c:pt>
                <c:pt idx="29">
                  <c:v>163952.43000000002</c:v>
                </c:pt>
                <c:pt idx="30">
                  <c:v>163619.55000000002</c:v>
                </c:pt>
                <c:pt idx="31">
                  <c:v>162179.44999999998</c:v>
                </c:pt>
                <c:pt idx="32">
                  <c:v>158104.01999999996</c:v>
                </c:pt>
                <c:pt idx="33">
                  <c:v>162713.91999999998</c:v>
                </c:pt>
                <c:pt idx="34">
                  <c:v>158424.15999999997</c:v>
                </c:pt>
                <c:pt idx="35">
                  <c:v>154260.85999999999</c:v>
                </c:pt>
                <c:pt idx="36">
                  <c:v>145350.96000000002</c:v>
                </c:pt>
                <c:pt idx="37">
                  <c:v>134895.56000000003</c:v>
                </c:pt>
                <c:pt idx="38">
                  <c:v>124992.87000000002</c:v>
                </c:pt>
                <c:pt idx="39">
                  <c:v>118934.27</c:v>
                </c:pt>
                <c:pt idx="40">
                  <c:v>119297.98</c:v>
                </c:pt>
                <c:pt idx="41">
                  <c:v>116998.21000000002</c:v>
                </c:pt>
                <c:pt idx="42">
                  <c:v>113523.74000000002</c:v>
                </c:pt>
                <c:pt idx="43">
                  <c:v>108222.69</c:v>
                </c:pt>
                <c:pt idx="44">
                  <c:v>112478.84</c:v>
                </c:pt>
                <c:pt idx="45">
                  <c:v>104957.89</c:v>
                </c:pt>
                <c:pt idx="46">
                  <c:v>110548.37999999998</c:v>
                </c:pt>
                <c:pt idx="47">
                  <c:v>114545.13</c:v>
                </c:pt>
                <c:pt idx="48">
                  <c:v>116350.59</c:v>
                </c:pt>
                <c:pt idx="49">
                  <c:v>116944.69999999998</c:v>
                </c:pt>
                <c:pt idx="50">
                  <c:v>122488.78</c:v>
                </c:pt>
                <c:pt idx="51">
                  <c:v>125830.83999999998</c:v>
                </c:pt>
                <c:pt idx="52">
                  <c:v>124918.00999999998</c:v>
                </c:pt>
                <c:pt idx="53">
                  <c:v>132166.76</c:v>
                </c:pt>
                <c:pt idx="54">
                  <c:v>135222.34</c:v>
                </c:pt>
                <c:pt idx="55">
                  <c:v>138610.22</c:v>
                </c:pt>
                <c:pt idx="56">
                  <c:v>139146.06999999998</c:v>
                </c:pt>
                <c:pt idx="57">
                  <c:v>144186.91999999998</c:v>
                </c:pt>
                <c:pt idx="58">
                  <c:v>136691.19</c:v>
                </c:pt>
                <c:pt idx="59">
                  <c:v>127671.43000000001</c:v>
                </c:pt>
                <c:pt idx="60">
                  <c:v>120823.39999999998</c:v>
                </c:pt>
                <c:pt idx="61">
                  <c:v>113402.99999999999</c:v>
                </c:pt>
                <c:pt idx="62">
                  <c:v>103283.00999999998</c:v>
                </c:pt>
                <c:pt idx="63">
                  <c:v>95116.83</c:v>
                </c:pt>
                <c:pt idx="64">
                  <c:v>84147.44</c:v>
                </c:pt>
                <c:pt idx="65">
                  <c:v>69791.41</c:v>
                </c:pt>
                <c:pt idx="66">
                  <c:v>59017.180000000015</c:v>
                </c:pt>
                <c:pt idx="67">
                  <c:v>57050.3</c:v>
                </c:pt>
                <c:pt idx="68">
                  <c:v>62890.62</c:v>
                </c:pt>
                <c:pt idx="69">
                  <c:v>57908.23</c:v>
                </c:pt>
                <c:pt idx="70">
                  <c:v>55476.26</c:v>
                </c:pt>
                <c:pt idx="71">
                  <c:v>55689.110000000008</c:v>
                </c:pt>
                <c:pt idx="72">
                  <c:v>52258.320000000007</c:v>
                </c:pt>
                <c:pt idx="73">
                  <c:v>47543.05000000001</c:v>
                </c:pt>
                <c:pt idx="74">
                  <c:v>51222.670000000006</c:v>
                </c:pt>
                <c:pt idx="75">
                  <c:v>62265.150000000009</c:v>
                </c:pt>
                <c:pt idx="76">
                  <c:v>95322.96</c:v>
                </c:pt>
                <c:pt idx="77">
                  <c:v>95754.41</c:v>
                </c:pt>
                <c:pt idx="78">
                  <c:v>102208.54</c:v>
                </c:pt>
                <c:pt idx="79">
                  <c:v>104544.94999999998</c:v>
                </c:pt>
                <c:pt idx="80">
                  <c:v>101828.15999999999</c:v>
                </c:pt>
                <c:pt idx="81">
                  <c:v>103155.04000000001</c:v>
                </c:pt>
                <c:pt idx="82">
                  <c:v>100647.84000000001</c:v>
                </c:pt>
                <c:pt idx="83">
                  <c:v>102821.69</c:v>
                </c:pt>
                <c:pt idx="84">
                  <c:v>117089.84</c:v>
                </c:pt>
                <c:pt idx="85">
                  <c:v>112870.27</c:v>
                </c:pt>
                <c:pt idx="86">
                  <c:v>109654.27</c:v>
                </c:pt>
                <c:pt idx="87">
                  <c:v>100261.79000000001</c:v>
                </c:pt>
                <c:pt idx="88">
                  <c:v>70718.73</c:v>
                </c:pt>
                <c:pt idx="89">
                  <c:v>73596.639999999999</c:v>
                </c:pt>
                <c:pt idx="90">
                  <c:v>69786.98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902-4002-8809-8E6FE095F999}"/>
            </c:ext>
          </c:extLst>
        </c:ser>
        <c:ser>
          <c:idx val="14"/>
          <c:order val="12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sites'!$A$104:$A$200</c:f>
              <c:numCache>
                <c:formatCode>[$-40C]mmm\-aa;@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 formatCode="mmm\-aa">
                  <c:v>43101</c:v>
                </c:pt>
                <c:pt idx="38" formatCode="mmm\-aa">
                  <c:v>43132</c:v>
                </c:pt>
                <c:pt idx="39" formatCode="mmm\-aa">
                  <c:v>43160</c:v>
                </c:pt>
                <c:pt idx="40" formatCode="mmm\-aa">
                  <c:v>43191</c:v>
                </c:pt>
                <c:pt idx="41" formatCode="mmm\-aa">
                  <c:v>43221</c:v>
                </c:pt>
                <c:pt idx="42" formatCode="mmm\-aa">
                  <c:v>43252</c:v>
                </c:pt>
                <c:pt idx="43" formatCode="mmm\-aa">
                  <c:v>43282</c:v>
                </c:pt>
                <c:pt idx="44" formatCode="mmm\-aa">
                  <c:v>43313</c:v>
                </c:pt>
                <c:pt idx="45" formatCode="mmm\-aa">
                  <c:v>43344</c:v>
                </c:pt>
                <c:pt idx="46" formatCode="mmm\-aa">
                  <c:v>43374</c:v>
                </c:pt>
                <c:pt idx="47" formatCode="mmm\-aa">
                  <c:v>43405</c:v>
                </c:pt>
                <c:pt idx="48" formatCode="mmm\-aa">
                  <c:v>43435</c:v>
                </c:pt>
                <c:pt idx="49" formatCode="mmm\-aa">
                  <c:v>43466</c:v>
                </c:pt>
                <c:pt idx="50" formatCode="mmm\-aa">
                  <c:v>43497</c:v>
                </c:pt>
                <c:pt idx="51" formatCode="mmm\-aa">
                  <c:v>43525</c:v>
                </c:pt>
                <c:pt idx="52" formatCode="mmm\-aa">
                  <c:v>43556</c:v>
                </c:pt>
                <c:pt idx="53" formatCode="mmm\-aa">
                  <c:v>43586</c:v>
                </c:pt>
                <c:pt idx="54" formatCode="mmm\-aa">
                  <c:v>43617</c:v>
                </c:pt>
                <c:pt idx="55" formatCode="mmm\-aa">
                  <c:v>43647</c:v>
                </c:pt>
                <c:pt idx="56" formatCode="mmm\-aa">
                  <c:v>43678</c:v>
                </c:pt>
                <c:pt idx="57" formatCode="mmm\-aa">
                  <c:v>43709</c:v>
                </c:pt>
                <c:pt idx="58" formatCode="mmm\-aa">
                  <c:v>43739</c:v>
                </c:pt>
                <c:pt idx="59" formatCode="mmm\-aa">
                  <c:v>43770</c:v>
                </c:pt>
                <c:pt idx="60" formatCode="mmm\-aa">
                  <c:v>43800</c:v>
                </c:pt>
                <c:pt idx="61" formatCode="mmm\-aa">
                  <c:v>43831</c:v>
                </c:pt>
                <c:pt idx="62" formatCode="mmm\-aa">
                  <c:v>43862</c:v>
                </c:pt>
                <c:pt idx="63" formatCode="mmm\-aa">
                  <c:v>43891</c:v>
                </c:pt>
                <c:pt idx="64" formatCode="mmm\-aa">
                  <c:v>43922</c:v>
                </c:pt>
                <c:pt idx="65" formatCode="mmm\-aa">
                  <c:v>43952</c:v>
                </c:pt>
                <c:pt idx="66" formatCode="mmm\-aa">
                  <c:v>43983</c:v>
                </c:pt>
                <c:pt idx="67" formatCode="mmm\-aa">
                  <c:v>44013</c:v>
                </c:pt>
                <c:pt idx="68" formatCode="mmm\-aa">
                  <c:v>44044</c:v>
                </c:pt>
                <c:pt idx="69" formatCode="mmm\-aa">
                  <c:v>44075</c:v>
                </c:pt>
                <c:pt idx="70" formatCode="mmm\-aa">
                  <c:v>44105</c:v>
                </c:pt>
                <c:pt idx="71" formatCode="mmm\-aa">
                  <c:v>44136</c:v>
                </c:pt>
                <c:pt idx="72" formatCode="mmm\-aa">
                  <c:v>44166</c:v>
                </c:pt>
                <c:pt idx="73" formatCode="mmm\-aa">
                  <c:v>44197</c:v>
                </c:pt>
                <c:pt idx="74" formatCode="mmm\-aa">
                  <c:v>44228</c:v>
                </c:pt>
                <c:pt idx="75" formatCode="mmm\-aa">
                  <c:v>44256</c:v>
                </c:pt>
                <c:pt idx="76" formatCode="mmm\-aa">
                  <c:v>44287</c:v>
                </c:pt>
                <c:pt idx="77" formatCode="mmm\-aa">
                  <c:v>44317</c:v>
                </c:pt>
                <c:pt idx="78" formatCode="mmm\-aa">
                  <c:v>44348</c:v>
                </c:pt>
                <c:pt idx="79" formatCode="mmm\-aa">
                  <c:v>44378</c:v>
                </c:pt>
                <c:pt idx="80" formatCode="mmm\-aa">
                  <c:v>44409</c:v>
                </c:pt>
                <c:pt idx="81" formatCode="mmm\-aa">
                  <c:v>44440</c:v>
                </c:pt>
                <c:pt idx="82" formatCode="mmm\-aa">
                  <c:v>44470</c:v>
                </c:pt>
                <c:pt idx="83" formatCode="mmm\-aa">
                  <c:v>44501</c:v>
                </c:pt>
                <c:pt idx="84" formatCode="mmm\-aa">
                  <c:v>44531</c:v>
                </c:pt>
                <c:pt idx="85" formatCode="mmm\-aa">
                  <c:v>44562</c:v>
                </c:pt>
                <c:pt idx="86" formatCode="mmm\-aa">
                  <c:v>44593</c:v>
                </c:pt>
                <c:pt idx="87" formatCode="mmm\-aa">
                  <c:v>44621</c:v>
                </c:pt>
                <c:pt idx="88" formatCode="mmm\-aa">
                  <c:v>44652</c:v>
                </c:pt>
                <c:pt idx="89" formatCode="mmm\-aa">
                  <c:v>44682</c:v>
                </c:pt>
                <c:pt idx="90" formatCode="mmm\-aa">
                  <c:v>44713</c:v>
                </c:pt>
                <c:pt idx="91" formatCode="mmm\-aa">
                  <c:v>44743</c:v>
                </c:pt>
                <c:pt idx="92" formatCode="mmm\-aa">
                  <c:v>44774</c:v>
                </c:pt>
                <c:pt idx="93" formatCode="mmm\-aa">
                  <c:v>44805</c:v>
                </c:pt>
                <c:pt idx="94" formatCode="mmm\-aa">
                  <c:v>44835</c:v>
                </c:pt>
                <c:pt idx="95" formatCode="mmm\-aa">
                  <c:v>44866</c:v>
                </c:pt>
                <c:pt idx="96" formatCode="mmm\-aa">
                  <c:v>44896</c:v>
                </c:pt>
              </c:numCache>
            </c:numRef>
          </c:cat>
          <c:val>
            <c:numRef>
              <c:f>'12M glissant produits &amp; sites'!$N$104:$N$200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268.11</c:v>
                </c:pt>
                <c:pt idx="12">
                  <c:v>268.11</c:v>
                </c:pt>
                <c:pt idx="13">
                  <c:v>268.11</c:v>
                </c:pt>
                <c:pt idx="14">
                  <c:v>1739.6100000000001</c:v>
                </c:pt>
                <c:pt idx="15">
                  <c:v>2899.4399999999996</c:v>
                </c:pt>
                <c:pt idx="16">
                  <c:v>4634.6999999999989</c:v>
                </c:pt>
                <c:pt idx="17">
                  <c:v>4634.6999999999989</c:v>
                </c:pt>
                <c:pt idx="18">
                  <c:v>7854.2799999999988</c:v>
                </c:pt>
                <c:pt idx="19">
                  <c:v>7854.2799999999988</c:v>
                </c:pt>
                <c:pt idx="20">
                  <c:v>7854.2799999999988</c:v>
                </c:pt>
                <c:pt idx="21">
                  <c:v>9201.7599999999984</c:v>
                </c:pt>
                <c:pt idx="22">
                  <c:v>12311.21</c:v>
                </c:pt>
                <c:pt idx="23">
                  <c:v>14170.81</c:v>
                </c:pt>
                <c:pt idx="24">
                  <c:v>14581.84</c:v>
                </c:pt>
                <c:pt idx="25">
                  <c:v>20954.77</c:v>
                </c:pt>
                <c:pt idx="26">
                  <c:v>19483.269999999997</c:v>
                </c:pt>
                <c:pt idx="27">
                  <c:v>20225.030000000002</c:v>
                </c:pt>
                <c:pt idx="28">
                  <c:v>20874.03</c:v>
                </c:pt>
                <c:pt idx="29">
                  <c:v>27333.809999999998</c:v>
                </c:pt>
                <c:pt idx="30">
                  <c:v>24903.869999999995</c:v>
                </c:pt>
                <c:pt idx="31">
                  <c:v>25224.769999999997</c:v>
                </c:pt>
                <c:pt idx="32">
                  <c:v>25224.769999999997</c:v>
                </c:pt>
                <c:pt idx="33">
                  <c:v>26368.600000000002</c:v>
                </c:pt>
                <c:pt idx="34">
                  <c:v>24518.75</c:v>
                </c:pt>
                <c:pt idx="35">
                  <c:v>23445.170000000002</c:v>
                </c:pt>
                <c:pt idx="36">
                  <c:v>23169.140000000003</c:v>
                </c:pt>
                <c:pt idx="37">
                  <c:v>18384.03</c:v>
                </c:pt>
                <c:pt idx="38">
                  <c:v>19669.37</c:v>
                </c:pt>
                <c:pt idx="39">
                  <c:v>19327.289999999997</c:v>
                </c:pt>
                <c:pt idx="40">
                  <c:v>18539.75</c:v>
                </c:pt>
                <c:pt idx="41">
                  <c:v>15148.289999999999</c:v>
                </c:pt>
                <c:pt idx="42">
                  <c:v>22009.45</c:v>
                </c:pt>
                <c:pt idx="43">
                  <c:v>25326.46</c:v>
                </c:pt>
                <c:pt idx="44">
                  <c:v>28083.62</c:v>
                </c:pt>
                <c:pt idx="45">
                  <c:v>28506.940000000002</c:v>
                </c:pt>
                <c:pt idx="46">
                  <c:v>29565.35</c:v>
                </c:pt>
                <c:pt idx="47">
                  <c:v>30167.02</c:v>
                </c:pt>
                <c:pt idx="48">
                  <c:v>31704.84</c:v>
                </c:pt>
                <c:pt idx="49">
                  <c:v>32419.13</c:v>
                </c:pt>
                <c:pt idx="50">
                  <c:v>32431.590000000004</c:v>
                </c:pt>
                <c:pt idx="51">
                  <c:v>32114.720000000001</c:v>
                </c:pt>
                <c:pt idx="52">
                  <c:v>32510.76</c:v>
                </c:pt>
                <c:pt idx="53">
                  <c:v>30503.8</c:v>
                </c:pt>
                <c:pt idx="54">
                  <c:v>23320.319999999996</c:v>
                </c:pt>
                <c:pt idx="55">
                  <c:v>19692.41</c:v>
                </c:pt>
                <c:pt idx="56">
                  <c:v>16945.25</c:v>
                </c:pt>
                <c:pt idx="57">
                  <c:v>14040.619999999999</c:v>
                </c:pt>
                <c:pt idx="58">
                  <c:v>11732.61</c:v>
                </c:pt>
                <c:pt idx="59">
                  <c:v>10076.810000000001</c:v>
                </c:pt>
                <c:pt idx="60">
                  <c:v>8423.99</c:v>
                </c:pt>
                <c:pt idx="61">
                  <c:v>6131.8799999999992</c:v>
                </c:pt>
                <c:pt idx="62">
                  <c:v>4844.08</c:v>
                </c:pt>
                <c:pt idx="63">
                  <c:v>3601.44</c:v>
                </c:pt>
                <c:pt idx="64">
                  <c:v>1608.6799999999998</c:v>
                </c:pt>
                <c:pt idx="65">
                  <c:v>547.31999999999994</c:v>
                </c:pt>
                <c:pt idx="66">
                  <c:v>4757.95</c:v>
                </c:pt>
                <c:pt idx="67">
                  <c:v>4747.95</c:v>
                </c:pt>
                <c:pt idx="68">
                  <c:v>4737.95</c:v>
                </c:pt>
                <c:pt idx="69">
                  <c:v>4727.95</c:v>
                </c:pt>
                <c:pt idx="70">
                  <c:v>5057.8899999999994</c:v>
                </c:pt>
                <c:pt idx="71">
                  <c:v>5057.8899999999994</c:v>
                </c:pt>
                <c:pt idx="72">
                  <c:v>5037.8899999999994</c:v>
                </c:pt>
                <c:pt idx="73">
                  <c:v>5027.8899999999994</c:v>
                </c:pt>
                <c:pt idx="74">
                  <c:v>5017.8899999999994</c:v>
                </c:pt>
                <c:pt idx="75">
                  <c:v>5017.8899999999994</c:v>
                </c:pt>
                <c:pt idx="76">
                  <c:v>5017.8899999999994</c:v>
                </c:pt>
                <c:pt idx="77">
                  <c:v>5017.8899999999994</c:v>
                </c:pt>
                <c:pt idx="78">
                  <c:v>339.94</c:v>
                </c:pt>
                <c:pt idx="79">
                  <c:v>339.94</c:v>
                </c:pt>
                <c:pt idx="80">
                  <c:v>339.94</c:v>
                </c:pt>
                <c:pt idx="81">
                  <c:v>339.94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84F9-4BAA-8E79-4D3C7597058C}"/>
            </c:ext>
          </c:extLst>
        </c:ser>
        <c:ser>
          <c:idx val="0"/>
          <c:order val="13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sites'!$A$104:$A$200</c:f>
              <c:numCache>
                <c:formatCode>[$-40C]mmm\-aa;@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 formatCode="mmm\-aa">
                  <c:v>43101</c:v>
                </c:pt>
                <c:pt idx="38" formatCode="mmm\-aa">
                  <c:v>43132</c:v>
                </c:pt>
                <c:pt idx="39" formatCode="mmm\-aa">
                  <c:v>43160</c:v>
                </c:pt>
                <c:pt idx="40" formatCode="mmm\-aa">
                  <c:v>43191</c:v>
                </c:pt>
                <c:pt idx="41" formatCode="mmm\-aa">
                  <c:v>43221</c:v>
                </c:pt>
                <c:pt idx="42" formatCode="mmm\-aa">
                  <c:v>43252</c:v>
                </c:pt>
                <c:pt idx="43" formatCode="mmm\-aa">
                  <c:v>43282</c:v>
                </c:pt>
                <c:pt idx="44" formatCode="mmm\-aa">
                  <c:v>43313</c:v>
                </c:pt>
                <c:pt idx="45" formatCode="mmm\-aa">
                  <c:v>43344</c:v>
                </c:pt>
                <c:pt idx="46" formatCode="mmm\-aa">
                  <c:v>43374</c:v>
                </c:pt>
                <c:pt idx="47" formatCode="mmm\-aa">
                  <c:v>43405</c:v>
                </c:pt>
                <c:pt idx="48" formatCode="mmm\-aa">
                  <c:v>43435</c:v>
                </c:pt>
                <c:pt idx="49" formatCode="mmm\-aa">
                  <c:v>43466</c:v>
                </c:pt>
                <c:pt idx="50" formatCode="mmm\-aa">
                  <c:v>43497</c:v>
                </c:pt>
                <c:pt idx="51" formatCode="mmm\-aa">
                  <c:v>43525</c:v>
                </c:pt>
                <c:pt idx="52" formatCode="mmm\-aa">
                  <c:v>43556</c:v>
                </c:pt>
                <c:pt idx="53" formatCode="mmm\-aa">
                  <c:v>43586</c:v>
                </c:pt>
                <c:pt idx="54" formatCode="mmm\-aa">
                  <c:v>43617</c:v>
                </c:pt>
                <c:pt idx="55" formatCode="mmm\-aa">
                  <c:v>43647</c:v>
                </c:pt>
                <c:pt idx="56" formatCode="mmm\-aa">
                  <c:v>43678</c:v>
                </c:pt>
                <c:pt idx="57" formatCode="mmm\-aa">
                  <c:v>43709</c:v>
                </c:pt>
                <c:pt idx="58" formatCode="mmm\-aa">
                  <c:v>43739</c:v>
                </c:pt>
                <c:pt idx="59" formatCode="mmm\-aa">
                  <c:v>43770</c:v>
                </c:pt>
                <c:pt idx="60" formatCode="mmm\-aa">
                  <c:v>43800</c:v>
                </c:pt>
                <c:pt idx="61" formatCode="mmm\-aa">
                  <c:v>43831</c:v>
                </c:pt>
                <c:pt idx="62" formatCode="mmm\-aa">
                  <c:v>43862</c:v>
                </c:pt>
                <c:pt idx="63" formatCode="mmm\-aa">
                  <c:v>43891</c:v>
                </c:pt>
                <c:pt idx="64" formatCode="mmm\-aa">
                  <c:v>43922</c:v>
                </c:pt>
                <c:pt idx="65" formatCode="mmm\-aa">
                  <c:v>43952</c:v>
                </c:pt>
                <c:pt idx="66" formatCode="mmm\-aa">
                  <c:v>43983</c:v>
                </c:pt>
                <c:pt idx="67" formatCode="mmm\-aa">
                  <c:v>44013</c:v>
                </c:pt>
                <c:pt idx="68" formatCode="mmm\-aa">
                  <c:v>44044</c:v>
                </c:pt>
                <c:pt idx="69" formatCode="mmm\-aa">
                  <c:v>44075</c:v>
                </c:pt>
                <c:pt idx="70" formatCode="mmm\-aa">
                  <c:v>44105</c:v>
                </c:pt>
                <c:pt idx="71" formatCode="mmm\-aa">
                  <c:v>44136</c:v>
                </c:pt>
                <c:pt idx="72" formatCode="mmm\-aa">
                  <c:v>44166</c:v>
                </c:pt>
                <c:pt idx="73" formatCode="mmm\-aa">
                  <c:v>44197</c:v>
                </c:pt>
                <c:pt idx="74" formatCode="mmm\-aa">
                  <c:v>44228</c:v>
                </c:pt>
                <c:pt idx="75" formatCode="mmm\-aa">
                  <c:v>44256</c:v>
                </c:pt>
                <c:pt idx="76" formatCode="mmm\-aa">
                  <c:v>44287</c:v>
                </c:pt>
                <c:pt idx="77" formatCode="mmm\-aa">
                  <c:v>44317</c:v>
                </c:pt>
                <c:pt idx="78" formatCode="mmm\-aa">
                  <c:v>44348</c:v>
                </c:pt>
                <c:pt idx="79" formatCode="mmm\-aa">
                  <c:v>44378</c:v>
                </c:pt>
                <c:pt idx="80" formatCode="mmm\-aa">
                  <c:v>44409</c:v>
                </c:pt>
                <c:pt idx="81" formatCode="mmm\-aa">
                  <c:v>44440</c:v>
                </c:pt>
                <c:pt idx="82" formatCode="mmm\-aa">
                  <c:v>44470</c:v>
                </c:pt>
                <c:pt idx="83" formatCode="mmm\-aa">
                  <c:v>44501</c:v>
                </c:pt>
                <c:pt idx="84" formatCode="mmm\-aa">
                  <c:v>44531</c:v>
                </c:pt>
                <c:pt idx="85" formatCode="mmm\-aa">
                  <c:v>44562</c:v>
                </c:pt>
                <c:pt idx="86" formatCode="mmm\-aa">
                  <c:v>44593</c:v>
                </c:pt>
                <c:pt idx="87" formatCode="mmm\-aa">
                  <c:v>44621</c:v>
                </c:pt>
                <c:pt idx="88" formatCode="mmm\-aa">
                  <c:v>44652</c:v>
                </c:pt>
                <c:pt idx="89" formatCode="mmm\-aa">
                  <c:v>44682</c:v>
                </c:pt>
                <c:pt idx="90" formatCode="mmm\-aa">
                  <c:v>44713</c:v>
                </c:pt>
                <c:pt idx="91" formatCode="mmm\-aa">
                  <c:v>44743</c:v>
                </c:pt>
                <c:pt idx="92" formatCode="mmm\-aa">
                  <c:v>44774</c:v>
                </c:pt>
                <c:pt idx="93" formatCode="mmm\-aa">
                  <c:v>44805</c:v>
                </c:pt>
                <c:pt idx="94" formatCode="mmm\-aa">
                  <c:v>44835</c:v>
                </c:pt>
                <c:pt idx="95" formatCode="mmm\-aa">
                  <c:v>44866</c:v>
                </c:pt>
                <c:pt idx="96" formatCode="mmm\-aa">
                  <c:v>44896</c:v>
                </c:pt>
              </c:numCache>
            </c:numRef>
          </c:cat>
          <c:val>
            <c:numRef>
              <c:f>'12M glissant produits &amp; sites'!$O$104:$O$200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377.7</c:v>
                </c:pt>
                <c:pt idx="50">
                  <c:v>827.5</c:v>
                </c:pt>
                <c:pt idx="51">
                  <c:v>2548.6800000000003</c:v>
                </c:pt>
                <c:pt idx="52">
                  <c:v>4691.59</c:v>
                </c:pt>
                <c:pt idx="53">
                  <c:v>12215.619999999999</c:v>
                </c:pt>
                <c:pt idx="54">
                  <c:v>12432.66</c:v>
                </c:pt>
                <c:pt idx="55">
                  <c:v>13080.34</c:v>
                </c:pt>
                <c:pt idx="56">
                  <c:v>18608.82</c:v>
                </c:pt>
                <c:pt idx="57">
                  <c:v>21648.080000000002</c:v>
                </c:pt>
                <c:pt idx="58">
                  <c:v>22019.49</c:v>
                </c:pt>
                <c:pt idx="59">
                  <c:v>29126.660000000003</c:v>
                </c:pt>
                <c:pt idx="60">
                  <c:v>34334.160000000003</c:v>
                </c:pt>
                <c:pt idx="61">
                  <c:v>41015.050000000003</c:v>
                </c:pt>
                <c:pt idx="62">
                  <c:v>62219.360000000001</c:v>
                </c:pt>
                <c:pt idx="63">
                  <c:v>84793.5</c:v>
                </c:pt>
                <c:pt idx="64">
                  <c:v>82999.819999999992</c:v>
                </c:pt>
                <c:pt idx="65">
                  <c:v>77785.53</c:v>
                </c:pt>
                <c:pt idx="66">
                  <c:v>78433.76999999999</c:v>
                </c:pt>
                <c:pt idx="67">
                  <c:v>79764.709999999992</c:v>
                </c:pt>
                <c:pt idx="68">
                  <c:v>77259.659999999989</c:v>
                </c:pt>
                <c:pt idx="69">
                  <c:v>74784.56</c:v>
                </c:pt>
                <c:pt idx="70">
                  <c:v>75594.73</c:v>
                </c:pt>
                <c:pt idx="71">
                  <c:v>71905.05</c:v>
                </c:pt>
                <c:pt idx="72">
                  <c:v>68934.040000000023</c:v>
                </c:pt>
                <c:pt idx="73">
                  <c:v>62829.450000000004</c:v>
                </c:pt>
                <c:pt idx="74">
                  <c:v>43744.42</c:v>
                </c:pt>
                <c:pt idx="75">
                  <c:v>21932.579999999998</c:v>
                </c:pt>
                <c:pt idx="76">
                  <c:v>34222.740000000005</c:v>
                </c:pt>
                <c:pt idx="77">
                  <c:v>39498.31</c:v>
                </c:pt>
                <c:pt idx="78">
                  <c:v>41139.130000000005</c:v>
                </c:pt>
                <c:pt idx="79">
                  <c:v>40259.85</c:v>
                </c:pt>
                <c:pt idx="80">
                  <c:v>37689.339999999997</c:v>
                </c:pt>
                <c:pt idx="81">
                  <c:v>39193.339999999997</c:v>
                </c:pt>
                <c:pt idx="82">
                  <c:v>40772.549999999996</c:v>
                </c:pt>
                <c:pt idx="83">
                  <c:v>38872.060000000005</c:v>
                </c:pt>
                <c:pt idx="84">
                  <c:v>38179.01</c:v>
                </c:pt>
                <c:pt idx="85">
                  <c:v>49821.9</c:v>
                </c:pt>
                <c:pt idx="86">
                  <c:v>50058.270000000004</c:v>
                </c:pt>
                <c:pt idx="87">
                  <c:v>62725.409999999996</c:v>
                </c:pt>
                <c:pt idx="88">
                  <c:v>54722.840000000004</c:v>
                </c:pt>
                <c:pt idx="89">
                  <c:v>59183.900000000009</c:v>
                </c:pt>
                <c:pt idx="90">
                  <c:v>69464.75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2A-44C4-86CF-7305E2EDAEF0}"/>
            </c:ext>
          </c:extLst>
        </c:ser>
        <c:ser>
          <c:idx val="11"/>
          <c:order val="14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sites'!$A$104:$A$200</c:f>
              <c:numCache>
                <c:formatCode>[$-40C]mmm\-aa;@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 formatCode="mmm\-aa">
                  <c:v>43101</c:v>
                </c:pt>
                <c:pt idx="38" formatCode="mmm\-aa">
                  <c:v>43132</c:v>
                </c:pt>
                <c:pt idx="39" formatCode="mmm\-aa">
                  <c:v>43160</c:v>
                </c:pt>
                <c:pt idx="40" formatCode="mmm\-aa">
                  <c:v>43191</c:v>
                </c:pt>
                <c:pt idx="41" formatCode="mmm\-aa">
                  <c:v>43221</c:v>
                </c:pt>
                <c:pt idx="42" formatCode="mmm\-aa">
                  <c:v>43252</c:v>
                </c:pt>
                <c:pt idx="43" formatCode="mmm\-aa">
                  <c:v>43282</c:v>
                </c:pt>
                <c:pt idx="44" formatCode="mmm\-aa">
                  <c:v>43313</c:v>
                </c:pt>
                <c:pt idx="45" formatCode="mmm\-aa">
                  <c:v>43344</c:v>
                </c:pt>
                <c:pt idx="46" formatCode="mmm\-aa">
                  <c:v>43374</c:v>
                </c:pt>
                <c:pt idx="47" formatCode="mmm\-aa">
                  <c:v>43405</c:v>
                </c:pt>
                <c:pt idx="48" formatCode="mmm\-aa">
                  <c:v>43435</c:v>
                </c:pt>
                <c:pt idx="49" formatCode="mmm\-aa">
                  <c:v>43466</c:v>
                </c:pt>
                <c:pt idx="50" formatCode="mmm\-aa">
                  <c:v>43497</c:v>
                </c:pt>
                <c:pt idx="51" formatCode="mmm\-aa">
                  <c:v>43525</c:v>
                </c:pt>
                <c:pt idx="52" formatCode="mmm\-aa">
                  <c:v>43556</c:v>
                </c:pt>
                <c:pt idx="53" formatCode="mmm\-aa">
                  <c:v>43586</c:v>
                </c:pt>
                <c:pt idx="54" formatCode="mmm\-aa">
                  <c:v>43617</c:v>
                </c:pt>
                <c:pt idx="55" formatCode="mmm\-aa">
                  <c:v>43647</c:v>
                </c:pt>
                <c:pt idx="56" formatCode="mmm\-aa">
                  <c:v>43678</c:v>
                </c:pt>
                <c:pt idx="57" formatCode="mmm\-aa">
                  <c:v>43709</c:v>
                </c:pt>
                <c:pt idx="58" formatCode="mmm\-aa">
                  <c:v>43739</c:v>
                </c:pt>
                <c:pt idx="59" formatCode="mmm\-aa">
                  <c:v>43770</c:v>
                </c:pt>
                <c:pt idx="60" formatCode="mmm\-aa">
                  <c:v>43800</c:v>
                </c:pt>
                <c:pt idx="61" formatCode="mmm\-aa">
                  <c:v>43831</c:v>
                </c:pt>
                <c:pt idx="62" formatCode="mmm\-aa">
                  <c:v>43862</c:v>
                </c:pt>
                <c:pt idx="63" formatCode="mmm\-aa">
                  <c:v>43891</c:v>
                </c:pt>
                <c:pt idx="64" formatCode="mmm\-aa">
                  <c:v>43922</c:v>
                </c:pt>
                <c:pt idx="65" formatCode="mmm\-aa">
                  <c:v>43952</c:v>
                </c:pt>
                <c:pt idx="66" formatCode="mmm\-aa">
                  <c:v>43983</c:v>
                </c:pt>
                <c:pt idx="67" formatCode="mmm\-aa">
                  <c:v>44013</c:v>
                </c:pt>
                <c:pt idx="68" formatCode="mmm\-aa">
                  <c:v>44044</c:v>
                </c:pt>
                <c:pt idx="69" formatCode="mmm\-aa">
                  <c:v>44075</c:v>
                </c:pt>
                <c:pt idx="70" formatCode="mmm\-aa">
                  <c:v>44105</c:v>
                </c:pt>
                <c:pt idx="71" formatCode="mmm\-aa">
                  <c:v>44136</c:v>
                </c:pt>
                <c:pt idx="72" formatCode="mmm\-aa">
                  <c:v>44166</c:v>
                </c:pt>
                <c:pt idx="73" formatCode="mmm\-aa">
                  <c:v>44197</c:v>
                </c:pt>
                <c:pt idx="74" formatCode="mmm\-aa">
                  <c:v>44228</c:v>
                </c:pt>
                <c:pt idx="75" formatCode="mmm\-aa">
                  <c:v>44256</c:v>
                </c:pt>
                <c:pt idx="76" formatCode="mmm\-aa">
                  <c:v>44287</c:v>
                </c:pt>
                <c:pt idx="77" formatCode="mmm\-aa">
                  <c:v>44317</c:v>
                </c:pt>
                <c:pt idx="78" formatCode="mmm\-aa">
                  <c:v>44348</c:v>
                </c:pt>
                <c:pt idx="79" formatCode="mmm\-aa">
                  <c:v>44378</c:v>
                </c:pt>
                <c:pt idx="80" formatCode="mmm\-aa">
                  <c:v>44409</c:v>
                </c:pt>
                <c:pt idx="81" formatCode="mmm\-aa">
                  <c:v>44440</c:v>
                </c:pt>
                <c:pt idx="82" formatCode="mmm\-aa">
                  <c:v>44470</c:v>
                </c:pt>
                <c:pt idx="83" formatCode="mmm\-aa">
                  <c:v>44501</c:v>
                </c:pt>
                <c:pt idx="84" formatCode="mmm\-aa">
                  <c:v>44531</c:v>
                </c:pt>
                <c:pt idx="85" formatCode="mmm\-aa">
                  <c:v>44562</c:v>
                </c:pt>
                <c:pt idx="86" formatCode="mmm\-aa">
                  <c:v>44593</c:v>
                </c:pt>
                <c:pt idx="87" formatCode="mmm\-aa">
                  <c:v>44621</c:v>
                </c:pt>
                <c:pt idx="88" formatCode="mmm\-aa">
                  <c:v>44652</c:v>
                </c:pt>
                <c:pt idx="89" formatCode="mmm\-aa">
                  <c:v>44682</c:v>
                </c:pt>
                <c:pt idx="90" formatCode="mmm\-aa">
                  <c:v>44713</c:v>
                </c:pt>
                <c:pt idx="91" formatCode="mmm\-aa">
                  <c:v>44743</c:v>
                </c:pt>
                <c:pt idx="92" formatCode="mmm\-aa">
                  <c:v>44774</c:v>
                </c:pt>
                <c:pt idx="93" formatCode="mmm\-aa">
                  <c:v>44805</c:v>
                </c:pt>
                <c:pt idx="94" formatCode="mmm\-aa">
                  <c:v>44835</c:v>
                </c:pt>
                <c:pt idx="95" formatCode="mmm\-aa">
                  <c:v>44866</c:v>
                </c:pt>
                <c:pt idx="96" formatCode="mmm\-aa">
                  <c:v>44896</c:v>
                </c:pt>
              </c:numCache>
            </c:numRef>
          </c:cat>
          <c:val>
            <c:numRef>
              <c:f>'12M glissant produits &amp; sites'!$P$104:$P$200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3942.5</c:v>
                </c:pt>
                <c:pt idx="38">
                  <c:v>6861.75</c:v>
                </c:pt>
                <c:pt idx="39">
                  <c:v>11193.25</c:v>
                </c:pt>
                <c:pt idx="40">
                  <c:v>14524</c:v>
                </c:pt>
                <c:pt idx="41">
                  <c:v>17700</c:v>
                </c:pt>
                <c:pt idx="42">
                  <c:v>21783.23</c:v>
                </c:pt>
                <c:pt idx="43">
                  <c:v>31467.78</c:v>
                </c:pt>
                <c:pt idx="44">
                  <c:v>33120.03</c:v>
                </c:pt>
                <c:pt idx="45">
                  <c:v>36595.78</c:v>
                </c:pt>
                <c:pt idx="46">
                  <c:v>42669.03</c:v>
                </c:pt>
                <c:pt idx="47">
                  <c:v>49943.58</c:v>
                </c:pt>
                <c:pt idx="48">
                  <c:v>53158.080000000002</c:v>
                </c:pt>
                <c:pt idx="49">
                  <c:v>52039.83</c:v>
                </c:pt>
                <c:pt idx="50">
                  <c:v>51305.97</c:v>
                </c:pt>
                <c:pt idx="51">
                  <c:v>51042.22</c:v>
                </c:pt>
                <c:pt idx="52">
                  <c:v>50139.22</c:v>
                </c:pt>
                <c:pt idx="53">
                  <c:v>53317.91</c:v>
                </c:pt>
                <c:pt idx="54">
                  <c:v>54646.93</c:v>
                </c:pt>
                <c:pt idx="55">
                  <c:v>46184.880000000005</c:v>
                </c:pt>
                <c:pt idx="56">
                  <c:v>45586.469999999994</c:v>
                </c:pt>
                <c:pt idx="57">
                  <c:v>46372.469999999994</c:v>
                </c:pt>
                <c:pt idx="58">
                  <c:v>44575.77</c:v>
                </c:pt>
                <c:pt idx="59">
                  <c:v>43004.97</c:v>
                </c:pt>
                <c:pt idx="60">
                  <c:v>43073.22</c:v>
                </c:pt>
                <c:pt idx="61">
                  <c:v>44500.22</c:v>
                </c:pt>
                <c:pt idx="62">
                  <c:v>44452.33</c:v>
                </c:pt>
                <c:pt idx="63">
                  <c:v>41183.33</c:v>
                </c:pt>
                <c:pt idx="64">
                  <c:v>38845.58</c:v>
                </c:pt>
                <c:pt idx="65">
                  <c:v>33849.64</c:v>
                </c:pt>
                <c:pt idx="66">
                  <c:v>31167.39</c:v>
                </c:pt>
                <c:pt idx="67">
                  <c:v>32194.89</c:v>
                </c:pt>
                <c:pt idx="68">
                  <c:v>35133.550000000003</c:v>
                </c:pt>
                <c:pt idx="69">
                  <c:v>31838.799999999999</c:v>
                </c:pt>
                <c:pt idx="70">
                  <c:v>28085.25</c:v>
                </c:pt>
                <c:pt idx="71">
                  <c:v>17120.47</c:v>
                </c:pt>
                <c:pt idx="72">
                  <c:v>17036.29</c:v>
                </c:pt>
                <c:pt idx="73">
                  <c:v>14703.740000000002</c:v>
                </c:pt>
                <c:pt idx="74">
                  <c:v>13111.240000000002</c:v>
                </c:pt>
                <c:pt idx="75">
                  <c:v>13701.240000000002</c:v>
                </c:pt>
                <c:pt idx="76">
                  <c:v>15061.240000000002</c:v>
                </c:pt>
                <c:pt idx="77">
                  <c:v>14494.990000000002</c:v>
                </c:pt>
                <c:pt idx="78">
                  <c:v>12927.490000000002</c:v>
                </c:pt>
                <c:pt idx="79">
                  <c:v>12235.240000000002</c:v>
                </c:pt>
                <c:pt idx="80">
                  <c:v>9205.7400000000016</c:v>
                </c:pt>
                <c:pt idx="81">
                  <c:v>10623.190000000002</c:v>
                </c:pt>
                <c:pt idx="82">
                  <c:v>13957.69</c:v>
                </c:pt>
                <c:pt idx="83">
                  <c:v>19640.47</c:v>
                </c:pt>
                <c:pt idx="84">
                  <c:v>18822.900000000001</c:v>
                </c:pt>
                <c:pt idx="85">
                  <c:v>18072.2</c:v>
                </c:pt>
                <c:pt idx="86">
                  <c:v>18928.2</c:v>
                </c:pt>
                <c:pt idx="87">
                  <c:v>19306.45</c:v>
                </c:pt>
                <c:pt idx="88">
                  <c:v>20169.100000000002</c:v>
                </c:pt>
                <c:pt idx="89">
                  <c:v>22034.100000000002</c:v>
                </c:pt>
                <c:pt idx="90">
                  <c:v>27511.5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5E-4573-8646-9C15BA5BF7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595624"/>
        <c:axId val="520596016"/>
        <c:extLst/>
      </c:lineChart>
      <c:dateAx>
        <c:axId val="520595624"/>
        <c:scaling>
          <c:orientation val="minMax"/>
        </c:scaling>
        <c:delete val="0"/>
        <c:axPos val="b"/>
        <c:numFmt formatCode="[$-40C]mmm\-\y\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0596016"/>
        <c:crosses val="autoZero"/>
        <c:auto val="1"/>
        <c:lblOffset val="100"/>
        <c:baseTimeUnit val="months"/>
      </c:dateAx>
      <c:valAx>
        <c:axId val="52059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Standard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0595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EVREUX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sites'!$A$204:$A$300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sites'!$B$204:$B$300</c:f>
              <c:numCache>
                <c:formatCode>Standard</c:formatCode>
                <c:ptCount val="97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DA-4532-8A24-8281B80432A7}"/>
            </c:ext>
          </c:extLst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sites'!$A$204:$A$300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sites'!$C$204:$C$300</c:f>
              <c:numCache>
                <c:formatCode>_-* #\ ##0\ [$€-40C]_-;\-* #\ ##0\ [$€-40C]_-;_-* "-"??\ [$€-40C]_-;_-@_-</c:formatCode>
                <c:ptCount val="97"/>
                <c:pt idx="0">
                  <c:v>581880.68999999983</c:v>
                </c:pt>
                <c:pt idx="1">
                  <c:v>548974.13000000012</c:v>
                </c:pt>
                <c:pt idx="2">
                  <c:v>533114.38000000012</c:v>
                </c:pt>
                <c:pt idx="3">
                  <c:v>514914.86</c:v>
                </c:pt>
                <c:pt idx="4">
                  <c:v>504321.1700000001</c:v>
                </c:pt>
                <c:pt idx="5">
                  <c:v>494299.51</c:v>
                </c:pt>
                <c:pt idx="6">
                  <c:v>496501.79</c:v>
                </c:pt>
                <c:pt idx="7">
                  <c:v>502024.48999999993</c:v>
                </c:pt>
                <c:pt idx="8">
                  <c:v>504421.86000000004</c:v>
                </c:pt>
                <c:pt idx="9">
                  <c:v>489387.54</c:v>
                </c:pt>
                <c:pt idx="10">
                  <c:v>481818.36</c:v>
                </c:pt>
                <c:pt idx="11">
                  <c:v>500233.16999999993</c:v>
                </c:pt>
                <c:pt idx="12">
                  <c:v>484644.83999999991</c:v>
                </c:pt>
                <c:pt idx="13">
                  <c:v>494423.4599999999</c:v>
                </c:pt>
                <c:pt idx="14">
                  <c:v>499799.37</c:v>
                </c:pt>
                <c:pt idx="15">
                  <c:v>517038.71999999991</c:v>
                </c:pt>
                <c:pt idx="16">
                  <c:v>523452.84999999992</c:v>
                </c:pt>
                <c:pt idx="17">
                  <c:v>526580.81000000006</c:v>
                </c:pt>
                <c:pt idx="18">
                  <c:v>540746.43999999994</c:v>
                </c:pt>
                <c:pt idx="19">
                  <c:v>535618.4</c:v>
                </c:pt>
                <c:pt idx="20">
                  <c:v>538804.83000000007</c:v>
                </c:pt>
                <c:pt idx="21">
                  <c:v>533315.03999999992</c:v>
                </c:pt>
                <c:pt idx="22">
                  <c:v>512351.24999999994</c:v>
                </c:pt>
                <c:pt idx="23">
                  <c:v>484617.81000000006</c:v>
                </c:pt>
                <c:pt idx="24">
                  <c:v>478129.45</c:v>
                </c:pt>
                <c:pt idx="25">
                  <c:v>474644.83999999997</c:v>
                </c:pt>
                <c:pt idx="26">
                  <c:v>471689.73999999993</c:v>
                </c:pt>
                <c:pt idx="27">
                  <c:v>460757.25000000012</c:v>
                </c:pt>
                <c:pt idx="28">
                  <c:v>453586.9</c:v>
                </c:pt>
                <c:pt idx="29">
                  <c:v>442002.34000000008</c:v>
                </c:pt>
                <c:pt idx="30">
                  <c:v>418829.2699999999</c:v>
                </c:pt>
                <c:pt idx="31">
                  <c:v>415600.93000000005</c:v>
                </c:pt>
                <c:pt idx="32">
                  <c:v>408932.42</c:v>
                </c:pt>
                <c:pt idx="33">
                  <c:v>415273.66</c:v>
                </c:pt>
                <c:pt idx="34">
                  <c:v>432793.95999999996</c:v>
                </c:pt>
                <c:pt idx="35">
                  <c:v>448563.83</c:v>
                </c:pt>
                <c:pt idx="36">
                  <c:v>448134.14999999997</c:v>
                </c:pt>
                <c:pt idx="37">
                  <c:v>449445.65000000008</c:v>
                </c:pt>
                <c:pt idx="38">
                  <c:v>444292.68000000005</c:v>
                </c:pt>
                <c:pt idx="39">
                  <c:v>444708.1</c:v>
                </c:pt>
                <c:pt idx="40">
                  <c:v>442349.04</c:v>
                </c:pt>
                <c:pt idx="41">
                  <c:v>439192.1999999999</c:v>
                </c:pt>
                <c:pt idx="42">
                  <c:v>433929.99999999994</c:v>
                </c:pt>
                <c:pt idx="43">
                  <c:v>439182.78</c:v>
                </c:pt>
                <c:pt idx="44">
                  <c:v>444082.96</c:v>
                </c:pt>
                <c:pt idx="45">
                  <c:v>430384.23999999993</c:v>
                </c:pt>
                <c:pt idx="46">
                  <c:v>419236.3</c:v>
                </c:pt>
                <c:pt idx="47">
                  <c:v>410879.89000000007</c:v>
                </c:pt>
                <c:pt idx="48">
                  <c:v>421933.23</c:v>
                </c:pt>
                <c:pt idx="49">
                  <c:v>412963.75999999989</c:v>
                </c:pt>
                <c:pt idx="50">
                  <c:v>409779.27000000008</c:v>
                </c:pt>
                <c:pt idx="51">
                  <c:v>415406.11</c:v>
                </c:pt>
                <c:pt idx="52">
                  <c:v>415210.86999999994</c:v>
                </c:pt>
                <c:pt idx="53">
                  <c:v>426483.33999999991</c:v>
                </c:pt>
                <c:pt idx="54">
                  <c:v>428233.1</c:v>
                </c:pt>
                <c:pt idx="55">
                  <c:v>422388.7699999999</c:v>
                </c:pt>
                <c:pt idx="56">
                  <c:v>416002.82999999996</c:v>
                </c:pt>
                <c:pt idx="57">
                  <c:v>402932.26999999996</c:v>
                </c:pt>
                <c:pt idx="58">
                  <c:v>406257.97</c:v>
                </c:pt>
                <c:pt idx="59">
                  <c:v>398951.27999999997</c:v>
                </c:pt>
                <c:pt idx="60">
                  <c:v>391638.41999999993</c:v>
                </c:pt>
                <c:pt idx="61">
                  <c:v>389617.51</c:v>
                </c:pt>
                <c:pt idx="62">
                  <c:v>388696.51</c:v>
                </c:pt>
                <c:pt idx="63">
                  <c:v>364053.63999999996</c:v>
                </c:pt>
                <c:pt idx="64">
                  <c:v>336763.6999999999</c:v>
                </c:pt>
                <c:pt idx="65">
                  <c:v>311292.64</c:v>
                </c:pt>
                <c:pt idx="66">
                  <c:v>295032.52999999997</c:v>
                </c:pt>
                <c:pt idx="67">
                  <c:v>298457.98</c:v>
                </c:pt>
                <c:pt idx="68">
                  <c:v>301750.62000000005</c:v>
                </c:pt>
                <c:pt idx="69">
                  <c:v>317424.8</c:v>
                </c:pt>
                <c:pt idx="70">
                  <c:v>324212.89</c:v>
                </c:pt>
                <c:pt idx="71">
                  <c:v>312427.23</c:v>
                </c:pt>
                <c:pt idx="72">
                  <c:v>308143.71999999997</c:v>
                </c:pt>
                <c:pt idx="73">
                  <c:v>293828.16000000003</c:v>
                </c:pt>
                <c:pt idx="74">
                  <c:v>307924.94</c:v>
                </c:pt>
                <c:pt idx="75">
                  <c:v>314339.58</c:v>
                </c:pt>
                <c:pt idx="76">
                  <c:v>335866.18000000005</c:v>
                </c:pt>
                <c:pt idx="77">
                  <c:v>344743.36</c:v>
                </c:pt>
                <c:pt idx="78">
                  <c:v>353283.82</c:v>
                </c:pt>
                <c:pt idx="79">
                  <c:v>344799.36999999994</c:v>
                </c:pt>
                <c:pt idx="80">
                  <c:v>358552.43000000005</c:v>
                </c:pt>
                <c:pt idx="81">
                  <c:v>333068.25000000006</c:v>
                </c:pt>
                <c:pt idx="82">
                  <c:v>325237.26000000007</c:v>
                </c:pt>
                <c:pt idx="83">
                  <c:v>353132.86000000004</c:v>
                </c:pt>
                <c:pt idx="84">
                  <c:v>357528.79000000004</c:v>
                </c:pt>
                <c:pt idx="85">
                  <c:v>386683.35999999993</c:v>
                </c:pt>
                <c:pt idx="86">
                  <c:v>382396.78999999992</c:v>
                </c:pt>
                <c:pt idx="87">
                  <c:v>406476.12</c:v>
                </c:pt>
                <c:pt idx="88">
                  <c:v>425439.75999999995</c:v>
                </c:pt>
                <c:pt idx="89">
                  <c:v>447578.78</c:v>
                </c:pt>
                <c:pt idx="90">
                  <c:v>450002.68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DA-4532-8A24-8281B80432A7}"/>
            </c:ext>
          </c:extLst>
        </c:ser>
        <c:ser>
          <c:idx val="3"/>
          <c:order val="2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sites'!$A$204:$A$300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sites'!$D$204:$D$300</c:f>
              <c:numCache>
                <c:formatCode>_-* #\ ##0\ [$€-40C]_-;\-* #\ ##0\ [$€-40C]_-;_-* "-"??\ [$€-40C]_-;_-@_-</c:formatCode>
                <c:ptCount val="97"/>
                <c:pt idx="0">
                  <c:v>260481.77999999997</c:v>
                </c:pt>
                <c:pt idx="1">
                  <c:v>258807.89</c:v>
                </c:pt>
                <c:pt idx="2">
                  <c:v>257578.63000000006</c:v>
                </c:pt>
                <c:pt idx="3">
                  <c:v>250210.68000000002</c:v>
                </c:pt>
                <c:pt idx="4">
                  <c:v>247939.30000000005</c:v>
                </c:pt>
                <c:pt idx="5">
                  <c:v>248373.13000000003</c:v>
                </c:pt>
                <c:pt idx="6">
                  <c:v>250323.80000000002</c:v>
                </c:pt>
                <c:pt idx="7">
                  <c:v>253303.24000000002</c:v>
                </c:pt>
                <c:pt idx="8">
                  <c:v>255119.34</c:v>
                </c:pt>
                <c:pt idx="9">
                  <c:v>250430.69999999998</c:v>
                </c:pt>
                <c:pt idx="10">
                  <c:v>244805.92</c:v>
                </c:pt>
                <c:pt idx="11">
                  <c:v>250440.04</c:v>
                </c:pt>
                <c:pt idx="12">
                  <c:v>239900.52000000002</c:v>
                </c:pt>
                <c:pt idx="13">
                  <c:v>238969.66</c:v>
                </c:pt>
                <c:pt idx="14">
                  <c:v>236370.54</c:v>
                </c:pt>
                <c:pt idx="15">
                  <c:v>234409.90000000002</c:v>
                </c:pt>
                <c:pt idx="16">
                  <c:v>237236.88</c:v>
                </c:pt>
                <c:pt idx="17">
                  <c:v>242195.59</c:v>
                </c:pt>
                <c:pt idx="18">
                  <c:v>247181.43000000002</c:v>
                </c:pt>
                <c:pt idx="19">
                  <c:v>238800.69</c:v>
                </c:pt>
                <c:pt idx="20">
                  <c:v>241294.97000000003</c:v>
                </c:pt>
                <c:pt idx="21">
                  <c:v>243079.88999999998</c:v>
                </c:pt>
                <c:pt idx="22">
                  <c:v>228626.14999999997</c:v>
                </c:pt>
                <c:pt idx="23">
                  <c:v>220286.56999999995</c:v>
                </c:pt>
                <c:pt idx="24">
                  <c:v>216452.24999999994</c:v>
                </c:pt>
                <c:pt idx="25">
                  <c:v>220867.84999999995</c:v>
                </c:pt>
                <c:pt idx="26">
                  <c:v>220202.27999999997</c:v>
                </c:pt>
                <c:pt idx="27">
                  <c:v>221056.09999999998</c:v>
                </c:pt>
                <c:pt idx="28">
                  <c:v>213620.37</c:v>
                </c:pt>
                <c:pt idx="29">
                  <c:v>199350.67</c:v>
                </c:pt>
                <c:pt idx="30">
                  <c:v>186977.19</c:v>
                </c:pt>
                <c:pt idx="31">
                  <c:v>185810.14</c:v>
                </c:pt>
                <c:pt idx="32">
                  <c:v>179934.2</c:v>
                </c:pt>
                <c:pt idx="33">
                  <c:v>173731.43000000002</c:v>
                </c:pt>
                <c:pt idx="34">
                  <c:v>185507.90999999997</c:v>
                </c:pt>
                <c:pt idx="35">
                  <c:v>192860.86</c:v>
                </c:pt>
                <c:pt idx="36">
                  <c:v>191156.06</c:v>
                </c:pt>
                <c:pt idx="37">
                  <c:v>183132.28999999998</c:v>
                </c:pt>
                <c:pt idx="38">
                  <c:v>179179.89</c:v>
                </c:pt>
                <c:pt idx="39">
                  <c:v>177631.43</c:v>
                </c:pt>
                <c:pt idx="40">
                  <c:v>171802.11999999997</c:v>
                </c:pt>
                <c:pt idx="41">
                  <c:v>172175.4</c:v>
                </c:pt>
                <c:pt idx="42">
                  <c:v>171854.85</c:v>
                </c:pt>
                <c:pt idx="43">
                  <c:v>175739.38</c:v>
                </c:pt>
                <c:pt idx="44">
                  <c:v>180179.01</c:v>
                </c:pt>
                <c:pt idx="45">
                  <c:v>175503.22</c:v>
                </c:pt>
                <c:pt idx="46">
                  <c:v>168084.14</c:v>
                </c:pt>
                <c:pt idx="47">
                  <c:v>161859.4</c:v>
                </c:pt>
                <c:pt idx="48">
                  <c:v>169851.63999999998</c:v>
                </c:pt>
                <c:pt idx="49">
                  <c:v>169989.51999999996</c:v>
                </c:pt>
                <c:pt idx="50">
                  <c:v>168534.80999999997</c:v>
                </c:pt>
                <c:pt idx="51">
                  <c:v>168383.12</c:v>
                </c:pt>
                <c:pt idx="52">
                  <c:v>172259.74000000002</c:v>
                </c:pt>
                <c:pt idx="53">
                  <c:v>181844.49999999997</c:v>
                </c:pt>
                <c:pt idx="54">
                  <c:v>185145.1</c:v>
                </c:pt>
                <c:pt idx="55">
                  <c:v>180400.45</c:v>
                </c:pt>
                <c:pt idx="56">
                  <c:v>177186.25</c:v>
                </c:pt>
                <c:pt idx="57">
                  <c:v>177530.74</c:v>
                </c:pt>
                <c:pt idx="58">
                  <c:v>175374.18</c:v>
                </c:pt>
                <c:pt idx="59">
                  <c:v>173389.43999999994</c:v>
                </c:pt>
                <c:pt idx="60">
                  <c:v>167715.94999999998</c:v>
                </c:pt>
                <c:pt idx="61">
                  <c:v>167284.29999999999</c:v>
                </c:pt>
                <c:pt idx="62">
                  <c:v>170568.08</c:v>
                </c:pt>
                <c:pt idx="63">
                  <c:v>168511.86</c:v>
                </c:pt>
                <c:pt idx="64">
                  <c:v>159140.91</c:v>
                </c:pt>
                <c:pt idx="65">
                  <c:v>149442.53000000003</c:v>
                </c:pt>
                <c:pt idx="66">
                  <c:v>147649.41999999998</c:v>
                </c:pt>
                <c:pt idx="67">
                  <c:v>162605.97999999998</c:v>
                </c:pt>
                <c:pt idx="68">
                  <c:v>173281.35</c:v>
                </c:pt>
                <c:pt idx="69">
                  <c:v>174699.9</c:v>
                </c:pt>
                <c:pt idx="70">
                  <c:v>176511.86000000002</c:v>
                </c:pt>
                <c:pt idx="71">
                  <c:v>168620.38</c:v>
                </c:pt>
                <c:pt idx="72">
                  <c:v>166908.59</c:v>
                </c:pt>
                <c:pt idx="73">
                  <c:v>157952.39000000001</c:v>
                </c:pt>
                <c:pt idx="74">
                  <c:v>164734.79</c:v>
                </c:pt>
                <c:pt idx="75">
                  <c:v>163850.04</c:v>
                </c:pt>
                <c:pt idx="76">
                  <c:v>174518.12</c:v>
                </c:pt>
                <c:pt idx="77">
                  <c:v>172223.9</c:v>
                </c:pt>
                <c:pt idx="78">
                  <c:v>163830.51</c:v>
                </c:pt>
                <c:pt idx="79">
                  <c:v>149620.41999999998</c:v>
                </c:pt>
                <c:pt idx="80">
                  <c:v>147209.01</c:v>
                </c:pt>
                <c:pt idx="81">
                  <c:v>142177.60000000001</c:v>
                </c:pt>
                <c:pt idx="82">
                  <c:v>145680.77000000002</c:v>
                </c:pt>
                <c:pt idx="83">
                  <c:v>161263.02000000002</c:v>
                </c:pt>
                <c:pt idx="84">
                  <c:v>163830.47000000003</c:v>
                </c:pt>
                <c:pt idx="85">
                  <c:v>183342.48</c:v>
                </c:pt>
                <c:pt idx="86">
                  <c:v>181652.88</c:v>
                </c:pt>
                <c:pt idx="87">
                  <c:v>203737.76999999996</c:v>
                </c:pt>
                <c:pt idx="88">
                  <c:v>216823.07</c:v>
                </c:pt>
                <c:pt idx="89">
                  <c:v>230511.38999999998</c:v>
                </c:pt>
                <c:pt idx="90">
                  <c:v>238882.81999999998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CDA-4532-8A24-8281B80432A7}"/>
            </c:ext>
          </c:extLst>
        </c:ser>
        <c:ser>
          <c:idx val="4"/>
          <c:order val="3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sites'!$A$204:$A$300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sites'!$E$204:$E$300</c:f>
              <c:numCache>
                <c:formatCode>_-* #\ ##0\ [$€-40C]_-;\-* #\ ##0\ [$€-40C]_-;_-* "-"??\ [$€-40C]_-;_-@_-</c:formatCode>
                <c:ptCount val="97"/>
                <c:pt idx="0">
                  <c:v>88605.689999999988</c:v>
                </c:pt>
                <c:pt idx="1">
                  <c:v>84821.01999999999</c:v>
                </c:pt>
                <c:pt idx="2">
                  <c:v>81008.710000000006</c:v>
                </c:pt>
                <c:pt idx="3">
                  <c:v>78479.509999999995</c:v>
                </c:pt>
                <c:pt idx="4">
                  <c:v>76642.14</c:v>
                </c:pt>
                <c:pt idx="5">
                  <c:v>73000.319999999992</c:v>
                </c:pt>
                <c:pt idx="6">
                  <c:v>68675.570000000007</c:v>
                </c:pt>
                <c:pt idx="7">
                  <c:v>67858.409999999989</c:v>
                </c:pt>
                <c:pt idx="8">
                  <c:v>68452.06</c:v>
                </c:pt>
                <c:pt idx="9">
                  <c:v>72479.269999999975</c:v>
                </c:pt>
                <c:pt idx="10">
                  <c:v>69505.159999999974</c:v>
                </c:pt>
                <c:pt idx="11">
                  <c:v>74039.27999999997</c:v>
                </c:pt>
                <c:pt idx="12">
                  <c:v>71812.169999999955</c:v>
                </c:pt>
                <c:pt idx="13">
                  <c:v>71438.749999999985</c:v>
                </c:pt>
                <c:pt idx="14">
                  <c:v>72553.829999999973</c:v>
                </c:pt>
                <c:pt idx="15">
                  <c:v>76132.149999999965</c:v>
                </c:pt>
                <c:pt idx="16">
                  <c:v>75251.949999999983</c:v>
                </c:pt>
                <c:pt idx="17">
                  <c:v>75720.37999999999</c:v>
                </c:pt>
                <c:pt idx="18">
                  <c:v>74267.039999999979</c:v>
                </c:pt>
                <c:pt idx="19">
                  <c:v>73748.02999999997</c:v>
                </c:pt>
                <c:pt idx="20">
                  <c:v>73314.679999999978</c:v>
                </c:pt>
                <c:pt idx="21">
                  <c:v>65148.109999999993</c:v>
                </c:pt>
                <c:pt idx="22">
                  <c:v>62392.189999999988</c:v>
                </c:pt>
                <c:pt idx="23">
                  <c:v>54679.33</c:v>
                </c:pt>
                <c:pt idx="24">
                  <c:v>52300.27</c:v>
                </c:pt>
                <c:pt idx="25">
                  <c:v>51525.799999999996</c:v>
                </c:pt>
                <c:pt idx="26">
                  <c:v>51912.13</c:v>
                </c:pt>
                <c:pt idx="27">
                  <c:v>49202.469999999994</c:v>
                </c:pt>
                <c:pt idx="28">
                  <c:v>49131.86</c:v>
                </c:pt>
                <c:pt idx="29">
                  <c:v>48392.710000000006</c:v>
                </c:pt>
                <c:pt idx="30">
                  <c:v>47584.66</c:v>
                </c:pt>
                <c:pt idx="31">
                  <c:v>46108.87000000001</c:v>
                </c:pt>
                <c:pt idx="32">
                  <c:v>45867.64</c:v>
                </c:pt>
                <c:pt idx="33">
                  <c:v>45337.42</c:v>
                </c:pt>
                <c:pt idx="34">
                  <c:v>46363.89</c:v>
                </c:pt>
                <c:pt idx="35">
                  <c:v>44821.14</c:v>
                </c:pt>
                <c:pt idx="36">
                  <c:v>44742.8</c:v>
                </c:pt>
                <c:pt idx="37">
                  <c:v>44560.58</c:v>
                </c:pt>
                <c:pt idx="38">
                  <c:v>41967.890000000007</c:v>
                </c:pt>
                <c:pt idx="39">
                  <c:v>39680.050000000003</c:v>
                </c:pt>
                <c:pt idx="40">
                  <c:v>38453.74</c:v>
                </c:pt>
                <c:pt idx="41">
                  <c:v>36765.769999999997</c:v>
                </c:pt>
                <c:pt idx="42">
                  <c:v>35857.68</c:v>
                </c:pt>
                <c:pt idx="43">
                  <c:v>37242.949999999997</c:v>
                </c:pt>
                <c:pt idx="44">
                  <c:v>36986.739999999991</c:v>
                </c:pt>
                <c:pt idx="45">
                  <c:v>37806.290000000008</c:v>
                </c:pt>
                <c:pt idx="46">
                  <c:v>37103.360000000001</c:v>
                </c:pt>
                <c:pt idx="47">
                  <c:v>38434.479999999996</c:v>
                </c:pt>
                <c:pt idx="48">
                  <c:v>37644.11</c:v>
                </c:pt>
                <c:pt idx="49">
                  <c:v>35515.82</c:v>
                </c:pt>
                <c:pt idx="50">
                  <c:v>35822.460000000006</c:v>
                </c:pt>
                <c:pt idx="51">
                  <c:v>36129.009999999995</c:v>
                </c:pt>
                <c:pt idx="52">
                  <c:v>36861.47</c:v>
                </c:pt>
                <c:pt idx="53">
                  <c:v>36102.33</c:v>
                </c:pt>
                <c:pt idx="54">
                  <c:v>36340.929999999993</c:v>
                </c:pt>
                <c:pt idx="55">
                  <c:v>35205.61</c:v>
                </c:pt>
                <c:pt idx="56">
                  <c:v>33980.300000000003</c:v>
                </c:pt>
                <c:pt idx="57">
                  <c:v>32393.570000000003</c:v>
                </c:pt>
                <c:pt idx="58">
                  <c:v>32856.060000000005</c:v>
                </c:pt>
                <c:pt idx="59">
                  <c:v>31882.84</c:v>
                </c:pt>
                <c:pt idx="60">
                  <c:v>33752.129999999997</c:v>
                </c:pt>
                <c:pt idx="61">
                  <c:v>34033.369999999995</c:v>
                </c:pt>
                <c:pt idx="62">
                  <c:v>32554.399999999998</c:v>
                </c:pt>
                <c:pt idx="63">
                  <c:v>31881.920000000002</c:v>
                </c:pt>
                <c:pt idx="64">
                  <c:v>28639.329999999998</c:v>
                </c:pt>
                <c:pt idx="65">
                  <c:v>27598.829999999998</c:v>
                </c:pt>
                <c:pt idx="66">
                  <c:v>23335.96</c:v>
                </c:pt>
                <c:pt idx="67">
                  <c:v>21867.68</c:v>
                </c:pt>
                <c:pt idx="68">
                  <c:v>21436.77</c:v>
                </c:pt>
                <c:pt idx="69">
                  <c:v>23460.190000000002</c:v>
                </c:pt>
                <c:pt idx="70">
                  <c:v>24161.260000000006</c:v>
                </c:pt>
                <c:pt idx="71">
                  <c:v>24836.630000000005</c:v>
                </c:pt>
                <c:pt idx="72">
                  <c:v>24237.500000000004</c:v>
                </c:pt>
                <c:pt idx="73">
                  <c:v>22818.95</c:v>
                </c:pt>
                <c:pt idx="74">
                  <c:v>23129</c:v>
                </c:pt>
                <c:pt idx="75">
                  <c:v>22672.65</c:v>
                </c:pt>
                <c:pt idx="76">
                  <c:v>23686.010000000002</c:v>
                </c:pt>
                <c:pt idx="77">
                  <c:v>24390.800000000003</c:v>
                </c:pt>
                <c:pt idx="78">
                  <c:v>27622.82</c:v>
                </c:pt>
                <c:pt idx="79">
                  <c:v>28453.02</c:v>
                </c:pt>
                <c:pt idx="80">
                  <c:v>29276.099999999995</c:v>
                </c:pt>
                <c:pt idx="81">
                  <c:v>25092.42</c:v>
                </c:pt>
                <c:pt idx="82">
                  <c:v>23348</c:v>
                </c:pt>
                <c:pt idx="83">
                  <c:v>22493.040000000001</c:v>
                </c:pt>
                <c:pt idx="84">
                  <c:v>20496.990000000002</c:v>
                </c:pt>
                <c:pt idx="85">
                  <c:v>21554.77</c:v>
                </c:pt>
                <c:pt idx="86">
                  <c:v>21012.09</c:v>
                </c:pt>
                <c:pt idx="87">
                  <c:v>20238.96</c:v>
                </c:pt>
                <c:pt idx="88">
                  <c:v>20383.61</c:v>
                </c:pt>
                <c:pt idx="89">
                  <c:v>20334.849999999999</c:v>
                </c:pt>
                <c:pt idx="90">
                  <c:v>18733.940000000002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CDA-4532-8A24-8281B80432A7}"/>
            </c:ext>
          </c:extLst>
        </c:ser>
        <c:ser>
          <c:idx val="5"/>
          <c:order val="4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sites'!$A$204:$A$300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sites'!$F$204:$F$300</c:f>
              <c:numCache>
                <c:formatCode>_-* #\ ##0\ [$€-40C]_-;\-* #\ ##0\ [$€-40C]_-;_-* "-"??\ [$€-40C]_-;_-@_-</c:formatCode>
                <c:ptCount val="97"/>
                <c:pt idx="0">
                  <c:v>29206.37</c:v>
                </c:pt>
                <c:pt idx="1">
                  <c:v>23102.73</c:v>
                </c:pt>
                <c:pt idx="2">
                  <c:v>20328.46</c:v>
                </c:pt>
                <c:pt idx="3">
                  <c:v>18757.759999999998</c:v>
                </c:pt>
                <c:pt idx="4">
                  <c:v>16604.150000000001</c:v>
                </c:pt>
                <c:pt idx="5">
                  <c:v>14959.779999999999</c:v>
                </c:pt>
                <c:pt idx="6">
                  <c:v>16509.25</c:v>
                </c:pt>
                <c:pt idx="7">
                  <c:v>16934.16</c:v>
                </c:pt>
                <c:pt idx="8">
                  <c:v>16949.28</c:v>
                </c:pt>
                <c:pt idx="9">
                  <c:v>15368.9</c:v>
                </c:pt>
                <c:pt idx="10">
                  <c:v>15305.48</c:v>
                </c:pt>
                <c:pt idx="11">
                  <c:v>17698.04</c:v>
                </c:pt>
                <c:pt idx="12">
                  <c:v>18161.390000000003</c:v>
                </c:pt>
                <c:pt idx="13">
                  <c:v>18588.73</c:v>
                </c:pt>
                <c:pt idx="14">
                  <c:v>19565.689999999999</c:v>
                </c:pt>
                <c:pt idx="15">
                  <c:v>19744.349999999999</c:v>
                </c:pt>
                <c:pt idx="16">
                  <c:v>20288.939999999999</c:v>
                </c:pt>
                <c:pt idx="17">
                  <c:v>19337.490000000002</c:v>
                </c:pt>
                <c:pt idx="18">
                  <c:v>19325.880000000005</c:v>
                </c:pt>
                <c:pt idx="19">
                  <c:v>20922.840000000004</c:v>
                </c:pt>
                <c:pt idx="20">
                  <c:v>19958.940000000002</c:v>
                </c:pt>
                <c:pt idx="21">
                  <c:v>18702.609999999997</c:v>
                </c:pt>
                <c:pt idx="22">
                  <c:v>19027.289999999997</c:v>
                </c:pt>
                <c:pt idx="23">
                  <c:v>16551.449999999997</c:v>
                </c:pt>
                <c:pt idx="24">
                  <c:v>16814.499999999996</c:v>
                </c:pt>
                <c:pt idx="25">
                  <c:v>17825.329999999998</c:v>
                </c:pt>
                <c:pt idx="26">
                  <c:v>17317.979999999996</c:v>
                </c:pt>
                <c:pt idx="27">
                  <c:v>17370.829999999998</c:v>
                </c:pt>
                <c:pt idx="28">
                  <c:v>17840.980000000003</c:v>
                </c:pt>
                <c:pt idx="29">
                  <c:v>18811.150000000001</c:v>
                </c:pt>
                <c:pt idx="30">
                  <c:v>18434.030000000002</c:v>
                </c:pt>
                <c:pt idx="31">
                  <c:v>19388.150000000001</c:v>
                </c:pt>
                <c:pt idx="32">
                  <c:v>19682.03</c:v>
                </c:pt>
                <c:pt idx="33">
                  <c:v>19051.880000000005</c:v>
                </c:pt>
                <c:pt idx="34">
                  <c:v>18698.8</c:v>
                </c:pt>
                <c:pt idx="35">
                  <c:v>19163.340000000004</c:v>
                </c:pt>
                <c:pt idx="36">
                  <c:v>18098.52</c:v>
                </c:pt>
                <c:pt idx="37">
                  <c:v>19619.84</c:v>
                </c:pt>
                <c:pt idx="38">
                  <c:v>20769.969999999998</c:v>
                </c:pt>
                <c:pt idx="39">
                  <c:v>20366.979999999996</c:v>
                </c:pt>
                <c:pt idx="40">
                  <c:v>20186.859999999997</c:v>
                </c:pt>
                <c:pt idx="41">
                  <c:v>21089.109999999997</c:v>
                </c:pt>
                <c:pt idx="42">
                  <c:v>20159.21</c:v>
                </c:pt>
                <c:pt idx="43">
                  <c:v>18206.439999999999</c:v>
                </c:pt>
                <c:pt idx="44">
                  <c:v>18090.09</c:v>
                </c:pt>
                <c:pt idx="45">
                  <c:v>18199.79</c:v>
                </c:pt>
                <c:pt idx="46">
                  <c:v>18379.789999999997</c:v>
                </c:pt>
                <c:pt idx="47">
                  <c:v>18677.170000000002</c:v>
                </c:pt>
                <c:pt idx="48">
                  <c:v>19532.84</c:v>
                </c:pt>
                <c:pt idx="49">
                  <c:v>17770.38</c:v>
                </c:pt>
                <c:pt idx="50">
                  <c:v>16341.359999999997</c:v>
                </c:pt>
                <c:pt idx="51">
                  <c:v>16934.829999999998</c:v>
                </c:pt>
                <c:pt idx="52">
                  <c:v>16577.46</c:v>
                </c:pt>
                <c:pt idx="53">
                  <c:v>16293.71</c:v>
                </c:pt>
                <c:pt idx="54">
                  <c:v>16411.939999999999</c:v>
                </c:pt>
                <c:pt idx="55">
                  <c:v>17606.879999999997</c:v>
                </c:pt>
                <c:pt idx="56">
                  <c:v>17356.199999999997</c:v>
                </c:pt>
                <c:pt idx="57">
                  <c:v>16785.170000000002</c:v>
                </c:pt>
                <c:pt idx="58">
                  <c:v>16614.57</c:v>
                </c:pt>
                <c:pt idx="59">
                  <c:v>16781.300000000003</c:v>
                </c:pt>
                <c:pt idx="60">
                  <c:v>16382.490000000002</c:v>
                </c:pt>
                <c:pt idx="61">
                  <c:v>15936.020000000002</c:v>
                </c:pt>
                <c:pt idx="62">
                  <c:v>16212.44</c:v>
                </c:pt>
                <c:pt idx="63">
                  <c:v>15279.810000000001</c:v>
                </c:pt>
                <c:pt idx="64">
                  <c:v>13861.429999999998</c:v>
                </c:pt>
                <c:pt idx="65">
                  <c:v>12188.529999999999</c:v>
                </c:pt>
                <c:pt idx="66">
                  <c:v>11402.099999999999</c:v>
                </c:pt>
                <c:pt idx="67">
                  <c:v>8801.81</c:v>
                </c:pt>
                <c:pt idx="68">
                  <c:v>8849.7799999999988</c:v>
                </c:pt>
                <c:pt idx="69">
                  <c:v>11231.36</c:v>
                </c:pt>
                <c:pt idx="70">
                  <c:v>13853.54</c:v>
                </c:pt>
                <c:pt idx="71">
                  <c:v>13402.360000000002</c:v>
                </c:pt>
                <c:pt idx="72">
                  <c:v>16059.66</c:v>
                </c:pt>
                <c:pt idx="73">
                  <c:v>15923.439999999999</c:v>
                </c:pt>
                <c:pt idx="74">
                  <c:v>16039.319999999998</c:v>
                </c:pt>
                <c:pt idx="75">
                  <c:v>18244.849999999999</c:v>
                </c:pt>
                <c:pt idx="76">
                  <c:v>18702.8</c:v>
                </c:pt>
                <c:pt idx="77">
                  <c:v>21553.29</c:v>
                </c:pt>
                <c:pt idx="78">
                  <c:v>25192.15</c:v>
                </c:pt>
                <c:pt idx="79">
                  <c:v>24602.78</c:v>
                </c:pt>
                <c:pt idx="80">
                  <c:v>24210.16</c:v>
                </c:pt>
                <c:pt idx="81">
                  <c:v>22094.41</c:v>
                </c:pt>
                <c:pt idx="82">
                  <c:v>19742.23</c:v>
                </c:pt>
                <c:pt idx="83">
                  <c:v>19783.870000000006</c:v>
                </c:pt>
                <c:pt idx="84">
                  <c:v>16661.230000000003</c:v>
                </c:pt>
                <c:pt idx="85">
                  <c:v>16335.33</c:v>
                </c:pt>
                <c:pt idx="86">
                  <c:v>15569.4</c:v>
                </c:pt>
                <c:pt idx="87">
                  <c:v>13406.369999999999</c:v>
                </c:pt>
                <c:pt idx="88">
                  <c:v>14223.12</c:v>
                </c:pt>
                <c:pt idx="89">
                  <c:v>12761.079999999998</c:v>
                </c:pt>
                <c:pt idx="90">
                  <c:v>9788.6999999999989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CDA-4532-8A24-8281B80432A7}"/>
            </c:ext>
          </c:extLst>
        </c:ser>
        <c:ser>
          <c:idx val="6"/>
          <c:order val="5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sites'!$A$204:$A$300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sites'!$G$204:$G$300</c:f>
              <c:numCache>
                <c:formatCode>_-* #\ ##0\ [$€-40C]_-;\-* #\ ##0\ [$€-40C]_-;_-* "-"??\ [$€-40C]_-;_-@_-</c:formatCode>
                <c:ptCount val="97"/>
                <c:pt idx="0">
                  <c:v>11761.239999999998</c:v>
                </c:pt>
                <c:pt idx="1">
                  <c:v>10820.429999999998</c:v>
                </c:pt>
                <c:pt idx="2">
                  <c:v>9680.15</c:v>
                </c:pt>
                <c:pt idx="3">
                  <c:v>9200.840000000002</c:v>
                </c:pt>
                <c:pt idx="4">
                  <c:v>9315.5500000000011</c:v>
                </c:pt>
                <c:pt idx="5">
                  <c:v>9858.16</c:v>
                </c:pt>
                <c:pt idx="6">
                  <c:v>9859.369999999999</c:v>
                </c:pt>
                <c:pt idx="7">
                  <c:v>9573.15</c:v>
                </c:pt>
                <c:pt idx="8">
                  <c:v>10046.789999999999</c:v>
                </c:pt>
                <c:pt idx="9">
                  <c:v>11491.289999999999</c:v>
                </c:pt>
                <c:pt idx="10">
                  <c:v>12220.32</c:v>
                </c:pt>
                <c:pt idx="11">
                  <c:v>13188.23</c:v>
                </c:pt>
                <c:pt idx="12">
                  <c:v>14726.720000000001</c:v>
                </c:pt>
                <c:pt idx="13">
                  <c:v>14967.3</c:v>
                </c:pt>
                <c:pt idx="14">
                  <c:v>15211.039999999999</c:v>
                </c:pt>
                <c:pt idx="15">
                  <c:v>17615.719999999998</c:v>
                </c:pt>
                <c:pt idx="16">
                  <c:v>17613.159999999996</c:v>
                </c:pt>
                <c:pt idx="17">
                  <c:v>17074.21</c:v>
                </c:pt>
                <c:pt idx="18">
                  <c:v>15995.939999999999</c:v>
                </c:pt>
                <c:pt idx="19">
                  <c:v>16373.239999999996</c:v>
                </c:pt>
                <c:pt idx="20">
                  <c:v>16096.289999999995</c:v>
                </c:pt>
                <c:pt idx="21">
                  <c:v>15206.529999999997</c:v>
                </c:pt>
                <c:pt idx="22">
                  <c:v>14153.419999999998</c:v>
                </c:pt>
                <c:pt idx="23">
                  <c:v>13146.649999999998</c:v>
                </c:pt>
                <c:pt idx="24">
                  <c:v>12095.869999999999</c:v>
                </c:pt>
                <c:pt idx="25">
                  <c:v>11924.68</c:v>
                </c:pt>
                <c:pt idx="26">
                  <c:v>12048.41</c:v>
                </c:pt>
                <c:pt idx="27">
                  <c:v>9708.9700000000012</c:v>
                </c:pt>
                <c:pt idx="28">
                  <c:v>9277.9900000000016</c:v>
                </c:pt>
                <c:pt idx="29">
                  <c:v>9645.3300000000017</c:v>
                </c:pt>
                <c:pt idx="30">
                  <c:v>9628.0500000000011</c:v>
                </c:pt>
                <c:pt idx="31">
                  <c:v>9425.7800000000007</c:v>
                </c:pt>
                <c:pt idx="32">
                  <c:v>9045.59</c:v>
                </c:pt>
                <c:pt idx="33">
                  <c:v>8005.39</c:v>
                </c:pt>
                <c:pt idx="34">
                  <c:v>8823.56</c:v>
                </c:pt>
                <c:pt idx="35">
                  <c:v>8699.93</c:v>
                </c:pt>
                <c:pt idx="36">
                  <c:v>7991.81</c:v>
                </c:pt>
                <c:pt idx="37">
                  <c:v>9533.2900000000009</c:v>
                </c:pt>
                <c:pt idx="38">
                  <c:v>9698.2800000000007</c:v>
                </c:pt>
                <c:pt idx="39">
                  <c:v>9625.4100000000017</c:v>
                </c:pt>
                <c:pt idx="40">
                  <c:v>9791.7400000000016</c:v>
                </c:pt>
                <c:pt idx="41">
                  <c:v>9245.7100000000009</c:v>
                </c:pt>
                <c:pt idx="42">
                  <c:v>8537.5199999999986</c:v>
                </c:pt>
                <c:pt idx="43">
                  <c:v>9076.76</c:v>
                </c:pt>
                <c:pt idx="44">
                  <c:v>9163.91</c:v>
                </c:pt>
                <c:pt idx="45">
                  <c:v>9262.15</c:v>
                </c:pt>
                <c:pt idx="46">
                  <c:v>8805.6899999999987</c:v>
                </c:pt>
                <c:pt idx="47">
                  <c:v>8272.3599999999988</c:v>
                </c:pt>
                <c:pt idx="48">
                  <c:v>8231.08</c:v>
                </c:pt>
                <c:pt idx="49">
                  <c:v>6772.7399999999989</c:v>
                </c:pt>
                <c:pt idx="50">
                  <c:v>6328.89</c:v>
                </c:pt>
                <c:pt idx="51">
                  <c:v>5767.66</c:v>
                </c:pt>
                <c:pt idx="52">
                  <c:v>5806.8200000000006</c:v>
                </c:pt>
                <c:pt idx="53">
                  <c:v>5561.8</c:v>
                </c:pt>
                <c:pt idx="54">
                  <c:v>5586.67</c:v>
                </c:pt>
                <c:pt idx="55">
                  <c:v>5029.1900000000005</c:v>
                </c:pt>
                <c:pt idx="56">
                  <c:v>4802.6500000000005</c:v>
                </c:pt>
                <c:pt idx="57">
                  <c:v>4579.13</c:v>
                </c:pt>
                <c:pt idx="58">
                  <c:v>4861.8900000000003</c:v>
                </c:pt>
                <c:pt idx="59">
                  <c:v>5326.74</c:v>
                </c:pt>
                <c:pt idx="60">
                  <c:v>6092.8300000000008</c:v>
                </c:pt>
                <c:pt idx="61">
                  <c:v>6051.8900000000012</c:v>
                </c:pt>
                <c:pt idx="62">
                  <c:v>5838.6500000000015</c:v>
                </c:pt>
                <c:pt idx="63">
                  <c:v>5646.2100000000009</c:v>
                </c:pt>
                <c:pt idx="64">
                  <c:v>5115.3500000000004</c:v>
                </c:pt>
                <c:pt idx="65">
                  <c:v>4949.8200000000006</c:v>
                </c:pt>
                <c:pt idx="66">
                  <c:v>4572.8100000000004</c:v>
                </c:pt>
                <c:pt idx="67">
                  <c:v>4084.3499999999995</c:v>
                </c:pt>
                <c:pt idx="68">
                  <c:v>3840.6099999999997</c:v>
                </c:pt>
                <c:pt idx="69">
                  <c:v>3969.89</c:v>
                </c:pt>
                <c:pt idx="70">
                  <c:v>3514.8899999999994</c:v>
                </c:pt>
                <c:pt idx="71">
                  <c:v>3213.3999999999996</c:v>
                </c:pt>
                <c:pt idx="72">
                  <c:v>2409.34</c:v>
                </c:pt>
                <c:pt idx="73">
                  <c:v>2236.6799999999998</c:v>
                </c:pt>
                <c:pt idx="74">
                  <c:v>2440.83</c:v>
                </c:pt>
                <c:pt idx="75">
                  <c:v>2750.38</c:v>
                </c:pt>
                <c:pt idx="76">
                  <c:v>3262.44</c:v>
                </c:pt>
                <c:pt idx="77">
                  <c:v>3557.2699999999995</c:v>
                </c:pt>
                <c:pt idx="78">
                  <c:v>4034.8199999999997</c:v>
                </c:pt>
                <c:pt idx="79">
                  <c:v>5021.42</c:v>
                </c:pt>
                <c:pt idx="80">
                  <c:v>5139.62</c:v>
                </c:pt>
                <c:pt idx="81">
                  <c:v>4766.12</c:v>
                </c:pt>
                <c:pt idx="82">
                  <c:v>4988.51</c:v>
                </c:pt>
                <c:pt idx="83">
                  <c:v>4912.9699999999993</c:v>
                </c:pt>
                <c:pt idx="84">
                  <c:v>5007.7099999999991</c:v>
                </c:pt>
                <c:pt idx="85">
                  <c:v>4936.2999999999993</c:v>
                </c:pt>
                <c:pt idx="86">
                  <c:v>4620.4899999999989</c:v>
                </c:pt>
                <c:pt idx="87">
                  <c:v>4654.0999999999985</c:v>
                </c:pt>
                <c:pt idx="88">
                  <c:v>4826.1099999999997</c:v>
                </c:pt>
                <c:pt idx="89">
                  <c:v>4744.54</c:v>
                </c:pt>
                <c:pt idx="90">
                  <c:v>4612.2199999999993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CDA-4532-8A24-8281B80432A7}"/>
            </c:ext>
          </c:extLst>
        </c:ser>
        <c:ser>
          <c:idx val="7"/>
          <c:order val="6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sites'!$A$204:$A$300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sites'!$H$204:$H$300</c:f>
              <c:numCache>
                <c:formatCode>_-* #\ ##0\ [$€-40C]_-;\-* #\ ##0\ [$€-40C]_-;_-* "-"??\ [$€-40C]_-;_-@_-</c:formatCode>
                <c:ptCount val="97"/>
                <c:pt idx="0">
                  <c:v>10842.47</c:v>
                </c:pt>
                <c:pt idx="1">
                  <c:v>11569.499999999998</c:v>
                </c:pt>
                <c:pt idx="2">
                  <c:v>11589.499999999998</c:v>
                </c:pt>
                <c:pt idx="3">
                  <c:v>12473.849999999999</c:v>
                </c:pt>
                <c:pt idx="4">
                  <c:v>10755.249999999998</c:v>
                </c:pt>
                <c:pt idx="5">
                  <c:v>10902.169999999998</c:v>
                </c:pt>
                <c:pt idx="6">
                  <c:v>10751.22</c:v>
                </c:pt>
                <c:pt idx="7">
                  <c:v>10792.22</c:v>
                </c:pt>
                <c:pt idx="8">
                  <c:v>10857.82</c:v>
                </c:pt>
                <c:pt idx="9">
                  <c:v>10996.019999999999</c:v>
                </c:pt>
                <c:pt idx="10">
                  <c:v>11586.460000000001</c:v>
                </c:pt>
                <c:pt idx="11">
                  <c:v>10517.03</c:v>
                </c:pt>
                <c:pt idx="12">
                  <c:v>9579.83</c:v>
                </c:pt>
                <c:pt idx="13">
                  <c:v>9064.6099999999988</c:v>
                </c:pt>
                <c:pt idx="14">
                  <c:v>9039.0099999999984</c:v>
                </c:pt>
                <c:pt idx="15">
                  <c:v>8548.36</c:v>
                </c:pt>
                <c:pt idx="16">
                  <c:v>8210.9599999999991</c:v>
                </c:pt>
                <c:pt idx="17">
                  <c:v>8244.58</c:v>
                </c:pt>
                <c:pt idx="18">
                  <c:v>7779.7300000000005</c:v>
                </c:pt>
                <c:pt idx="19">
                  <c:v>7768.7300000000005</c:v>
                </c:pt>
                <c:pt idx="20">
                  <c:v>8889.18</c:v>
                </c:pt>
                <c:pt idx="21">
                  <c:v>8955.98</c:v>
                </c:pt>
                <c:pt idx="22">
                  <c:v>5239.03</c:v>
                </c:pt>
                <c:pt idx="23">
                  <c:v>4627.63</c:v>
                </c:pt>
                <c:pt idx="24">
                  <c:v>5331.3099999999995</c:v>
                </c:pt>
                <c:pt idx="25">
                  <c:v>5256.3099999999995</c:v>
                </c:pt>
                <c:pt idx="26">
                  <c:v>5851.04</c:v>
                </c:pt>
                <c:pt idx="27">
                  <c:v>5692.3399999999992</c:v>
                </c:pt>
                <c:pt idx="28">
                  <c:v>5628.3399999999992</c:v>
                </c:pt>
                <c:pt idx="29">
                  <c:v>5983.64</c:v>
                </c:pt>
                <c:pt idx="30">
                  <c:v>5712.44</c:v>
                </c:pt>
                <c:pt idx="31">
                  <c:v>6654.44</c:v>
                </c:pt>
                <c:pt idx="32">
                  <c:v>5606.3</c:v>
                </c:pt>
                <c:pt idx="33">
                  <c:v>5802.170000000001</c:v>
                </c:pt>
                <c:pt idx="34">
                  <c:v>5747.38</c:v>
                </c:pt>
                <c:pt idx="35">
                  <c:v>5620.71</c:v>
                </c:pt>
                <c:pt idx="36">
                  <c:v>4970.2299999999996</c:v>
                </c:pt>
                <c:pt idx="37">
                  <c:v>4858.2299999999996</c:v>
                </c:pt>
                <c:pt idx="38">
                  <c:v>4389.2999999999993</c:v>
                </c:pt>
                <c:pt idx="39">
                  <c:v>4755.3</c:v>
                </c:pt>
                <c:pt idx="40">
                  <c:v>5242.9800000000005</c:v>
                </c:pt>
                <c:pt idx="41">
                  <c:v>4581.58</c:v>
                </c:pt>
                <c:pt idx="42">
                  <c:v>4722.58</c:v>
                </c:pt>
                <c:pt idx="43">
                  <c:v>3773.9199999999996</c:v>
                </c:pt>
                <c:pt idx="44">
                  <c:v>3636.0099999999998</c:v>
                </c:pt>
                <c:pt idx="45">
                  <c:v>3399.59</c:v>
                </c:pt>
                <c:pt idx="46">
                  <c:v>2922.44</c:v>
                </c:pt>
                <c:pt idx="47">
                  <c:v>4090.2200000000003</c:v>
                </c:pt>
                <c:pt idx="48">
                  <c:v>4498.3200000000006</c:v>
                </c:pt>
                <c:pt idx="49">
                  <c:v>4498.3200000000006</c:v>
                </c:pt>
                <c:pt idx="50">
                  <c:v>4528.12</c:v>
                </c:pt>
                <c:pt idx="51">
                  <c:v>3999.12</c:v>
                </c:pt>
                <c:pt idx="52">
                  <c:v>3667.4399999999996</c:v>
                </c:pt>
                <c:pt idx="53">
                  <c:v>3667.44</c:v>
                </c:pt>
                <c:pt idx="54">
                  <c:v>3793.89</c:v>
                </c:pt>
                <c:pt idx="55">
                  <c:v>4355.5499999999993</c:v>
                </c:pt>
                <c:pt idx="56">
                  <c:v>4467.5499999999993</c:v>
                </c:pt>
                <c:pt idx="57">
                  <c:v>4404.9599999999991</c:v>
                </c:pt>
                <c:pt idx="58">
                  <c:v>4997.84</c:v>
                </c:pt>
                <c:pt idx="59">
                  <c:v>3885.6800000000003</c:v>
                </c:pt>
                <c:pt idx="60">
                  <c:v>3276.58</c:v>
                </c:pt>
                <c:pt idx="61">
                  <c:v>3351.12</c:v>
                </c:pt>
                <c:pt idx="62">
                  <c:v>3119.12</c:v>
                </c:pt>
                <c:pt idx="63">
                  <c:v>3153.33</c:v>
                </c:pt>
                <c:pt idx="64">
                  <c:v>2987.33</c:v>
                </c:pt>
                <c:pt idx="65">
                  <c:v>2955.33</c:v>
                </c:pt>
                <c:pt idx="66">
                  <c:v>2666.88</c:v>
                </c:pt>
                <c:pt idx="67">
                  <c:v>2081.88</c:v>
                </c:pt>
                <c:pt idx="68">
                  <c:v>2136.48</c:v>
                </c:pt>
                <c:pt idx="69">
                  <c:v>1803.02</c:v>
                </c:pt>
                <c:pt idx="70">
                  <c:v>1011.3</c:v>
                </c:pt>
                <c:pt idx="71">
                  <c:v>988.35</c:v>
                </c:pt>
                <c:pt idx="72">
                  <c:v>988.35</c:v>
                </c:pt>
                <c:pt idx="73">
                  <c:v>877.81</c:v>
                </c:pt>
                <c:pt idx="74">
                  <c:v>877.81</c:v>
                </c:pt>
                <c:pt idx="75">
                  <c:v>771.6</c:v>
                </c:pt>
                <c:pt idx="76">
                  <c:v>901.73</c:v>
                </c:pt>
                <c:pt idx="77">
                  <c:v>1295.02</c:v>
                </c:pt>
                <c:pt idx="78">
                  <c:v>1295.02</c:v>
                </c:pt>
                <c:pt idx="79">
                  <c:v>1934.9</c:v>
                </c:pt>
                <c:pt idx="80">
                  <c:v>1768.3000000000002</c:v>
                </c:pt>
                <c:pt idx="81">
                  <c:v>1797.9</c:v>
                </c:pt>
                <c:pt idx="82">
                  <c:v>4629.32</c:v>
                </c:pt>
                <c:pt idx="83">
                  <c:v>7464.5</c:v>
                </c:pt>
                <c:pt idx="84">
                  <c:v>7464.5</c:v>
                </c:pt>
                <c:pt idx="85">
                  <c:v>7560.5</c:v>
                </c:pt>
                <c:pt idx="86">
                  <c:v>11300.5</c:v>
                </c:pt>
                <c:pt idx="87">
                  <c:v>11415.45</c:v>
                </c:pt>
                <c:pt idx="88">
                  <c:v>12292.320000000002</c:v>
                </c:pt>
                <c:pt idx="89">
                  <c:v>12397.03</c:v>
                </c:pt>
                <c:pt idx="90">
                  <c:v>12658.69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CDA-4532-8A24-8281B80432A7}"/>
            </c:ext>
          </c:extLst>
        </c:ser>
        <c:ser>
          <c:idx val="8"/>
          <c:order val="7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sites'!$A$204:$A$300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sites'!$I$204:$I$300</c:f>
              <c:numCache>
                <c:formatCode>_-* #\ ##0\ [$€-40C]_-;\-* #\ ##0\ [$€-40C]_-;_-* "-"??\ [$€-40C]_-;_-@_-</c:formatCode>
                <c:ptCount val="97"/>
                <c:pt idx="0">
                  <c:v>34204.150000000009</c:v>
                </c:pt>
                <c:pt idx="1">
                  <c:v>31591.340000000004</c:v>
                </c:pt>
                <c:pt idx="2">
                  <c:v>29732.700000000004</c:v>
                </c:pt>
                <c:pt idx="3">
                  <c:v>28247.79</c:v>
                </c:pt>
                <c:pt idx="4">
                  <c:v>28916.690000000002</c:v>
                </c:pt>
                <c:pt idx="5">
                  <c:v>25316.74</c:v>
                </c:pt>
                <c:pt idx="6">
                  <c:v>26129.21</c:v>
                </c:pt>
                <c:pt idx="7">
                  <c:v>27398.789999999997</c:v>
                </c:pt>
                <c:pt idx="8">
                  <c:v>27706.92</c:v>
                </c:pt>
                <c:pt idx="9">
                  <c:v>28097.849999999995</c:v>
                </c:pt>
                <c:pt idx="10">
                  <c:v>26780.94</c:v>
                </c:pt>
                <c:pt idx="11">
                  <c:v>27898.790000000005</c:v>
                </c:pt>
                <c:pt idx="12">
                  <c:v>27774.99</c:v>
                </c:pt>
                <c:pt idx="13">
                  <c:v>30523.890000000003</c:v>
                </c:pt>
                <c:pt idx="14">
                  <c:v>31663.140000000003</c:v>
                </c:pt>
                <c:pt idx="15">
                  <c:v>40829.340000000011</c:v>
                </c:pt>
                <c:pt idx="16">
                  <c:v>39885.140000000007</c:v>
                </c:pt>
                <c:pt idx="17">
                  <c:v>39034.129999999997</c:v>
                </c:pt>
                <c:pt idx="18">
                  <c:v>37827.189999999995</c:v>
                </c:pt>
                <c:pt idx="19">
                  <c:v>39715.730000000003</c:v>
                </c:pt>
                <c:pt idx="20">
                  <c:v>38752.700000000004</c:v>
                </c:pt>
                <c:pt idx="21">
                  <c:v>36337.850000000006</c:v>
                </c:pt>
                <c:pt idx="22">
                  <c:v>37116.870000000003</c:v>
                </c:pt>
                <c:pt idx="23">
                  <c:v>36824.900000000009</c:v>
                </c:pt>
                <c:pt idx="24">
                  <c:v>36563.030000000013</c:v>
                </c:pt>
                <c:pt idx="25">
                  <c:v>33184.87000000001</c:v>
                </c:pt>
                <c:pt idx="26">
                  <c:v>32051.660000000011</c:v>
                </c:pt>
                <c:pt idx="27">
                  <c:v>25083.559999999998</c:v>
                </c:pt>
                <c:pt idx="28">
                  <c:v>26695.91</c:v>
                </c:pt>
                <c:pt idx="29">
                  <c:v>30080.750000000004</c:v>
                </c:pt>
                <c:pt idx="30">
                  <c:v>30041.670000000002</c:v>
                </c:pt>
                <c:pt idx="31">
                  <c:v>28178.14</c:v>
                </c:pt>
                <c:pt idx="32">
                  <c:v>29086.91</c:v>
                </c:pt>
                <c:pt idx="33">
                  <c:v>30044</c:v>
                </c:pt>
                <c:pt idx="34">
                  <c:v>30944.750000000004</c:v>
                </c:pt>
                <c:pt idx="35">
                  <c:v>33230.620000000003</c:v>
                </c:pt>
                <c:pt idx="36">
                  <c:v>33624.43</c:v>
                </c:pt>
                <c:pt idx="37">
                  <c:v>37682.120000000003</c:v>
                </c:pt>
                <c:pt idx="38">
                  <c:v>39180.730000000003</c:v>
                </c:pt>
                <c:pt idx="39">
                  <c:v>39382.950000000004</c:v>
                </c:pt>
                <c:pt idx="40">
                  <c:v>39319.11</c:v>
                </c:pt>
                <c:pt idx="41">
                  <c:v>36015.679999999993</c:v>
                </c:pt>
                <c:pt idx="42">
                  <c:v>37535.86</c:v>
                </c:pt>
                <c:pt idx="43">
                  <c:v>38795.54</c:v>
                </c:pt>
                <c:pt idx="44">
                  <c:v>38938.700000000004</c:v>
                </c:pt>
                <c:pt idx="45">
                  <c:v>39642.340000000004</c:v>
                </c:pt>
                <c:pt idx="46">
                  <c:v>39463.39</c:v>
                </c:pt>
                <c:pt idx="47">
                  <c:v>38048.26</c:v>
                </c:pt>
                <c:pt idx="48">
                  <c:v>41804.19</c:v>
                </c:pt>
                <c:pt idx="49">
                  <c:v>41735.659999999996</c:v>
                </c:pt>
                <c:pt idx="50">
                  <c:v>41353.520000000004</c:v>
                </c:pt>
                <c:pt idx="51">
                  <c:v>39237.69</c:v>
                </c:pt>
                <c:pt idx="52">
                  <c:v>38423.57</c:v>
                </c:pt>
                <c:pt idx="53">
                  <c:v>38749.919999999998</c:v>
                </c:pt>
                <c:pt idx="54">
                  <c:v>35833.090000000004</c:v>
                </c:pt>
                <c:pt idx="55">
                  <c:v>33570.25</c:v>
                </c:pt>
                <c:pt idx="56">
                  <c:v>32221.610000000004</c:v>
                </c:pt>
                <c:pt idx="57">
                  <c:v>30116.81</c:v>
                </c:pt>
                <c:pt idx="58">
                  <c:v>27520.89</c:v>
                </c:pt>
                <c:pt idx="59">
                  <c:v>26040.39</c:v>
                </c:pt>
                <c:pt idx="60">
                  <c:v>23009.45</c:v>
                </c:pt>
                <c:pt idx="61">
                  <c:v>18591.88</c:v>
                </c:pt>
                <c:pt idx="62">
                  <c:v>16266.409999999998</c:v>
                </c:pt>
                <c:pt idx="63">
                  <c:v>14544.050000000001</c:v>
                </c:pt>
                <c:pt idx="64">
                  <c:v>12390.88</c:v>
                </c:pt>
                <c:pt idx="65">
                  <c:v>10734.59</c:v>
                </c:pt>
                <c:pt idx="66">
                  <c:v>10000.189999999999</c:v>
                </c:pt>
                <c:pt idx="67">
                  <c:v>8314.3900000000012</c:v>
                </c:pt>
                <c:pt idx="68">
                  <c:v>7659.7300000000005</c:v>
                </c:pt>
                <c:pt idx="69">
                  <c:v>8055.54</c:v>
                </c:pt>
                <c:pt idx="70">
                  <c:v>7870.3</c:v>
                </c:pt>
                <c:pt idx="71">
                  <c:v>7173.65</c:v>
                </c:pt>
                <c:pt idx="72">
                  <c:v>4072.8999999999996</c:v>
                </c:pt>
                <c:pt idx="73">
                  <c:v>3806.3999999999996</c:v>
                </c:pt>
                <c:pt idx="74">
                  <c:v>5395.7</c:v>
                </c:pt>
                <c:pt idx="75">
                  <c:v>4815.47</c:v>
                </c:pt>
                <c:pt idx="76">
                  <c:v>4961.71</c:v>
                </c:pt>
                <c:pt idx="77">
                  <c:v>5012.12</c:v>
                </c:pt>
                <c:pt idx="78">
                  <c:v>5021.88</c:v>
                </c:pt>
                <c:pt idx="79">
                  <c:v>5294.78</c:v>
                </c:pt>
                <c:pt idx="80">
                  <c:v>5310.69</c:v>
                </c:pt>
                <c:pt idx="81">
                  <c:v>3794.83</c:v>
                </c:pt>
                <c:pt idx="82">
                  <c:v>3977.12</c:v>
                </c:pt>
                <c:pt idx="83">
                  <c:v>4227.97</c:v>
                </c:pt>
                <c:pt idx="84">
                  <c:v>4581.6200000000008</c:v>
                </c:pt>
                <c:pt idx="85">
                  <c:v>4408.3999999999996</c:v>
                </c:pt>
                <c:pt idx="86">
                  <c:v>2493.33</c:v>
                </c:pt>
                <c:pt idx="87">
                  <c:v>2460.3900000000003</c:v>
                </c:pt>
                <c:pt idx="88">
                  <c:v>2326.23</c:v>
                </c:pt>
                <c:pt idx="89">
                  <c:v>2303.35</c:v>
                </c:pt>
                <c:pt idx="90">
                  <c:v>2303.06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CDA-4532-8A24-8281B80432A7}"/>
            </c:ext>
          </c:extLst>
        </c:ser>
        <c:ser>
          <c:idx val="9"/>
          <c:order val="8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sites'!$A$204:$A$300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sites'!$J$204:$J$300</c:f>
              <c:numCache>
                <c:formatCode>_-* #\ ##0\ [$€-40C]_-;\-* #\ ##0\ [$€-40C]_-;_-* "-"??\ [$€-40C]_-;_-@_-</c:formatCode>
                <c:ptCount val="97"/>
                <c:pt idx="0">
                  <c:v>64889.61</c:v>
                </c:pt>
                <c:pt idx="1">
                  <c:v>49871.61</c:v>
                </c:pt>
                <c:pt idx="2">
                  <c:v>48655.82</c:v>
                </c:pt>
                <c:pt idx="3">
                  <c:v>44744.15</c:v>
                </c:pt>
                <c:pt idx="4">
                  <c:v>44408.65</c:v>
                </c:pt>
                <c:pt idx="5">
                  <c:v>42705.65</c:v>
                </c:pt>
                <c:pt idx="6">
                  <c:v>44708.130000000005</c:v>
                </c:pt>
                <c:pt idx="7">
                  <c:v>44984.130000000005</c:v>
                </c:pt>
                <c:pt idx="8">
                  <c:v>44030.130000000005</c:v>
                </c:pt>
                <c:pt idx="9">
                  <c:v>29986.13</c:v>
                </c:pt>
                <c:pt idx="10">
                  <c:v>27465.13</c:v>
                </c:pt>
                <c:pt idx="11">
                  <c:v>30631.32</c:v>
                </c:pt>
                <c:pt idx="12">
                  <c:v>25859.48</c:v>
                </c:pt>
                <c:pt idx="13">
                  <c:v>32416.61</c:v>
                </c:pt>
                <c:pt idx="14">
                  <c:v>32864.17</c:v>
                </c:pt>
                <c:pt idx="15">
                  <c:v>33270.089999999997</c:v>
                </c:pt>
                <c:pt idx="16">
                  <c:v>35290.869999999995</c:v>
                </c:pt>
                <c:pt idx="17">
                  <c:v>34799.780000000006</c:v>
                </c:pt>
                <c:pt idx="18">
                  <c:v>44753.14</c:v>
                </c:pt>
                <c:pt idx="19">
                  <c:v>45529.64</c:v>
                </c:pt>
                <c:pt idx="20">
                  <c:v>45308.639999999999</c:v>
                </c:pt>
                <c:pt idx="21">
                  <c:v>49359.14</c:v>
                </c:pt>
                <c:pt idx="22">
                  <c:v>53345.14</c:v>
                </c:pt>
                <c:pt idx="23">
                  <c:v>46705.45</c:v>
                </c:pt>
                <c:pt idx="24">
                  <c:v>44196.93</c:v>
                </c:pt>
                <c:pt idx="25">
                  <c:v>38095.800000000003</c:v>
                </c:pt>
                <c:pt idx="26">
                  <c:v>35216.03</c:v>
                </c:pt>
                <c:pt idx="27">
                  <c:v>35394.03</c:v>
                </c:pt>
                <c:pt idx="28">
                  <c:v>35450.75</c:v>
                </c:pt>
                <c:pt idx="29">
                  <c:v>34300.839999999997</c:v>
                </c:pt>
                <c:pt idx="30">
                  <c:v>24911</c:v>
                </c:pt>
                <c:pt idx="31">
                  <c:v>22608.5</c:v>
                </c:pt>
                <c:pt idx="32">
                  <c:v>22633.5</c:v>
                </c:pt>
                <c:pt idx="33">
                  <c:v>36261</c:v>
                </c:pt>
                <c:pt idx="34">
                  <c:v>32155</c:v>
                </c:pt>
                <c:pt idx="35">
                  <c:v>32587</c:v>
                </c:pt>
                <c:pt idx="36">
                  <c:v>38597</c:v>
                </c:pt>
                <c:pt idx="37">
                  <c:v>40729.5</c:v>
                </c:pt>
                <c:pt idx="38">
                  <c:v>41139.699999999997</c:v>
                </c:pt>
                <c:pt idx="39">
                  <c:v>42349.7</c:v>
                </c:pt>
                <c:pt idx="40">
                  <c:v>46923.729999999996</c:v>
                </c:pt>
                <c:pt idx="41">
                  <c:v>46554.939999999995</c:v>
                </c:pt>
                <c:pt idx="42">
                  <c:v>43418.939999999995</c:v>
                </c:pt>
                <c:pt idx="43">
                  <c:v>44446.939999999995</c:v>
                </c:pt>
                <c:pt idx="44">
                  <c:v>44341.939999999995</c:v>
                </c:pt>
                <c:pt idx="45">
                  <c:v>35017.94</c:v>
                </c:pt>
                <c:pt idx="46">
                  <c:v>36741.94</c:v>
                </c:pt>
                <c:pt idx="47">
                  <c:v>38513.94</c:v>
                </c:pt>
                <c:pt idx="48">
                  <c:v>37018.94</c:v>
                </c:pt>
                <c:pt idx="49">
                  <c:v>34162.920000000006</c:v>
                </c:pt>
                <c:pt idx="50">
                  <c:v>35340.720000000001</c:v>
                </c:pt>
                <c:pt idx="51">
                  <c:v>45384.72</c:v>
                </c:pt>
                <c:pt idx="52">
                  <c:v>40495.89</c:v>
                </c:pt>
                <c:pt idx="53">
                  <c:v>40752.679999999993</c:v>
                </c:pt>
                <c:pt idx="54">
                  <c:v>40350.679999999993</c:v>
                </c:pt>
                <c:pt idx="55">
                  <c:v>40724.679999999993</c:v>
                </c:pt>
                <c:pt idx="56">
                  <c:v>41131.569999999992</c:v>
                </c:pt>
                <c:pt idx="57">
                  <c:v>31057.17</c:v>
                </c:pt>
                <c:pt idx="58">
                  <c:v>36159.97</c:v>
                </c:pt>
                <c:pt idx="59">
                  <c:v>32851.97</c:v>
                </c:pt>
                <c:pt idx="60">
                  <c:v>29069.969999999998</c:v>
                </c:pt>
                <c:pt idx="61">
                  <c:v>29699.929999999997</c:v>
                </c:pt>
                <c:pt idx="62">
                  <c:v>28986.929999999997</c:v>
                </c:pt>
                <c:pt idx="63">
                  <c:v>17749.93</c:v>
                </c:pt>
                <c:pt idx="64">
                  <c:v>15822.730000000001</c:v>
                </c:pt>
                <c:pt idx="65">
                  <c:v>15880.730000000001</c:v>
                </c:pt>
                <c:pt idx="66">
                  <c:v>16796.730000000003</c:v>
                </c:pt>
                <c:pt idx="67">
                  <c:v>17378.730000000003</c:v>
                </c:pt>
                <c:pt idx="68">
                  <c:v>16041.840000000002</c:v>
                </c:pt>
                <c:pt idx="69">
                  <c:v>22727.239999999998</c:v>
                </c:pt>
                <c:pt idx="70">
                  <c:v>24835.440000000002</c:v>
                </c:pt>
                <c:pt idx="71">
                  <c:v>24355.440000000002</c:v>
                </c:pt>
                <c:pt idx="72">
                  <c:v>24640.440000000002</c:v>
                </c:pt>
                <c:pt idx="73">
                  <c:v>24384</c:v>
                </c:pt>
                <c:pt idx="74">
                  <c:v>23359</c:v>
                </c:pt>
                <c:pt idx="75">
                  <c:v>22733.4</c:v>
                </c:pt>
                <c:pt idx="76">
                  <c:v>22932.800000000003</c:v>
                </c:pt>
                <c:pt idx="77">
                  <c:v>22122.800000000003</c:v>
                </c:pt>
                <c:pt idx="78">
                  <c:v>23822.800000000003</c:v>
                </c:pt>
                <c:pt idx="79">
                  <c:v>21938.500000000004</c:v>
                </c:pt>
                <c:pt idx="80">
                  <c:v>22276.500000000004</c:v>
                </c:pt>
                <c:pt idx="81">
                  <c:v>14850.5</c:v>
                </c:pt>
                <c:pt idx="82">
                  <c:v>5990.5</c:v>
                </c:pt>
                <c:pt idx="83">
                  <c:v>6689.5</c:v>
                </c:pt>
                <c:pt idx="84">
                  <c:v>10313.299999999999</c:v>
                </c:pt>
                <c:pt idx="85">
                  <c:v>9823.2999999999993</c:v>
                </c:pt>
                <c:pt idx="86">
                  <c:v>10736</c:v>
                </c:pt>
                <c:pt idx="87">
                  <c:v>10536.600000000002</c:v>
                </c:pt>
                <c:pt idx="88">
                  <c:v>10717.1</c:v>
                </c:pt>
                <c:pt idx="89">
                  <c:v>19907.099999999999</c:v>
                </c:pt>
                <c:pt idx="90">
                  <c:v>17039.5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CDA-4532-8A24-8281B80432A7}"/>
            </c:ext>
          </c:extLst>
        </c:ser>
        <c:ser>
          <c:idx val="10"/>
          <c:order val="9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sites'!$A$204:$A$300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sites'!$K$204:$K$300</c:f>
              <c:numCache>
                <c:formatCode>_-* #\ ##0\ [$€-40C]_-;\-* #\ ##0\ [$€-40C]_-;_-* "-"??\ [$€-40C]_-;_-@_-</c:formatCode>
                <c:ptCount val="97"/>
                <c:pt idx="0">
                  <c:v>64695.070000000007</c:v>
                </c:pt>
                <c:pt idx="1">
                  <c:v>64079.31</c:v>
                </c:pt>
                <c:pt idx="2">
                  <c:v>62922.729999999996</c:v>
                </c:pt>
                <c:pt idx="3">
                  <c:v>62407.979999999996</c:v>
                </c:pt>
                <c:pt idx="4">
                  <c:v>60574.229999999989</c:v>
                </c:pt>
                <c:pt idx="5">
                  <c:v>59604.340000000004</c:v>
                </c:pt>
                <c:pt idx="6">
                  <c:v>59746.19</c:v>
                </c:pt>
                <c:pt idx="7">
                  <c:v>60615.560000000005</c:v>
                </c:pt>
                <c:pt idx="8">
                  <c:v>60341.7</c:v>
                </c:pt>
                <c:pt idx="9">
                  <c:v>60533.489999999991</c:v>
                </c:pt>
                <c:pt idx="10">
                  <c:v>61895.450000000004</c:v>
                </c:pt>
                <c:pt idx="11">
                  <c:v>63454.62</c:v>
                </c:pt>
                <c:pt idx="12">
                  <c:v>63553.94</c:v>
                </c:pt>
                <c:pt idx="13">
                  <c:v>63905.57</c:v>
                </c:pt>
                <c:pt idx="14">
                  <c:v>65413.340000000004</c:v>
                </c:pt>
                <c:pt idx="15">
                  <c:v>66451.320000000007</c:v>
                </c:pt>
                <c:pt idx="16">
                  <c:v>68334.929999999993</c:v>
                </c:pt>
                <c:pt idx="17">
                  <c:v>68457.599999999991</c:v>
                </c:pt>
                <c:pt idx="18">
                  <c:v>70264.459999999992</c:v>
                </c:pt>
                <c:pt idx="19">
                  <c:v>69771.669999999984</c:v>
                </c:pt>
                <c:pt idx="20">
                  <c:v>71354.319999999992</c:v>
                </c:pt>
                <c:pt idx="21">
                  <c:v>71040.679999999993</c:v>
                </c:pt>
                <c:pt idx="22">
                  <c:v>67382.00999999998</c:v>
                </c:pt>
                <c:pt idx="23">
                  <c:v>65385.779999999984</c:v>
                </c:pt>
                <c:pt idx="24">
                  <c:v>66904.929999999993</c:v>
                </c:pt>
                <c:pt idx="25">
                  <c:v>68268.399999999994</c:v>
                </c:pt>
                <c:pt idx="26">
                  <c:v>69107.97</c:v>
                </c:pt>
                <c:pt idx="27">
                  <c:v>70389.149999999994</c:v>
                </c:pt>
                <c:pt idx="28">
                  <c:v>68727.540000000008</c:v>
                </c:pt>
                <c:pt idx="29">
                  <c:v>67731.55</c:v>
                </c:pt>
                <c:pt idx="30">
                  <c:v>66686.149999999994</c:v>
                </c:pt>
                <c:pt idx="31">
                  <c:v>68018.78</c:v>
                </c:pt>
                <c:pt idx="32">
                  <c:v>67190.58</c:v>
                </c:pt>
                <c:pt idx="33">
                  <c:v>67004.22</c:v>
                </c:pt>
                <c:pt idx="34">
                  <c:v>74983.03</c:v>
                </c:pt>
                <c:pt idx="35">
                  <c:v>82373.81</c:v>
                </c:pt>
                <c:pt idx="36">
                  <c:v>81046.169999999984</c:v>
                </c:pt>
                <c:pt idx="37">
                  <c:v>81949.459999999992</c:v>
                </c:pt>
                <c:pt idx="38">
                  <c:v>80813.600000000006</c:v>
                </c:pt>
                <c:pt idx="39">
                  <c:v>82107.11</c:v>
                </c:pt>
                <c:pt idx="40">
                  <c:v>82236.050000000017</c:v>
                </c:pt>
                <c:pt idx="41">
                  <c:v>83437.999999999985</c:v>
                </c:pt>
                <c:pt idx="42">
                  <c:v>84513.409999999989</c:v>
                </c:pt>
                <c:pt idx="43">
                  <c:v>84794.36</c:v>
                </c:pt>
                <c:pt idx="44">
                  <c:v>86755.51</c:v>
                </c:pt>
                <c:pt idx="45">
                  <c:v>86216.42</c:v>
                </c:pt>
                <c:pt idx="46">
                  <c:v>81525.19</c:v>
                </c:pt>
                <c:pt idx="47">
                  <c:v>76335.09</c:v>
                </c:pt>
                <c:pt idx="48">
                  <c:v>77173.09</c:v>
                </c:pt>
                <c:pt idx="49">
                  <c:v>76116.179999999993</c:v>
                </c:pt>
                <c:pt idx="50">
                  <c:v>76525.03</c:v>
                </c:pt>
                <c:pt idx="51">
                  <c:v>74648.87</c:v>
                </c:pt>
                <c:pt idx="52">
                  <c:v>74672.639999999999</c:v>
                </c:pt>
                <c:pt idx="53">
                  <c:v>76312.419999999984</c:v>
                </c:pt>
                <c:pt idx="54">
                  <c:v>76902.079999999987</c:v>
                </c:pt>
                <c:pt idx="55">
                  <c:v>76828.009999999995</c:v>
                </c:pt>
                <c:pt idx="56">
                  <c:v>74479.62999999999</c:v>
                </c:pt>
                <c:pt idx="57">
                  <c:v>74572.009999999995</c:v>
                </c:pt>
                <c:pt idx="58">
                  <c:v>75097.72</c:v>
                </c:pt>
                <c:pt idx="59">
                  <c:v>75131.660000000018</c:v>
                </c:pt>
                <c:pt idx="60">
                  <c:v>76494.42</c:v>
                </c:pt>
                <c:pt idx="61">
                  <c:v>77447.8</c:v>
                </c:pt>
                <c:pt idx="62">
                  <c:v>76281.88</c:v>
                </c:pt>
                <c:pt idx="63">
                  <c:v>71886.33</c:v>
                </c:pt>
                <c:pt idx="64">
                  <c:v>66633.790000000008</c:v>
                </c:pt>
                <c:pt idx="65">
                  <c:v>59731.98000000001</c:v>
                </c:pt>
                <c:pt idx="66">
                  <c:v>52896.19000000001</c:v>
                </c:pt>
                <c:pt idx="67">
                  <c:v>49030.670000000006</c:v>
                </c:pt>
                <c:pt idx="68">
                  <c:v>47224.220000000008</c:v>
                </c:pt>
                <c:pt idx="69">
                  <c:v>50232.350000000006</c:v>
                </c:pt>
                <c:pt idx="70">
                  <c:v>51865.729999999989</c:v>
                </c:pt>
                <c:pt idx="71">
                  <c:v>49920.479999999996</c:v>
                </c:pt>
                <c:pt idx="72">
                  <c:v>48915.83</c:v>
                </c:pt>
                <c:pt idx="73">
                  <c:v>46640.310000000005</c:v>
                </c:pt>
                <c:pt idx="74">
                  <c:v>52283.360000000001</c:v>
                </c:pt>
                <c:pt idx="75">
                  <c:v>56370.75</c:v>
                </c:pt>
                <c:pt idx="76">
                  <c:v>62315.390000000007</c:v>
                </c:pt>
                <c:pt idx="77">
                  <c:v>67469.290000000008</c:v>
                </c:pt>
                <c:pt idx="78">
                  <c:v>72474.36</c:v>
                </c:pt>
                <c:pt idx="79">
                  <c:v>76881.759999999995</c:v>
                </c:pt>
                <c:pt idx="80">
                  <c:v>80985.58</c:v>
                </c:pt>
                <c:pt idx="81">
                  <c:v>75766.430000000008</c:v>
                </c:pt>
                <c:pt idx="82">
                  <c:v>74601.22</c:v>
                </c:pt>
                <c:pt idx="83">
                  <c:v>82168.070000000007</c:v>
                </c:pt>
                <c:pt idx="84">
                  <c:v>84548.88</c:v>
                </c:pt>
                <c:pt idx="85">
                  <c:v>92039.73</c:v>
                </c:pt>
                <c:pt idx="86">
                  <c:v>89735.46</c:v>
                </c:pt>
                <c:pt idx="87">
                  <c:v>93361.22</c:v>
                </c:pt>
                <c:pt idx="88">
                  <c:v>96752.239999999991</c:v>
                </c:pt>
                <c:pt idx="89">
                  <c:v>97412.820000000022</c:v>
                </c:pt>
                <c:pt idx="90">
                  <c:v>97945.660000000018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CDA-4532-8A24-8281B80432A7}"/>
            </c:ext>
          </c:extLst>
        </c:ser>
        <c:ser>
          <c:idx val="12"/>
          <c:order val="10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sites'!$A$204:$A$300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sites'!$L$204:$L$300</c:f>
              <c:numCache>
                <c:formatCode>_-* #\ ##0\ [$€-40C]_-;\-* #\ ##0\ [$€-40C]_-;_-* "-"??\ [$€-40C]_-;_-@_-</c:formatCode>
                <c:ptCount val="97"/>
                <c:pt idx="0">
                  <c:v>10141.09</c:v>
                </c:pt>
                <c:pt idx="1">
                  <c:v>7748.5400000000009</c:v>
                </c:pt>
                <c:pt idx="2">
                  <c:v>6759.16</c:v>
                </c:pt>
                <c:pt idx="3">
                  <c:v>5646.7</c:v>
                </c:pt>
                <c:pt idx="4">
                  <c:v>4551.34</c:v>
                </c:pt>
                <c:pt idx="5">
                  <c:v>5209.9399999999996</c:v>
                </c:pt>
                <c:pt idx="6">
                  <c:v>5221.1400000000003</c:v>
                </c:pt>
                <c:pt idx="7">
                  <c:v>6801.54</c:v>
                </c:pt>
                <c:pt idx="8">
                  <c:v>7225.12</c:v>
                </c:pt>
                <c:pt idx="9">
                  <c:v>7343.18</c:v>
                </c:pt>
                <c:pt idx="10">
                  <c:v>9669.59</c:v>
                </c:pt>
                <c:pt idx="11">
                  <c:v>9889.01</c:v>
                </c:pt>
                <c:pt idx="12">
                  <c:v>11246.350000000002</c:v>
                </c:pt>
                <c:pt idx="13">
                  <c:v>12458.06</c:v>
                </c:pt>
                <c:pt idx="14">
                  <c:v>15013.650000000001</c:v>
                </c:pt>
                <c:pt idx="15">
                  <c:v>16839.95</c:v>
                </c:pt>
                <c:pt idx="16">
                  <c:v>17996.559999999998</c:v>
                </c:pt>
                <c:pt idx="17">
                  <c:v>18426.060000000001</c:v>
                </c:pt>
                <c:pt idx="18">
                  <c:v>20143.560000000001</c:v>
                </c:pt>
                <c:pt idx="19">
                  <c:v>19854.190000000002</c:v>
                </c:pt>
                <c:pt idx="20">
                  <c:v>20996.74</c:v>
                </c:pt>
                <c:pt idx="21">
                  <c:v>22655.390000000003</c:v>
                </c:pt>
                <c:pt idx="22">
                  <c:v>22201.180000000004</c:v>
                </c:pt>
                <c:pt idx="23">
                  <c:v>23452.28</c:v>
                </c:pt>
                <c:pt idx="24">
                  <c:v>24372.26</c:v>
                </c:pt>
                <c:pt idx="25">
                  <c:v>24442.440000000002</c:v>
                </c:pt>
                <c:pt idx="26">
                  <c:v>23391.08</c:v>
                </c:pt>
                <c:pt idx="27">
                  <c:v>23219.38</c:v>
                </c:pt>
                <c:pt idx="28">
                  <c:v>23664.570000000003</c:v>
                </c:pt>
                <c:pt idx="29">
                  <c:v>23532.480000000003</c:v>
                </c:pt>
                <c:pt idx="30">
                  <c:v>23691.730000000003</c:v>
                </c:pt>
                <c:pt idx="31">
                  <c:v>24155.46</c:v>
                </c:pt>
                <c:pt idx="32">
                  <c:v>24339.309999999998</c:v>
                </c:pt>
                <c:pt idx="33">
                  <c:v>24352.69</c:v>
                </c:pt>
                <c:pt idx="34">
                  <c:v>23200.140000000003</c:v>
                </c:pt>
                <c:pt idx="35">
                  <c:v>22505.9</c:v>
                </c:pt>
                <c:pt idx="36">
                  <c:v>20955.09</c:v>
                </c:pt>
                <c:pt idx="37">
                  <c:v>20405.900000000001</c:v>
                </c:pt>
                <c:pt idx="38">
                  <c:v>20191.82</c:v>
                </c:pt>
                <c:pt idx="39">
                  <c:v>19662.679999999997</c:v>
                </c:pt>
                <c:pt idx="40">
                  <c:v>18685.979999999996</c:v>
                </c:pt>
                <c:pt idx="41">
                  <c:v>17620.43</c:v>
                </c:pt>
                <c:pt idx="42">
                  <c:v>16750.8</c:v>
                </c:pt>
                <c:pt idx="43">
                  <c:v>16334.27</c:v>
                </c:pt>
                <c:pt idx="44">
                  <c:v>15512.720000000001</c:v>
                </c:pt>
                <c:pt idx="45">
                  <c:v>15005.970000000001</c:v>
                </c:pt>
                <c:pt idx="46">
                  <c:v>15328.659999999998</c:v>
                </c:pt>
                <c:pt idx="47">
                  <c:v>15660.379999999997</c:v>
                </c:pt>
                <c:pt idx="48">
                  <c:v>15899.779999999999</c:v>
                </c:pt>
                <c:pt idx="49">
                  <c:v>15226.06</c:v>
                </c:pt>
                <c:pt idx="50">
                  <c:v>14222.69</c:v>
                </c:pt>
                <c:pt idx="51">
                  <c:v>14697.960000000003</c:v>
                </c:pt>
                <c:pt idx="52">
                  <c:v>13981.410000000002</c:v>
                </c:pt>
                <c:pt idx="53">
                  <c:v>13732.000000000002</c:v>
                </c:pt>
                <c:pt idx="54">
                  <c:v>12339.810000000001</c:v>
                </c:pt>
                <c:pt idx="55">
                  <c:v>10636.73</c:v>
                </c:pt>
                <c:pt idx="56">
                  <c:v>9596.36</c:v>
                </c:pt>
                <c:pt idx="57">
                  <c:v>8579.17</c:v>
                </c:pt>
                <c:pt idx="58">
                  <c:v>8300.4599999999991</c:v>
                </c:pt>
                <c:pt idx="59">
                  <c:v>7736.69</c:v>
                </c:pt>
                <c:pt idx="60">
                  <c:v>7335.4300000000012</c:v>
                </c:pt>
                <c:pt idx="61">
                  <c:v>7828.6600000000008</c:v>
                </c:pt>
                <c:pt idx="62">
                  <c:v>7689.9500000000007</c:v>
                </c:pt>
                <c:pt idx="63">
                  <c:v>5982.420000000001</c:v>
                </c:pt>
                <c:pt idx="64">
                  <c:v>5682.1100000000006</c:v>
                </c:pt>
                <c:pt idx="65">
                  <c:v>4973.62</c:v>
                </c:pt>
                <c:pt idx="66">
                  <c:v>5145.4900000000007</c:v>
                </c:pt>
                <c:pt idx="67">
                  <c:v>5033.3100000000004</c:v>
                </c:pt>
                <c:pt idx="68">
                  <c:v>4859.9500000000007</c:v>
                </c:pt>
                <c:pt idx="69">
                  <c:v>7035.0500000000011</c:v>
                </c:pt>
                <c:pt idx="70">
                  <c:v>6901.0199999999986</c:v>
                </c:pt>
                <c:pt idx="71">
                  <c:v>6705.18</c:v>
                </c:pt>
                <c:pt idx="72">
                  <c:v>9298.0499999999993</c:v>
                </c:pt>
                <c:pt idx="73">
                  <c:v>9093.0999999999985</c:v>
                </c:pt>
                <c:pt idx="74">
                  <c:v>10640.65</c:v>
                </c:pt>
                <c:pt idx="75">
                  <c:v>11598.59</c:v>
                </c:pt>
                <c:pt idx="76">
                  <c:v>12218.4</c:v>
                </c:pt>
                <c:pt idx="77">
                  <c:v>12912.24</c:v>
                </c:pt>
                <c:pt idx="78">
                  <c:v>13760.809999999998</c:v>
                </c:pt>
                <c:pt idx="79">
                  <c:v>14343.73</c:v>
                </c:pt>
                <c:pt idx="80">
                  <c:v>15938.83</c:v>
                </c:pt>
                <c:pt idx="81">
                  <c:v>14387.199999999999</c:v>
                </c:pt>
                <c:pt idx="82">
                  <c:v>14222.14</c:v>
                </c:pt>
                <c:pt idx="83">
                  <c:v>15205.419999999998</c:v>
                </c:pt>
                <c:pt idx="84">
                  <c:v>13469.150000000001</c:v>
                </c:pt>
                <c:pt idx="85">
                  <c:v>15049.54</c:v>
                </c:pt>
                <c:pt idx="86">
                  <c:v>14701.23</c:v>
                </c:pt>
                <c:pt idx="87">
                  <c:v>14689.640000000001</c:v>
                </c:pt>
                <c:pt idx="88">
                  <c:v>15159.83</c:v>
                </c:pt>
                <c:pt idx="89">
                  <c:v>15311.27</c:v>
                </c:pt>
                <c:pt idx="90">
                  <c:v>15376.36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CDA-4532-8A24-8281B80432A7}"/>
            </c:ext>
          </c:extLst>
        </c:ser>
        <c:ser>
          <c:idx val="13"/>
          <c:order val="11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sites'!$A$204:$A$300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sites'!$M$204:$M$300</c:f>
              <c:numCache>
                <c:formatCode>_-* #\ ##0\ [$€-40C]_-;\-* #\ ##0\ [$€-40C]_-;_-* "-"??\ [$€-40C]_-;_-@_-</c:formatCode>
                <c:ptCount val="97"/>
                <c:pt idx="0">
                  <c:v>7053.2200000000012</c:v>
                </c:pt>
                <c:pt idx="1">
                  <c:v>6561.7600000000011</c:v>
                </c:pt>
                <c:pt idx="2">
                  <c:v>4858.5199999999995</c:v>
                </c:pt>
                <c:pt idx="3">
                  <c:v>4745.5999999999995</c:v>
                </c:pt>
                <c:pt idx="4">
                  <c:v>4613.8700000000008</c:v>
                </c:pt>
                <c:pt idx="5">
                  <c:v>4369.2800000000007</c:v>
                </c:pt>
                <c:pt idx="6">
                  <c:v>4577.91</c:v>
                </c:pt>
                <c:pt idx="7">
                  <c:v>3763.29</c:v>
                </c:pt>
                <c:pt idx="8">
                  <c:v>3692.7000000000003</c:v>
                </c:pt>
                <c:pt idx="9">
                  <c:v>2660.71</c:v>
                </c:pt>
                <c:pt idx="10">
                  <c:v>2583.91</c:v>
                </c:pt>
                <c:pt idx="11">
                  <c:v>2476.81</c:v>
                </c:pt>
                <c:pt idx="12">
                  <c:v>1783.78</c:v>
                </c:pt>
                <c:pt idx="13">
                  <c:v>1844.6099999999997</c:v>
                </c:pt>
                <c:pt idx="14">
                  <c:v>1859.2899999999995</c:v>
                </c:pt>
                <c:pt idx="15">
                  <c:v>2831.87</c:v>
                </c:pt>
                <c:pt idx="16">
                  <c:v>2827.7899999999995</c:v>
                </c:pt>
                <c:pt idx="17">
                  <c:v>2775.3199999999997</c:v>
                </c:pt>
                <c:pt idx="18">
                  <c:v>2310.3200000000002</c:v>
                </c:pt>
                <c:pt idx="19">
                  <c:v>2235.8900000000003</c:v>
                </c:pt>
                <c:pt idx="20">
                  <c:v>1940.62</c:v>
                </c:pt>
                <c:pt idx="21">
                  <c:v>1931.1100000000001</c:v>
                </c:pt>
                <c:pt idx="22">
                  <c:v>1970.22</c:v>
                </c:pt>
                <c:pt idx="23">
                  <c:v>2060.02</c:v>
                </c:pt>
                <c:pt idx="24">
                  <c:v>2052.84</c:v>
                </c:pt>
                <c:pt idx="25">
                  <c:v>2005.9599999999998</c:v>
                </c:pt>
                <c:pt idx="26">
                  <c:v>3343.76</c:v>
                </c:pt>
                <c:pt idx="27">
                  <c:v>2513.02</c:v>
                </c:pt>
                <c:pt idx="28">
                  <c:v>2571.19</c:v>
                </c:pt>
                <c:pt idx="29">
                  <c:v>3195.8200000000006</c:v>
                </c:pt>
                <c:pt idx="30">
                  <c:v>3241.05</c:v>
                </c:pt>
                <c:pt idx="31">
                  <c:v>3331.3700000000003</c:v>
                </c:pt>
                <c:pt idx="32">
                  <c:v>3625.0600000000004</c:v>
                </c:pt>
                <c:pt idx="33">
                  <c:v>3762.1600000000003</c:v>
                </c:pt>
                <c:pt idx="34">
                  <c:v>4448.2000000000007</c:v>
                </c:pt>
                <c:pt idx="35">
                  <c:v>4779.22</c:v>
                </c:pt>
                <c:pt idx="36">
                  <c:v>5423.92</c:v>
                </c:pt>
                <c:pt idx="37">
                  <c:v>5479.96</c:v>
                </c:pt>
                <c:pt idx="38">
                  <c:v>4927.2099999999991</c:v>
                </c:pt>
                <c:pt idx="39">
                  <c:v>6257.1999999999989</c:v>
                </c:pt>
                <c:pt idx="40">
                  <c:v>6198.94</c:v>
                </c:pt>
                <c:pt idx="41">
                  <c:v>5617.2900000000009</c:v>
                </c:pt>
                <c:pt idx="42">
                  <c:v>5814.8400000000011</c:v>
                </c:pt>
                <c:pt idx="43">
                  <c:v>5662.9100000000008</c:v>
                </c:pt>
                <c:pt idx="44">
                  <c:v>5279.0200000000013</c:v>
                </c:pt>
                <c:pt idx="45">
                  <c:v>5025.2200000000012</c:v>
                </c:pt>
                <c:pt idx="46">
                  <c:v>5368.6900000000005</c:v>
                </c:pt>
                <c:pt idx="47">
                  <c:v>4989.58</c:v>
                </c:pt>
                <c:pt idx="48">
                  <c:v>4277.2299999999996</c:v>
                </c:pt>
                <c:pt idx="49">
                  <c:v>4235.9900000000007</c:v>
                </c:pt>
                <c:pt idx="50">
                  <c:v>3422.59</c:v>
                </c:pt>
                <c:pt idx="51">
                  <c:v>1847.18</c:v>
                </c:pt>
                <c:pt idx="52">
                  <c:v>1826.9700000000003</c:v>
                </c:pt>
                <c:pt idx="53">
                  <c:v>1769.6200000000001</c:v>
                </c:pt>
                <c:pt idx="54">
                  <c:v>1582.5500000000002</c:v>
                </c:pt>
                <c:pt idx="55">
                  <c:v>1672.16</c:v>
                </c:pt>
                <c:pt idx="56">
                  <c:v>1744.16</c:v>
                </c:pt>
                <c:pt idx="57">
                  <c:v>1744.3600000000001</c:v>
                </c:pt>
                <c:pt idx="58">
                  <c:v>632.90000000000009</c:v>
                </c:pt>
                <c:pt idx="59">
                  <c:v>575.19000000000005</c:v>
                </c:pt>
                <c:pt idx="60">
                  <c:v>564.49</c:v>
                </c:pt>
                <c:pt idx="61">
                  <c:v>429.69</c:v>
                </c:pt>
                <c:pt idx="62">
                  <c:v>421.09</c:v>
                </c:pt>
                <c:pt idx="63">
                  <c:v>362.09</c:v>
                </c:pt>
                <c:pt idx="64">
                  <c:v>314.15999999999997</c:v>
                </c:pt>
                <c:pt idx="65">
                  <c:v>300.95999999999998</c:v>
                </c:pt>
                <c:pt idx="66">
                  <c:v>222.48</c:v>
                </c:pt>
                <c:pt idx="67">
                  <c:v>97.4</c:v>
                </c:pt>
                <c:pt idx="68">
                  <c:v>25.4</c:v>
                </c:pt>
                <c:pt idx="69">
                  <c:v>54.4</c:v>
                </c:pt>
                <c:pt idx="70">
                  <c:v>58.8</c:v>
                </c:pt>
                <c:pt idx="71">
                  <c:v>58.8</c:v>
                </c:pt>
                <c:pt idx="72">
                  <c:v>58.8</c:v>
                </c:pt>
                <c:pt idx="73">
                  <c:v>58.8</c:v>
                </c:pt>
                <c:pt idx="74">
                  <c:v>69.3</c:v>
                </c:pt>
                <c:pt idx="75">
                  <c:v>84.3</c:v>
                </c:pt>
                <c:pt idx="76">
                  <c:v>253.14999999999998</c:v>
                </c:pt>
                <c:pt idx="77">
                  <c:v>255.14999999999998</c:v>
                </c:pt>
                <c:pt idx="78">
                  <c:v>252.14999999999998</c:v>
                </c:pt>
                <c:pt idx="79">
                  <c:v>270.14999999999998</c:v>
                </c:pt>
                <c:pt idx="80">
                  <c:v>267.14999999999998</c:v>
                </c:pt>
                <c:pt idx="81">
                  <c:v>228.14999999999998</c:v>
                </c:pt>
                <c:pt idx="82">
                  <c:v>239.75</c:v>
                </c:pt>
                <c:pt idx="83">
                  <c:v>242.75</c:v>
                </c:pt>
                <c:pt idx="84">
                  <c:v>257.75</c:v>
                </c:pt>
                <c:pt idx="85">
                  <c:v>318.75</c:v>
                </c:pt>
                <c:pt idx="86">
                  <c:v>349.85</c:v>
                </c:pt>
                <c:pt idx="87">
                  <c:v>1464.87</c:v>
                </c:pt>
                <c:pt idx="88">
                  <c:v>1442.78</c:v>
                </c:pt>
                <c:pt idx="89">
                  <c:v>1518.78</c:v>
                </c:pt>
                <c:pt idx="90">
                  <c:v>2122.7799999999997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9F-49B7-BBB4-9E1E2652B0E2}"/>
            </c:ext>
          </c:extLst>
        </c:ser>
        <c:ser>
          <c:idx val="14"/>
          <c:order val="12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sites'!$A$204:$A$300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sites'!$N$204:$N$300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245.67000000000002</c:v>
                </c:pt>
                <c:pt idx="13">
                  <c:v>245.67000000000002</c:v>
                </c:pt>
                <c:pt idx="14">
                  <c:v>245.67000000000002</c:v>
                </c:pt>
                <c:pt idx="15">
                  <c:v>365.67</c:v>
                </c:pt>
                <c:pt idx="16">
                  <c:v>515.67000000000007</c:v>
                </c:pt>
                <c:pt idx="17">
                  <c:v>515.67000000000007</c:v>
                </c:pt>
                <c:pt idx="18">
                  <c:v>897.75</c:v>
                </c:pt>
                <c:pt idx="19">
                  <c:v>897.75</c:v>
                </c:pt>
                <c:pt idx="20">
                  <c:v>897.75</c:v>
                </c:pt>
                <c:pt idx="21">
                  <c:v>897.75</c:v>
                </c:pt>
                <c:pt idx="22">
                  <c:v>897.75</c:v>
                </c:pt>
                <c:pt idx="23">
                  <c:v>897.75</c:v>
                </c:pt>
                <c:pt idx="24">
                  <c:v>1045.26</c:v>
                </c:pt>
                <c:pt idx="25">
                  <c:v>1247.4000000000001</c:v>
                </c:pt>
                <c:pt idx="26">
                  <c:v>1247.4000000000001</c:v>
                </c:pt>
                <c:pt idx="27">
                  <c:v>1127.4000000000001</c:v>
                </c:pt>
                <c:pt idx="28">
                  <c:v>977.4</c:v>
                </c:pt>
                <c:pt idx="29">
                  <c:v>977.4</c:v>
                </c:pt>
                <c:pt idx="30">
                  <c:v>1921.3</c:v>
                </c:pt>
                <c:pt idx="31">
                  <c:v>1921.3</c:v>
                </c:pt>
                <c:pt idx="32">
                  <c:v>1921.3</c:v>
                </c:pt>
                <c:pt idx="33">
                  <c:v>1921.3</c:v>
                </c:pt>
                <c:pt idx="34">
                  <c:v>1921.3</c:v>
                </c:pt>
                <c:pt idx="35">
                  <c:v>1921.3</c:v>
                </c:pt>
                <c:pt idx="36">
                  <c:v>1528.12</c:v>
                </c:pt>
                <c:pt idx="37">
                  <c:v>1325.98</c:v>
                </c:pt>
                <c:pt idx="38">
                  <c:v>1709.89</c:v>
                </c:pt>
                <c:pt idx="39">
                  <c:v>1709.89</c:v>
                </c:pt>
                <c:pt idx="40">
                  <c:v>1709.89</c:v>
                </c:pt>
                <c:pt idx="41">
                  <c:v>4027.99</c:v>
                </c:pt>
                <c:pt idx="42">
                  <c:v>2702.0099999999998</c:v>
                </c:pt>
                <c:pt idx="43">
                  <c:v>2702.0099999999998</c:v>
                </c:pt>
                <c:pt idx="44">
                  <c:v>2702.0099999999998</c:v>
                </c:pt>
                <c:pt idx="45">
                  <c:v>2702.0099999999998</c:v>
                </c:pt>
                <c:pt idx="46">
                  <c:v>2702.0099999999998</c:v>
                </c:pt>
                <c:pt idx="47">
                  <c:v>2702.0099999999998</c:v>
                </c:pt>
                <c:pt idx="48">
                  <c:v>2702.0099999999998</c:v>
                </c:pt>
                <c:pt idx="49">
                  <c:v>2702.0099999999998</c:v>
                </c:pt>
                <c:pt idx="50">
                  <c:v>2318.1</c:v>
                </c:pt>
                <c:pt idx="51">
                  <c:v>2318.1</c:v>
                </c:pt>
                <c:pt idx="52">
                  <c:v>2318.1</c:v>
                </c:pt>
                <c:pt idx="53">
                  <c:v>0</c:v>
                </c:pt>
                <c:pt idx="54">
                  <c:v>0</c:v>
                </c:pt>
                <c:pt idx="55">
                  <c:v>488.85</c:v>
                </c:pt>
                <c:pt idx="56">
                  <c:v>488.85</c:v>
                </c:pt>
                <c:pt idx="57">
                  <c:v>488.85</c:v>
                </c:pt>
                <c:pt idx="58">
                  <c:v>488.85</c:v>
                </c:pt>
                <c:pt idx="59">
                  <c:v>488.85</c:v>
                </c:pt>
                <c:pt idx="60">
                  <c:v>488.85</c:v>
                </c:pt>
                <c:pt idx="61">
                  <c:v>488.85</c:v>
                </c:pt>
                <c:pt idx="62">
                  <c:v>488.85</c:v>
                </c:pt>
                <c:pt idx="63">
                  <c:v>488.85</c:v>
                </c:pt>
                <c:pt idx="64">
                  <c:v>488.85</c:v>
                </c:pt>
                <c:pt idx="65">
                  <c:v>488.85</c:v>
                </c:pt>
                <c:pt idx="66">
                  <c:v>488.85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CD-4222-9814-2692DFB0D64E}"/>
            </c:ext>
          </c:extLst>
        </c:ser>
        <c:ser>
          <c:idx val="0"/>
          <c:order val="13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sites'!$A$204:$A$300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sites'!$O$204:$O$300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1082.8599999999999</c:v>
                </c:pt>
                <c:pt idx="50">
                  <c:v>1943.58</c:v>
                </c:pt>
                <c:pt idx="51">
                  <c:v>2954.05</c:v>
                </c:pt>
                <c:pt idx="52">
                  <c:v>5565.66</c:v>
                </c:pt>
                <c:pt idx="53">
                  <c:v>8528.619999999999</c:v>
                </c:pt>
                <c:pt idx="54">
                  <c:v>10757.06</c:v>
                </c:pt>
                <c:pt idx="55">
                  <c:v>13026.11</c:v>
                </c:pt>
                <c:pt idx="56">
                  <c:v>15793.400000000001</c:v>
                </c:pt>
                <c:pt idx="57">
                  <c:v>17999.030000000002</c:v>
                </c:pt>
                <c:pt idx="58">
                  <c:v>20446.54</c:v>
                </c:pt>
                <c:pt idx="59">
                  <c:v>22342.100000000002</c:v>
                </c:pt>
                <c:pt idx="60">
                  <c:v>24655.4</c:v>
                </c:pt>
                <c:pt idx="61">
                  <c:v>25512.97</c:v>
                </c:pt>
                <c:pt idx="62">
                  <c:v>27400.68</c:v>
                </c:pt>
                <c:pt idx="63">
                  <c:v>26390.210000000006</c:v>
                </c:pt>
                <c:pt idx="64">
                  <c:v>23778.6</c:v>
                </c:pt>
                <c:pt idx="65">
                  <c:v>20815.64</c:v>
                </c:pt>
                <c:pt idx="66">
                  <c:v>18587.2</c:v>
                </c:pt>
                <c:pt idx="67">
                  <c:v>17893.550000000003</c:v>
                </c:pt>
                <c:pt idx="68">
                  <c:v>15126.26</c:v>
                </c:pt>
                <c:pt idx="69">
                  <c:v>12920.63</c:v>
                </c:pt>
                <c:pt idx="70">
                  <c:v>12541.02</c:v>
                </c:pt>
                <c:pt idx="71">
                  <c:v>12163.16</c:v>
                </c:pt>
                <c:pt idx="72">
                  <c:v>9849.86</c:v>
                </c:pt>
                <c:pt idx="73">
                  <c:v>9391.2799999999988</c:v>
                </c:pt>
                <c:pt idx="74">
                  <c:v>7975.18</c:v>
                </c:pt>
                <c:pt idx="75">
                  <c:v>9517.5499999999993</c:v>
                </c:pt>
                <c:pt idx="76">
                  <c:v>11183.63</c:v>
                </c:pt>
                <c:pt idx="77">
                  <c:v>13021.48</c:v>
                </c:pt>
                <c:pt idx="78">
                  <c:v>14906.5</c:v>
                </c:pt>
                <c:pt idx="79">
                  <c:v>15225.91</c:v>
                </c:pt>
                <c:pt idx="80">
                  <c:v>24898.489999999998</c:v>
                </c:pt>
                <c:pt idx="81">
                  <c:v>26660.69</c:v>
                </c:pt>
                <c:pt idx="82">
                  <c:v>26523.200000000001</c:v>
                </c:pt>
                <c:pt idx="83">
                  <c:v>26517.25</c:v>
                </c:pt>
                <c:pt idx="84">
                  <c:v>28605.19</c:v>
                </c:pt>
                <c:pt idx="85">
                  <c:v>28637.260000000002</c:v>
                </c:pt>
                <c:pt idx="86">
                  <c:v>27713.56</c:v>
                </c:pt>
                <c:pt idx="87">
                  <c:v>28033.75</c:v>
                </c:pt>
                <c:pt idx="88">
                  <c:v>28016.35</c:v>
                </c:pt>
                <c:pt idx="89">
                  <c:v>27899.57</c:v>
                </c:pt>
                <c:pt idx="90">
                  <c:v>28196.950000000004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6C-40F9-A706-392F7FCF2229}"/>
            </c:ext>
          </c:extLst>
        </c:ser>
        <c:ser>
          <c:idx val="11"/>
          <c:order val="14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sites'!$A$204:$A$300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sites'!$P$204:$P$300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168.5</c:v>
                </c:pt>
                <c:pt idx="38">
                  <c:v>324.39999999999998</c:v>
                </c:pt>
                <c:pt idx="39">
                  <c:v>1179.4000000000001</c:v>
                </c:pt>
                <c:pt idx="40">
                  <c:v>1797.9</c:v>
                </c:pt>
                <c:pt idx="41">
                  <c:v>2060.3000000000002</c:v>
                </c:pt>
                <c:pt idx="42">
                  <c:v>2062.3000000000002</c:v>
                </c:pt>
                <c:pt idx="43">
                  <c:v>2407.3000000000002</c:v>
                </c:pt>
                <c:pt idx="44">
                  <c:v>2497.3000000000002</c:v>
                </c:pt>
                <c:pt idx="45">
                  <c:v>2603.3000000000002</c:v>
                </c:pt>
                <c:pt idx="46">
                  <c:v>2811</c:v>
                </c:pt>
                <c:pt idx="47">
                  <c:v>3297</c:v>
                </c:pt>
                <c:pt idx="48">
                  <c:v>3300</c:v>
                </c:pt>
                <c:pt idx="49">
                  <c:v>3155.3</c:v>
                </c:pt>
                <c:pt idx="50">
                  <c:v>3097.4</c:v>
                </c:pt>
                <c:pt idx="51">
                  <c:v>3103.8000000000006</c:v>
                </c:pt>
                <c:pt idx="52">
                  <c:v>2753.7</c:v>
                </c:pt>
                <c:pt idx="53">
                  <c:v>3168.3</c:v>
                </c:pt>
                <c:pt idx="54">
                  <c:v>3189.3</c:v>
                </c:pt>
                <c:pt idx="55">
                  <c:v>2844.3</c:v>
                </c:pt>
                <c:pt idx="56">
                  <c:v>2754.3</c:v>
                </c:pt>
                <c:pt idx="57">
                  <c:v>2681.3</c:v>
                </c:pt>
                <c:pt idx="58">
                  <c:v>2906.1</c:v>
                </c:pt>
                <c:pt idx="59">
                  <c:v>2518.4299999999998</c:v>
                </c:pt>
                <c:pt idx="60">
                  <c:v>2800.43</c:v>
                </c:pt>
                <c:pt idx="61">
                  <c:v>2961.03</c:v>
                </c:pt>
                <c:pt idx="62">
                  <c:v>2868.03</c:v>
                </c:pt>
                <c:pt idx="63">
                  <c:v>2176.63</c:v>
                </c:pt>
                <c:pt idx="64">
                  <c:v>1908.23</c:v>
                </c:pt>
                <c:pt idx="65">
                  <c:v>1231.23</c:v>
                </c:pt>
                <c:pt idx="66">
                  <c:v>1268.23</c:v>
                </c:pt>
                <c:pt idx="67">
                  <c:v>1268.23</c:v>
                </c:pt>
                <c:pt idx="68">
                  <c:v>1268.23</c:v>
                </c:pt>
                <c:pt idx="69">
                  <c:v>1235.23</c:v>
                </c:pt>
                <c:pt idx="70">
                  <c:v>1087.73</c:v>
                </c:pt>
                <c:pt idx="71">
                  <c:v>989.4</c:v>
                </c:pt>
                <c:pt idx="72">
                  <c:v>704.4</c:v>
                </c:pt>
                <c:pt idx="73">
                  <c:v>645</c:v>
                </c:pt>
                <c:pt idx="74">
                  <c:v>980</c:v>
                </c:pt>
                <c:pt idx="75">
                  <c:v>930</c:v>
                </c:pt>
                <c:pt idx="76">
                  <c:v>930</c:v>
                </c:pt>
                <c:pt idx="77">
                  <c:v>930</c:v>
                </c:pt>
                <c:pt idx="78">
                  <c:v>1070</c:v>
                </c:pt>
                <c:pt idx="79">
                  <c:v>1212</c:v>
                </c:pt>
                <c:pt idx="80">
                  <c:v>1272</c:v>
                </c:pt>
                <c:pt idx="81">
                  <c:v>1452</c:v>
                </c:pt>
                <c:pt idx="82">
                  <c:v>1294.5</c:v>
                </c:pt>
                <c:pt idx="83">
                  <c:v>2164.5</c:v>
                </c:pt>
                <c:pt idx="84">
                  <c:v>2292</c:v>
                </c:pt>
                <c:pt idx="85">
                  <c:v>2677</c:v>
                </c:pt>
                <c:pt idx="86">
                  <c:v>2512</c:v>
                </c:pt>
                <c:pt idx="87">
                  <c:v>2477</c:v>
                </c:pt>
                <c:pt idx="88">
                  <c:v>2477</c:v>
                </c:pt>
                <c:pt idx="89">
                  <c:v>2477</c:v>
                </c:pt>
                <c:pt idx="90">
                  <c:v>2342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BB-4A4F-99A9-48B0E392D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596800"/>
        <c:axId val="520597192"/>
        <c:extLst/>
      </c:lineChart>
      <c:dateAx>
        <c:axId val="520596800"/>
        <c:scaling>
          <c:orientation val="minMax"/>
        </c:scaling>
        <c:delete val="0"/>
        <c:axPos val="b"/>
        <c:numFmt formatCode="mmm\-aa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0597192"/>
        <c:crosses val="autoZero"/>
        <c:auto val="1"/>
        <c:lblOffset val="100"/>
        <c:baseTimeUnit val="months"/>
      </c:dateAx>
      <c:valAx>
        <c:axId val="520597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Standard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0596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MAGNANVILLE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7141676385236078E-2"/>
          <c:y val="2.0494845890026404E-2"/>
          <c:w val="0.94688733045949769"/>
          <c:h val="0.86117643536000699"/>
        </c:manualLayout>
      </c:layout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sites'!$A$304:$A$400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sites'!$B$304:$B$400</c:f>
              <c:numCache>
                <c:formatCode>Standard</c:formatCode>
                <c:ptCount val="97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3E-4E9F-8352-B79397496209}"/>
            </c:ext>
          </c:extLst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sites'!$A$304:$A$400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sites'!$C$304:$C$400</c:f>
              <c:numCache>
                <c:formatCode>_-* #\ ##0\ [$€-40C]_-;\-* #\ ##0\ [$€-40C]_-;_-* "-"??\ [$€-40C]_-;_-@_-</c:formatCode>
                <c:ptCount val="97"/>
                <c:pt idx="0">
                  <c:v>1049502.42</c:v>
                </c:pt>
                <c:pt idx="1">
                  <c:v>530510.14999999991</c:v>
                </c:pt>
                <c:pt idx="2">
                  <c:v>487657.11</c:v>
                </c:pt>
                <c:pt idx="3">
                  <c:v>500228.89999999997</c:v>
                </c:pt>
                <c:pt idx="4">
                  <c:v>495899.04000000004</c:v>
                </c:pt>
                <c:pt idx="5">
                  <c:v>499191.58999999997</c:v>
                </c:pt>
                <c:pt idx="6">
                  <c:v>508850.68000000005</c:v>
                </c:pt>
                <c:pt idx="7">
                  <c:v>521436.77999999997</c:v>
                </c:pt>
                <c:pt idx="8">
                  <c:v>541199.52</c:v>
                </c:pt>
                <c:pt idx="9">
                  <c:v>573956.29</c:v>
                </c:pt>
                <c:pt idx="10">
                  <c:v>576750.27999999991</c:v>
                </c:pt>
                <c:pt idx="11">
                  <c:v>602605.54</c:v>
                </c:pt>
                <c:pt idx="12">
                  <c:v>619673.18999999994</c:v>
                </c:pt>
                <c:pt idx="13">
                  <c:v>657509.87000000023</c:v>
                </c:pt>
                <c:pt idx="14">
                  <c:v>661078.9800000001</c:v>
                </c:pt>
                <c:pt idx="15">
                  <c:v>664741.04000000015</c:v>
                </c:pt>
                <c:pt idx="16">
                  <c:v>671087.15999999992</c:v>
                </c:pt>
                <c:pt idx="17">
                  <c:v>716889.67</c:v>
                </c:pt>
                <c:pt idx="18">
                  <c:v>748228.48</c:v>
                </c:pt>
                <c:pt idx="19">
                  <c:v>751606.56</c:v>
                </c:pt>
                <c:pt idx="20">
                  <c:v>745671.95</c:v>
                </c:pt>
                <c:pt idx="21">
                  <c:v>728968.54999999993</c:v>
                </c:pt>
                <c:pt idx="22">
                  <c:v>721978.65000000026</c:v>
                </c:pt>
                <c:pt idx="23">
                  <c:v>683850.36</c:v>
                </c:pt>
                <c:pt idx="24">
                  <c:v>666711.99</c:v>
                </c:pt>
                <c:pt idx="25">
                  <c:v>654196.71000000008</c:v>
                </c:pt>
                <c:pt idx="26">
                  <c:v>664954.26</c:v>
                </c:pt>
                <c:pt idx="27">
                  <c:v>648738.31000000006</c:v>
                </c:pt>
                <c:pt idx="28">
                  <c:v>647869.02</c:v>
                </c:pt>
                <c:pt idx="29">
                  <c:v>608735.57000000007</c:v>
                </c:pt>
                <c:pt idx="30">
                  <c:v>574378.51</c:v>
                </c:pt>
                <c:pt idx="31">
                  <c:v>563259.59</c:v>
                </c:pt>
                <c:pt idx="32">
                  <c:v>570209.27999999991</c:v>
                </c:pt>
                <c:pt idx="33">
                  <c:v>568167.38000000012</c:v>
                </c:pt>
                <c:pt idx="34">
                  <c:v>621312.29</c:v>
                </c:pt>
                <c:pt idx="35">
                  <c:v>634361.23</c:v>
                </c:pt>
                <c:pt idx="36">
                  <c:v>636623.38</c:v>
                </c:pt>
                <c:pt idx="37">
                  <c:v>609150.61</c:v>
                </c:pt>
                <c:pt idx="38">
                  <c:v>596833.82999999996</c:v>
                </c:pt>
                <c:pt idx="39">
                  <c:v>603940.95000000007</c:v>
                </c:pt>
                <c:pt idx="40">
                  <c:v>593130.57000000007</c:v>
                </c:pt>
                <c:pt idx="41">
                  <c:v>590250.43999999994</c:v>
                </c:pt>
                <c:pt idx="42">
                  <c:v>604106.04399999999</c:v>
                </c:pt>
                <c:pt idx="43">
                  <c:v>603988.85400000005</c:v>
                </c:pt>
                <c:pt idx="44">
                  <c:v>595422.26399999997</c:v>
                </c:pt>
                <c:pt idx="45">
                  <c:v>576588.33400000003</c:v>
                </c:pt>
                <c:pt idx="46">
                  <c:v>529548.08400000003</c:v>
                </c:pt>
                <c:pt idx="47">
                  <c:v>519944.45399999997</c:v>
                </c:pt>
                <c:pt idx="48">
                  <c:v>500415.04399999999</c:v>
                </c:pt>
                <c:pt idx="49">
                  <c:v>498887.674</c:v>
                </c:pt>
                <c:pt idx="50">
                  <c:v>506171.34400000004</c:v>
                </c:pt>
                <c:pt idx="51">
                  <c:v>492031.99400000001</c:v>
                </c:pt>
                <c:pt idx="52">
                  <c:v>495143.56399999995</c:v>
                </c:pt>
                <c:pt idx="53">
                  <c:v>488182.03399999993</c:v>
                </c:pt>
                <c:pt idx="54">
                  <c:v>468251.76999999996</c:v>
                </c:pt>
                <c:pt idx="55">
                  <c:v>439948.03</c:v>
                </c:pt>
                <c:pt idx="56">
                  <c:v>448710.37</c:v>
                </c:pt>
                <c:pt idx="57">
                  <c:v>465770.6</c:v>
                </c:pt>
                <c:pt idx="58">
                  <c:v>484452.95999999996</c:v>
                </c:pt>
                <c:pt idx="59">
                  <c:v>472757.18</c:v>
                </c:pt>
                <c:pt idx="60">
                  <c:v>470048.26000000007</c:v>
                </c:pt>
                <c:pt idx="61">
                  <c:v>474987.36000000004</c:v>
                </c:pt>
                <c:pt idx="62">
                  <c:v>481557.80000000005</c:v>
                </c:pt>
                <c:pt idx="63">
                  <c:v>458758.84000000008</c:v>
                </c:pt>
                <c:pt idx="64">
                  <c:v>436009.85000000003</c:v>
                </c:pt>
                <c:pt idx="65">
                  <c:v>448191.67000000016</c:v>
                </c:pt>
                <c:pt idx="66">
                  <c:v>439754.65</c:v>
                </c:pt>
                <c:pt idx="67">
                  <c:v>435115.56</c:v>
                </c:pt>
                <c:pt idx="68">
                  <c:v>412255.31</c:v>
                </c:pt>
                <c:pt idx="69">
                  <c:v>385281.9</c:v>
                </c:pt>
                <c:pt idx="70">
                  <c:v>360297.7</c:v>
                </c:pt>
                <c:pt idx="71">
                  <c:v>348799.06</c:v>
                </c:pt>
                <c:pt idx="72">
                  <c:v>349024.23</c:v>
                </c:pt>
                <c:pt idx="73">
                  <c:v>333416.14999999997</c:v>
                </c:pt>
                <c:pt idx="74">
                  <c:v>307546.06999999995</c:v>
                </c:pt>
                <c:pt idx="75">
                  <c:v>304700.37</c:v>
                </c:pt>
                <c:pt idx="76">
                  <c:v>306324.49</c:v>
                </c:pt>
                <c:pt idx="77">
                  <c:v>282828.51</c:v>
                </c:pt>
                <c:pt idx="78">
                  <c:v>279876.93</c:v>
                </c:pt>
                <c:pt idx="79">
                  <c:v>287468.52</c:v>
                </c:pt>
                <c:pt idx="80">
                  <c:v>292342.32999999996</c:v>
                </c:pt>
                <c:pt idx="81">
                  <c:v>300820.24</c:v>
                </c:pt>
                <c:pt idx="82">
                  <c:v>290585.02000000008</c:v>
                </c:pt>
                <c:pt idx="83">
                  <c:v>295887.75</c:v>
                </c:pt>
                <c:pt idx="84">
                  <c:v>319798.77999999997</c:v>
                </c:pt>
                <c:pt idx="85">
                  <c:v>319336.61000000004</c:v>
                </c:pt>
                <c:pt idx="86">
                  <c:v>320498.07</c:v>
                </c:pt>
                <c:pt idx="87">
                  <c:v>344207.13</c:v>
                </c:pt>
                <c:pt idx="88">
                  <c:v>366180.19</c:v>
                </c:pt>
                <c:pt idx="89">
                  <c:v>373050.81999999989</c:v>
                </c:pt>
                <c:pt idx="90">
                  <c:v>384792.76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63E-4E9F-8352-B79397496209}"/>
            </c:ext>
          </c:extLst>
        </c:ser>
        <c:ser>
          <c:idx val="3"/>
          <c:order val="2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sites'!$A$304:$A$400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sites'!$D$304:$D$400</c:f>
              <c:numCache>
                <c:formatCode>_-* #\ ##0\ [$€-40C]_-;\-* #\ ##0\ [$€-40C]_-;_-* "-"??\ [$€-40C]_-;_-@_-</c:formatCode>
                <c:ptCount val="97"/>
                <c:pt idx="0">
                  <c:v>415727.86</c:v>
                </c:pt>
                <c:pt idx="1">
                  <c:v>120992.63999999998</c:v>
                </c:pt>
                <c:pt idx="2">
                  <c:v>117737.79999999999</c:v>
                </c:pt>
                <c:pt idx="3">
                  <c:v>124586.61999999998</c:v>
                </c:pt>
                <c:pt idx="4">
                  <c:v>126765.33999999998</c:v>
                </c:pt>
                <c:pt idx="5">
                  <c:v>129100.09</c:v>
                </c:pt>
                <c:pt idx="6">
                  <c:v>134873.88999999998</c:v>
                </c:pt>
                <c:pt idx="7">
                  <c:v>134782.16999999998</c:v>
                </c:pt>
                <c:pt idx="8">
                  <c:v>135321.25</c:v>
                </c:pt>
                <c:pt idx="9">
                  <c:v>147682.39000000001</c:v>
                </c:pt>
                <c:pt idx="10">
                  <c:v>146818.93</c:v>
                </c:pt>
                <c:pt idx="11">
                  <c:v>162414.99</c:v>
                </c:pt>
                <c:pt idx="12">
                  <c:v>172966.67</c:v>
                </c:pt>
                <c:pt idx="13">
                  <c:v>188255.15</c:v>
                </c:pt>
                <c:pt idx="14">
                  <c:v>185530.47999999998</c:v>
                </c:pt>
                <c:pt idx="15">
                  <c:v>182577</c:v>
                </c:pt>
                <c:pt idx="16">
                  <c:v>180275.96999999997</c:v>
                </c:pt>
                <c:pt idx="17">
                  <c:v>188484.97</c:v>
                </c:pt>
                <c:pt idx="18">
                  <c:v>203946.40999999997</c:v>
                </c:pt>
                <c:pt idx="19">
                  <c:v>210192.45999999996</c:v>
                </c:pt>
                <c:pt idx="20">
                  <c:v>207794.21999999997</c:v>
                </c:pt>
                <c:pt idx="21">
                  <c:v>216278.02</c:v>
                </c:pt>
                <c:pt idx="22">
                  <c:v>216075.14</c:v>
                </c:pt>
                <c:pt idx="23">
                  <c:v>203331.72000000003</c:v>
                </c:pt>
                <c:pt idx="24">
                  <c:v>188980.11000000002</c:v>
                </c:pt>
                <c:pt idx="25">
                  <c:v>185005.37</c:v>
                </c:pt>
                <c:pt idx="26">
                  <c:v>197872.81</c:v>
                </c:pt>
                <c:pt idx="27">
                  <c:v>188597.29000000004</c:v>
                </c:pt>
                <c:pt idx="28">
                  <c:v>188484.19000000003</c:v>
                </c:pt>
                <c:pt idx="29">
                  <c:v>181012.25000000003</c:v>
                </c:pt>
                <c:pt idx="30">
                  <c:v>166274.28000000003</c:v>
                </c:pt>
                <c:pt idx="31">
                  <c:v>171578.54</c:v>
                </c:pt>
                <c:pt idx="32">
                  <c:v>178656.07</c:v>
                </c:pt>
                <c:pt idx="33">
                  <c:v>178284.16000000003</c:v>
                </c:pt>
                <c:pt idx="34">
                  <c:v>193279.38999999998</c:v>
                </c:pt>
                <c:pt idx="35">
                  <c:v>191691.33</c:v>
                </c:pt>
                <c:pt idx="36">
                  <c:v>194954.94</c:v>
                </c:pt>
                <c:pt idx="37">
                  <c:v>185308.52000000002</c:v>
                </c:pt>
                <c:pt idx="38">
                  <c:v>176858.97</c:v>
                </c:pt>
                <c:pt idx="39">
                  <c:v>193514.78000000003</c:v>
                </c:pt>
                <c:pt idx="40">
                  <c:v>191268.37000000002</c:v>
                </c:pt>
                <c:pt idx="41">
                  <c:v>193703.93000000002</c:v>
                </c:pt>
                <c:pt idx="42">
                  <c:v>205509.46000000005</c:v>
                </c:pt>
                <c:pt idx="43">
                  <c:v>203148.08000000002</c:v>
                </c:pt>
                <c:pt idx="44">
                  <c:v>200624.62000000002</c:v>
                </c:pt>
                <c:pt idx="45">
                  <c:v>185467.72</c:v>
                </c:pt>
                <c:pt idx="46">
                  <c:v>175005.20999999996</c:v>
                </c:pt>
                <c:pt idx="47">
                  <c:v>181771.28000000003</c:v>
                </c:pt>
                <c:pt idx="48">
                  <c:v>174318.91999999998</c:v>
                </c:pt>
                <c:pt idx="49">
                  <c:v>172436.68000000002</c:v>
                </c:pt>
                <c:pt idx="50">
                  <c:v>177255.69000000003</c:v>
                </c:pt>
                <c:pt idx="51">
                  <c:v>162315.50000000003</c:v>
                </c:pt>
                <c:pt idx="52">
                  <c:v>166801.58000000002</c:v>
                </c:pt>
                <c:pt idx="53">
                  <c:v>163477.71000000002</c:v>
                </c:pt>
                <c:pt idx="54">
                  <c:v>151818.49000000002</c:v>
                </c:pt>
                <c:pt idx="55">
                  <c:v>136264.36000000002</c:v>
                </c:pt>
                <c:pt idx="56">
                  <c:v>141406.44000000003</c:v>
                </c:pt>
                <c:pt idx="57">
                  <c:v>152850.69</c:v>
                </c:pt>
                <c:pt idx="58">
                  <c:v>163032.95000000001</c:v>
                </c:pt>
                <c:pt idx="59">
                  <c:v>152404.95000000001</c:v>
                </c:pt>
                <c:pt idx="60">
                  <c:v>155986.09000000003</c:v>
                </c:pt>
                <c:pt idx="61">
                  <c:v>155833.09000000003</c:v>
                </c:pt>
                <c:pt idx="62">
                  <c:v>154684.54999999999</c:v>
                </c:pt>
                <c:pt idx="63">
                  <c:v>163500.71000000002</c:v>
                </c:pt>
                <c:pt idx="64">
                  <c:v>162611.34000000003</c:v>
                </c:pt>
                <c:pt idx="65">
                  <c:v>190070.27000000002</c:v>
                </c:pt>
                <c:pt idx="66">
                  <c:v>203866.99</c:v>
                </c:pt>
                <c:pt idx="67">
                  <c:v>210141.25</c:v>
                </c:pt>
                <c:pt idx="68">
                  <c:v>209123.12</c:v>
                </c:pt>
                <c:pt idx="69">
                  <c:v>191927.56</c:v>
                </c:pt>
                <c:pt idx="70">
                  <c:v>179542.19999999998</c:v>
                </c:pt>
                <c:pt idx="71">
                  <c:v>175170.99</c:v>
                </c:pt>
                <c:pt idx="72">
                  <c:v>174500.12</c:v>
                </c:pt>
                <c:pt idx="73">
                  <c:v>171194.05</c:v>
                </c:pt>
                <c:pt idx="74">
                  <c:v>166162.91999999998</c:v>
                </c:pt>
                <c:pt idx="75">
                  <c:v>152231.67000000001</c:v>
                </c:pt>
                <c:pt idx="76">
                  <c:v>144028.14000000001</c:v>
                </c:pt>
                <c:pt idx="77">
                  <c:v>114730.6</c:v>
                </c:pt>
                <c:pt idx="78">
                  <c:v>99370.57</c:v>
                </c:pt>
                <c:pt idx="79">
                  <c:v>98536.530000000013</c:v>
                </c:pt>
                <c:pt idx="80">
                  <c:v>92404.51999999999</c:v>
                </c:pt>
                <c:pt idx="81">
                  <c:v>94672.67</c:v>
                </c:pt>
                <c:pt idx="82">
                  <c:v>92038.67</c:v>
                </c:pt>
                <c:pt idx="83">
                  <c:v>95584.150000000009</c:v>
                </c:pt>
                <c:pt idx="84">
                  <c:v>102726.85999999999</c:v>
                </c:pt>
                <c:pt idx="85">
                  <c:v>103029.4</c:v>
                </c:pt>
                <c:pt idx="86">
                  <c:v>102442.41000000002</c:v>
                </c:pt>
                <c:pt idx="87">
                  <c:v>103435.63</c:v>
                </c:pt>
                <c:pt idx="88">
                  <c:v>106774.15</c:v>
                </c:pt>
                <c:pt idx="89">
                  <c:v>107678.43000000001</c:v>
                </c:pt>
                <c:pt idx="90">
                  <c:v>108408.57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63E-4E9F-8352-B79397496209}"/>
            </c:ext>
          </c:extLst>
        </c:ser>
        <c:ser>
          <c:idx val="4"/>
          <c:order val="3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sites'!$A$304:$A$400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sites'!$E$304:$E$400</c:f>
              <c:numCache>
                <c:formatCode>_-* #\ ##0\ [$€-40C]_-;\-* #\ ##0\ [$€-40C]_-;_-* "-"??\ [$€-40C]_-;_-@_-</c:formatCode>
                <c:ptCount val="97"/>
                <c:pt idx="0">
                  <c:v>72358.569999999992</c:v>
                </c:pt>
                <c:pt idx="1">
                  <c:v>46939.099999999991</c:v>
                </c:pt>
                <c:pt idx="2">
                  <c:v>42878.749999999993</c:v>
                </c:pt>
                <c:pt idx="3">
                  <c:v>42484.79</c:v>
                </c:pt>
                <c:pt idx="4">
                  <c:v>41014.93</c:v>
                </c:pt>
                <c:pt idx="5">
                  <c:v>41715.53</c:v>
                </c:pt>
                <c:pt idx="6">
                  <c:v>39138.019999999997</c:v>
                </c:pt>
                <c:pt idx="7">
                  <c:v>39084</c:v>
                </c:pt>
                <c:pt idx="8">
                  <c:v>39385.620000000003</c:v>
                </c:pt>
                <c:pt idx="9">
                  <c:v>39108.5</c:v>
                </c:pt>
                <c:pt idx="10">
                  <c:v>38224.300000000003</c:v>
                </c:pt>
                <c:pt idx="11">
                  <c:v>35950.25</c:v>
                </c:pt>
                <c:pt idx="12">
                  <c:v>34650.689999999995</c:v>
                </c:pt>
                <c:pt idx="13">
                  <c:v>33511.279999999999</c:v>
                </c:pt>
                <c:pt idx="14">
                  <c:v>34918.009999999995</c:v>
                </c:pt>
                <c:pt idx="15">
                  <c:v>35841.859999999993</c:v>
                </c:pt>
                <c:pt idx="16">
                  <c:v>36244.899999999994</c:v>
                </c:pt>
                <c:pt idx="17">
                  <c:v>35631.85</c:v>
                </c:pt>
                <c:pt idx="18">
                  <c:v>34768.36</c:v>
                </c:pt>
                <c:pt idx="19">
                  <c:v>35202.229999999996</c:v>
                </c:pt>
                <c:pt idx="20">
                  <c:v>34696.019999999997</c:v>
                </c:pt>
                <c:pt idx="21">
                  <c:v>34895.69</c:v>
                </c:pt>
                <c:pt idx="22">
                  <c:v>34766.519999999997</c:v>
                </c:pt>
                <c:pt idx="23">
                  <c:v>35923.35</c:v>
                </c:pt>
                <c:pt idx="24">
                  <c:v>36650.89</c:v>
                </c:pt>
                <c:pt idx="25">
                  <c:v>40256.619999999995</c:v>
                </c:pt>
                <c:pt idx="26">
                  <c:v>41004.929999999993</c:v>
                </c:pt>
                <c:pt idx="27">
                  <c:v>39888.589999999997</c:v>
                </c:pt>
                <c:pt idx="28">
                  <c:v>39744.379999999997</c:v>
                </c:pt>
                <c:pt idx="29">
                  <c:v>38746.619999999995</c:v>
                </c:pt>
                <c:pt idx="30">
                  <c:v>39024.359999999993</c:v>
                </c:pt>
                <c:pt idx="31">
                  <c:v>38327.210000000006</c:v>
                </c:pt>
                <c:pt idx="32">
                  <c:v>38963.270000000004</c:v>
                </c:pt>
                <c:pt idx="33">
                  <c:v>40793.870000000003</c:v>
                </c:pt>
                <c:pt idx="34">
                  <c:v>40336.21</c:v>
                </c:pt>
                <c:pt idx="35">
                  <c:v>39698.950000000004</c:v>
                </c:pt>
                <c:pt idx="36">
                  <c:v>39751.4</c:v>
                </c:pt>
                <c:pt idx="37">
                  <c:v>37932.619999999995</c:v>
                </c:pt>
                <c:pt idx="38">
                  <c:v>35623.049999999996</c:v>
                </c:pt>
                <c:pt idx="39">
                  <c:v>33313.94</c:v>
                </c:pt>
                <c:pt idx="40">
                  <c:v>32919.439999999995</c:v>
                </c:pt>
                <c:pt idx="41">
                  <c:v>33009.47</c:v>
                </c:pt>
                <c:pt idx="42">
                  <c:v>34299.949999999997</c:v>
                </c:pt>
                <c:pt idx="43">
                  <c:v>32925.72</c:v>
                </c:pt>
                <c:pt idx="44">
                  <c:v>33302.32</c:v>
                </c:pt>
                <c:pt idx="45">
                  <c:v>30521.210000000003</c:v>
                </c:pt>
                <c:pt idx="46">
                  <c:v>30195.380000000005</c:v>
                </c:pt>
                <c:pt idx="47">
                  <c:v>30552.260000000006</c:v>
                </c:pt>
                <c:pt idx="48">
                  <c:v>30417.790000000005</c:v>
                </c:pt>
                <c:pt idx="49">
                  <c:v>28628.610000000004</c:v>
                </c:pt>
                <c:pt idx="50">
                  <c:v>28067.24</c:v>
                </c:pt>
                <c:pt idx="51">
                  <c:v>28947.340000000004</c:v>
                </c:pt>
                <c:pt idx="52">
                  <c:v>28574.809999999998</c:v>
                </c:pt>
                <c:pt idx="53">
                  <c:v>28795.41</c:v>
                </c:pt>
                <c:pt idx="54">
                  <c:v>26402.37</c:v>
                </c:pt>
                <c:pt idx="55">
                  <c:v>26009.829999999998</c:v>
                </c:pt>
                <c:pt idx="56">
                  <c:v>28280.170000000002</c:v>
                </c:pt>
                <c:pt idx="57">
                  <c:v>28652.13</c:v>
                </c:pt>
                <c:pt idx="58">
                  <c:v>29870.41</c:v>
                </c:pt>
                <c:pt idx="59">
                  <c:v>30042.200000000004</c:v>
                </c:pt>
                <c:pt idx="60">
                  <c:v>29460.82</c:v>
                </c:pt>
                <c:pt idx="61">
                  <c:v>29967.72</c:v>
                </c:pt>
                <c:pt idx="62">
                  <c:v>30473.03</c:v>
                </c:pt>
                <c:pt idx="63">
                  <c:v>27298.170000000006</c:v>
                </c:pt>
                <c:pt idx="64">
                  <c:v>25366.670000000002</c:v>
                </c:pt>
                <c:pt idx="65">
                  <c:v>23259.920000000006</c:v>
                </c:pt>
                <c:pt idx="66">
                  <c:v>21475.750000000007</c:v>
                </c:pt>
                <c:pt idx="67">
                  <c:v>20148.070000000003</c:v>
                </c:pt>
                <c:pt idx="68">
                  <c:v>15848.250000000002</c:v>
                </c:pt>
                <c:pt idx="69">
                  <c:v>14603.300000000003</c:v>
                </c:pt>
                <c:pt idx="70">
                  <c:v>13926.390000000003</c:v>
                </c:pt>
                <c:pt idx="71">
                  <c:v>12971.34</c:v>
                </c:pt>
                <c:pt idx="72">
                  <c:v>12389.6</c:v>
                </c:pt>
                <c:pt idx="73">
                  <c:v>11876.089999999998</c:v>
                </c:pt>
                <c:pt idx="74">
                  <c:v>11334.45</c:v>
                </c:pt>
                <c:pt idx="75">
                  <c:v>12376.880000000001</c:v>
                </c:pt>
                <c:pt idx="76">
                  <c:v>13433.26</c:v>
                </c:pt>
                <c:pt idx="77">
                  <c:v>15909.01</c:v>
                </c:pt>
                <c:pt idx="78">
                  <c:v>16847.27</c:v>
                </c:pt>
                <c:pt idx="79">
                  <c:v>17717.560000000001</c:v>
                </c:pt>
                <c:pt idx="80">
                  <c:v>20262.690000000002</c:v>
                </c:pt>
                <c:pt idx="81">
                  <c:v>20026.59</c:v>
                </c:pt>
                <c:pt idx="82">
                  <c:v>18875.72</c:v>
                </c:pt>
                <c:pt idx="83">
                  <c:v>18779.449999999997</c:v>
                </c:pt>
                <c:pt idx="84">
                  <c:v>18950.29</c:v>
                </c:pt>
                <c:pt idx="85">
                  <c:v>18845.260000000002</c:v>
                </c:pt>
                <c:pt idx="86">
                  <c:v>18603.150000000001</c:v>
                </c:pt>
                <c:pt idx="87">
                  <c:v>20512.54</c:v>
                </c:pt>
                <c:pt idx="88">
                  <c:v>21179.13</c:v>
                </c:pt>
                <c:pt idx="89">
                  <c:v>20216.260000000002</c:v>
                </c:pt>
                <c:pt idx="90">
                  <c:v>21524.73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63E-4E9F-8352-B79397496209}"/>
            </c:ext>
          </c:extLst>
        </c:ser>
        <c:ser>
          <c:idx val="5"/>
          <c:order val="4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sites'!$A$304:$A$400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sites'!$F$304:$F$400</c:f>
              <c:numCache>
                <c:formatCode>_-* #\ ##0\ [$€-40C]_-;\-* #\ ##0\ [$€-40C]_-;_-* "-"??\ [$€-40C]_-;_-@_-</c:formatCode>
                <c:ptCount val="97"/>
                <c:pt idx="0">
                  <c:v>88124.88</c:v>
                </c:pt>
                <c:pt idx="1">
                  <c:v>72318.19</c:v>
                </c:pt>
                <c:pt idx="2">
                  <c:v>71466.560000000012</c:v>
                </c:pt>
                <c:pt idx="3">
                  <c:v>71773.290000000008</c:v>
                </c:pt>
                <c:pt idx="4">
                  <c:v>70752.250000000015</c:v>
                </c:pt>
                <c:pt idx="5">
                  <c:v>72346</c:v>
                </c:pt>
                <c:pt idx="6">
                  <c:v>74636.100000000006</c:v>
                </c:pt>
                <c:pt idx="7">
                  <c:v>82523.86</c:v>
                </c:pt>
                <c:pt idx="8">
                  <c:v>91641.279999999984</c:v>
                </c:pt>
                <c:pt idx="9">
                  <c:v>94107.31</c:v>
                </c:pt>
                <c:pt idx="10">
                  <c:v>99890.75</c:v>
                </c:pt>
                <c:pt idx="11">
                  <c:v>113141.55000000002</c:v>
                </c:pt>
                <c:pt idx="12">
                  <c:v>130814.5</c:v>
                </c:pt>
                <c:pt idx="13">
                  <c:v>131467.23000000001</c:v>
                </c:pt>
                <c:pt idx="14">
                  <c:v>130458.01000000002</c:v>
                </c:pt>
                <c:pt idx="15">
                  <c:v>129368.18000000001</c:v>
                </c:pt>
                <c:pt idx="16">
                  <c:v>131874.96000000002</c:v>
                </c:pt>
                <c:pt idx="17">
                  <c:v>148834.1</c:v>
                </c:pt>
                <c:pt idx="18">
                  <c:v>160720.65999999997</c:v>
                </c:pt>
                <c:pt idx="19">
                  <c:v>161000.31000000003</c:v>
                </c:pt>
                <c:pt idx="20">
                  <c:v>155994.21000000002</c:v>
                </c:pt>
                <c:pt idx="21">
                  <c:v>157113.44</c:v>
                </c:pt>
                <c:pt idx="22">
                  <c:v>151417.13</c:v>
                </c:pt>
                <c:pt idx="23">
                  <c:v>140905.07</c:v>
                </c:pt>
                <c:pt idx="24">
                  <c:v>130156.73000000003</c:v>
                </c:pt>
                <c:pt idx="25">
                  <c:v>136688.49000000002</c:v>
                </c:pt>
                <c:pt idx="26">
                  <c:v>138815.75</c:v>
                </c:pt>
                <c:pt idx="27">
                  <c:v>146698.12</c:v>
                </c:pt>
                <c:pt idx="28">
                  <c:v>144036.16</c:v>
                </c:pt>
                <c:pt idx="29">
                  <c:v>128325.22000000003</c:v>
                </c:pt>
                <c:pt idx="30">
                  <c:v>113600.55</c:v>
                </c:pt>
                <c:pt idx="31">
                  <c:v>105141.76999999999</c:v>
                </c:pt>
                <c:pt idx="32">
                  <c:v>102164.94</c:v>
                </c:pt>
                <c:pt idx="33">
                  <c:v>99071.82</c:v>
                </c:pt>
                <c:pt idx="34">
                  <c:v>101598.8</c:v>
                </c:pt>
                <c:pt idx="35">
                  <c:v>102845.11</c:v>
                </c:pt>
                <c:pt idx="36">
                  <c:v>100786.13</c:v>
                </c:pt>
                <c:pt idx="37">
                  <c:v>91767.829999999987</c:v>
                </c:pt>
                <c:pt idx="38">
                  <c:v>91170.260000000009</c:v>
                </c:pt>
                <c:pt idx="39">
                  <c:v>81006.42</c:v>
                </c:pt>
                <c:pt idx="40">
                  <c:v>77290.180000000008</c:v>
                </c:pt>
                <c:pt idx="41">
                  <c:v>75998.19</c:v>
                </c:pt>
                <c:pt idx="42">
                  <c:v>76418.013999999996</c:v>
                </c:pt>
                <c:pt idx="43">
                  <c:v>78376.703999999998</c:v>
                </c:pt>
                <c:pt idx="44">
                  <c:v>77587.724000000002</c:v>
                </c:pt>
                <c:pt idx="45">
                  <c:v>79777.894000000015</c:v>
                </c:pt>
                <c:pt idx="46">
                  <c:v>77039.224000000002</c:v>
                </c:pt>
                <c:pt idx="47">
                  <c:v>74572.16399999999</c:v>
                </c:pt>
                <c:pt idx="48">
                  <c:v>68904.703999999983</c:v>
                </c:pt>
                <c:pt idx="49">
                  <c:v>73187.063999999998</c:v>
                </c:pt>
                <c:pt idx="50">
                  <c:v>72594.054000000004</c:v>
                </c:pt>
                <c:pt idx="51">
                  <c:v>75226.333999999988</c:v>
                </c:pt>
                <c:pt idx="52">
                  <c:v>77617.033999999985</c:v>
                </c:pt>
                <c:pt idx="53">
                  <c:v>75135.703999999998</c:v>
                </c:pt>
                <c:pt idx="54">
                  <c:v>74245.39</c:v>
                </c:pt>
                <c:pt idx="55">
                  <c:v>71235.460000000006</c:v>
                </c:pt>
                <c:pt idx="56">
                  <c:v>72146.260000000009</c:v>
                </c:pt>
                <c:pt idx="57">
                  <c:v>75703.02</c:v>
                </c:pt>
                <c:pt idx="58">
                  <c:v>77292.27</c:v>
                </c:pt>
                <c:pt idx="59">
                  <c:v>76601.86</c:v>
                </c:pt>
                <c:pt idx="60">
                  <c:v>79368.67</c:v>
                </c:pt>
                <c:pt idx="61">
                  <c:v>77143.13</c:v>
                </c:pt>
                <c:pt idx="62">
                  <c:v>76001.16</c:v>
                </c:pt>
                <c:pt idx="63">
                  <c:v>69125.34</c:v>
                </c:pt>
                <c:pt idx="64">
                  <c:v>63074.479999999996</c:v>
                </c:pt>
                <c:pt idx="65">
                  <c:v>61172.54</c:v>
                </c:pt>
                <c:pt idx="66">
                  <c:v>58408.15</c:v>
                </c:pt>
                <c:pt idx="67">
                  <c:v>54936.959999999999</c:v>
                </c:pt>
                <c:pt idx="68">
                  <c:v>50846.19</c:v>
                </c:pt>
                <c:pt idx="69">
                  <c:v>46523.960000000006</c:v>
                </c:pt>
                <c:pt idx="70">
                  <c:v>45306.67</c:v>
                </c:pt>
                <c:pt idx="71">
                  <c:v>45992.430000000008</c:v>
                </c:pt>
                <c:pt idx="72">
                  <c:v>44490.36</c:v>
                </c:pt>
                <c:pt idx="73">
                  <c:v>45132.229999999996</c:v>
                </c:pt>
                <c:pt idx="74">
                  <c:v>46002.99</c:v>
                </c:pt>
                <c:pt idx="75">
                  <c:v>50310.68</c:v>
                </c:pt>
                <c:pt idx="76">
                  <c:v>53230.74</c:v>
                </c:pt>
                <c:pt idx="77">
                  <c:v>54121.45</c:v>
                </c:pt>
                <c:pt idx="78">
                  <c:v>58066.009999999995</c:v>
                </c:pt>
                <c:pt idx="79">
                  <c:v>63139.869999999995</c:v>
                </c:pt>
                <c:pt idx="80">
                  <c:v>66061.06</c:v>
                </c:pt>
                <c:pt idx="81">
                  <c:v>68778.820000000007</c:v>
                </c:pt>
                <c:pt idx="82">
                  <c:v>66247.62000000001</c:v>
                </c:pt>
                <c:pt idx="83">
                  <c:v>64963.69</c:v>
                </c:pt>
                <c:pt idx="84">
                  <c:v>69555.460000000006</c:v>
                </c:pt>
                <c:pt idx="85">
                  <c:v>68537.150000000009</c:v>
                </c:pt>
                <c:pt idx="86">
                  <c:v>67940.950000000012</c:v>
                </c:pt>
                <c:pt idx="87">
                  <c:v>70749.440000000002</c:v>
                </c:pt>
                <c:pt idx="88">
                  <c:v>76886.700000000012</c:v>
                </c:pt>
                <c:pt idx="89">
                  <c:v>82282.100000000006</c:v>
                </c:pt>
                <c:pt idx="90">
                  <c:v>81994.880000000005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63E-4E9F-8352-B79397496209}"/>
            </c:ext>
          </c:extLst>
        </c:ser>
        <c:ser>
          <c:idx val="6"/>
          <c:order val="5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sites'!$A$304:$A$400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sites'!$G$304:$G$400</c:f>
              <c:numCache>
                <c:formatCode>_-* #\ ##0\ [$€-40C]_-;\-* #\ ##0\ [$€-40C]_-;_-* "-"??\ [$€-40C]_-;_-@_-</c:formatCode>
                <c:ptCount val="97"/>
                <c:pt idx="0">
                  <c:v>57541.789999999972</c:v>
                </c:pt>
                <c:pt idx="1">
                  <c:v>54943.529999999984</c:v>
                </c:pt>
                <c:pt idx="2">
                  <c:v>52706.959999999977</c:v>
                </c:pt>
                <c:pt idx="3">
                  <c:v>51286.129999999983</c:v>
                </c:pt>
                <c:pt idx="4">
                  <c:v>48830.509999999987</c:v>
                </c:pt>
                <c:pt idx="5">
                  <c:v>48266.939999999981</c:v>
                </c:pt>
                <c:pt idx="6">
                  <c:v>45564.409999999996</c:v>
                </c:pt>
                <c:pt idx="7">
                  <c:v>43969.64</c:v>
                </c:pt>
                <c:pt idx="8">
                  <c:v>43644.570000000007</c:v>
                </c:pt>
                <c:pt idx="9">
                  <c:v>41792.699999999997</c:v>
                </c:pt>
                <c:pt idx="10">
                  <c:v>39664.699999999997</c:v>
                </c:pt>
                <c:pt idx="11">
                  <c:v>39293.949999999997</c:v>
                </c:pt>
                <c:pt idx="12">
                  <c:v>38616.120000000003</c:v>
                </c:pt>
                <c:pt idx="13">
                  <c:v>37436.760000000009</c:v>
                </c:pt>
                <c:pt idx="14">
                  <c:v>36518.520000000011</c:v>
                </c:pt>
                <c:pt idx="15">
                  <c:v>36440.600000000013</c:v>
                </c:pt>
                <c:pt idx="16">
                  <c:v>36979.80000000001</c:v>
                </c:pt>
                <c:pt idx="17">
                  <c:v>35207.240000000005</c:v>
                </c:pt>
                <c:pt idx="18">
                  <c:v>34599.160000000003</c:v>
                </c:pt>
                <c:pt idx="19">
                  <c:v>34608.75</c:v>
                </c:pt>
                <c:pt idx="20">
                  <c:v>34255.42</c:v>
                </c:pt>
                <c:pt idx="21">
                  <c:v>33473.250000000007</c:v>
                </c:pt>
                <c:pt idx="22">
                  <c:v>33429.200000000012</c:v>
                </c:pt>
                <c:pt idx="23">
                  <c:v>32996.740000000005</c:v>
                </c:pt>
                <c:pt idx="24">
                  <c:v>31203.01</c:v>
                </c:pt>
                <c:pt idx="25">
                  <c:v>31448.61</c:v>
                </c:pt>
                <c:pt idx="26">
                  <c:v>32892.109999999993</c:v>
                </c:pt>
                <c:pt idx="27">
                  <c:v>33372.86</c:v>
                </c:pt>
                <c:pt idx="28">
                  <c:v>33007.259999999995</c:v>
                </c:pt>
                <c:pt idx="29">
                  <c:v>34445.040000000001</c:v>
                </c:pt>
                <c:pt idx="30">
                  <c:v>33772.14</c:v>
                </c:pt>
                <c:pt idx="31">
                  <c:v>32492.159999999996</c:v>
                </c:pt>
                <c:pt idx="32">
                  <c:v>34057.609999999993</c:v>
                </c:pt>
                <c:pt idx="33">
                  <c:v>33390.189999999995</c:v>
                </c:pt>
                <c:pt idx="34">
                  <c:v>33382.06</c:v>
                </c:pt>
                <c:pt idx="35">
                  <c:v>33111.040000000001</c:v>
                </c:pt>
                <c:pt idx="36">
                  <c:v>33488.090000000004</c:v>
                </c:pt>
                <c:pt idx="37">
                  <c:v>31359.180000000008</c:v>
                </c:pt>
                <c:pt idx="38">
                  <c:v>29168.140000000003</c:v>
                </c:pt>
                <c:pt idx="39">
                  <c:v>26456.500000000004</c:v>
                </c:pt>
                <c:pt idx="40">
                  <c:v>25545.420000000006</c:v>
                </c:pt>
                <c:pt idx="41">
                  <c:v>23586.5</c:v>
                </c:pt>
                <c:pt idx="42">
                  <c:v>25320.850000000002</c:v>
                </c:pt>
                <c:pt idx="43">
                  <c:v>24799.239999999998</c:v>
                </c:pt>
                <c:pt idx="44">
                  <c:v>23011.929999999997</c:v>
                </c:pt>
                <c:pt idx="45">
                  <c:v>23139.399999999998</c:v>
                </c:pt>
                <c:pt idx="46">
                  <c:v>22483.26</c:v>
                </c:pt>
                <c:pt idx="47">
                  <c:v>21930.699999999997</c:v>
                </c:pt>
                <c:pt idx="48">
                  <c:v>21429.84</c:v>
                </c:pt>
                <c:pt idx="49">
                  <c:v>21656.83</c:v>
                </c:pt>
                <c:pt idx="50">
                  <c:v>21298</c:v>
                </c:pt>
                <c:pt idx="51">
                  <c:v>20462.34</c:v>
                </c:pt>
                <c:pt idx="52">
                  <c:v>20953.59</c:v>
                </c:pt>
                <c:pt idx="53">
                  <c:v>20538.05</c:v>
                </c:pt>
                <c:pt idx="54">
                  <c:v>18193.73</c:v>
                </c:pt>
                <c:pt idx="55">
                  <c:v>17903.760000000002</c:v>
                </c:pt>
                <c:pt idx="56">
                  <c:v>17386.460000000003</c:v>
                </c:pt>
                <c:pt idx="57">
                  <c:v>17646.809999999998</c:v>
                </c:pt>
                <c:pt idx="58">
                  <c:v>17139.469999999998</c:v>
                </c:pt>
                <c:pt idx="59">
                  <c:v>17343.739999999998</c:v>
                </c:pt>
                <c:pt idx="60">
                  <c:v>17626.229999999996</c:v>
                </c:pt>
                <c:pt idx="61">
                  <c:v>17636.09</c:v>
                </c:pt>
                <c:pt idx="62">
                  <c:v>17318.629999999997</c:v>
                </c:pt>
                <c:pt idx="63">
                  <c:v>16342.130000000003</c:v>
                </c:pt>
                <c:pt idx="64">
                  <c:v>14061.110000000002</c:v>
                </c:pt>
                <c:pt idx="65">
                  <c:v>12792.150000000001</c:v>
                </c:pt>
                <c:pt idx="66">
                  <c:v>10950.68</c:v>
                </c:pt>
                <c:pt idx="67">
                  <c:v>9970.2899999999991</c:v>
                </c:pt>
                <c:pt idx="68">
                  <c:v>9248.32</c:v>
                </c:pt>
                <c:pt idx="69">
                  <c:v>8568.73</c:v>
                </c:pt>
                <c:pt idx="70">
                  <c:v>7954.2400000000007</c:v>
                </c:pt>
                <c:pt idx="71">
                  <c:v>7081.9800000000005</c:v>
                </c:pt>
                <c:pt idx="72">
                  <c:v>6847.43</c:v>
                </c:pt>
                <c:pt idx="73">
                  <c:v>6367.72</c:v>
                </c:pt>
                <c:pt idx="74">
                  <c:v>5868.05</c:v>
                </c:pt>
                <c:pt idx="75">
                  <c:v>7012.32</c:v>
                </c:pt>
                <c:pt idx="76">
                  <c:v>7803.49</c:v>
                </c:pt>
                <c:pt idx="77">
                  <c:v>8386.9600000000009</c:v>
                </c:pt>
                <c:pt idx="78">
                  <c:v>9292.4100000000017</c:v>
                </c:pt>
                <c:pt idx="79">
                  <c:v>10150.160000000002</c:v>
                </c:pt>
                <c:pt idx="80">
                  <c:v>10570.900000000001</c:v>
                </c:pt>
                <c:pt idx="81">
                  <c:v>10657.480000000003</c:v>
                </c:pt>
                <c:pt idx="82">
                  <c:v>10925.230000000003</c:v>
                </c:pt>
                <c:pt idx="83">
                  <c:v>11157.080000000002</c:v>
                </c:pt>
                <c:pt idx="84">
                  <c:v>11182.450000000003</c:v>
                </c:pt>
                <c:pt idx="85">
                  <c:v>11652.600000000002</c:v>
                </c:pt>
                <c:pt idx="86">
                  <c:v>12021.05</c:v>
                </c:pt>
                <c:pt idx="87">
                  <c:v>12067.89</c:v>
                </c:pt>
                <c:pt idx="88">
                  <c:v>12309.19</c:v>
                </c:pt>
                <c:pt idx="89">
                  <c:v>12442.8</c:v>
                </c:pt>
                <c:pt idx="90">
                  <c:v>12782.159999999998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63E-4E9F-8352-B79397496209}"/>
            </c:ext>
          </c:extLst>
        </c:ser>
        <c:ser>
          <c:idx val="7"/>
          <c:order val="6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sites'!$A$304:$A$400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sites'!$H$304:$H$400</c:f>
              <c:numCache>
                <c:formatCode>_-* #\ ##0\ [$€-40C]_-;\-* #\ ##0\ [$€-40C]_-;_-* "-"??\ [$€-40C]_-;_-@_-</c:formatCode>
                <c:ptCount val="97"/>
                <c:pt idx="0">
                  <c:v>17936.090000000004</c:v>
                </c:pt>
                <c:pt idx="1">
                  <c:v>4965.43</c:v>
                </c:pt>
                <c:pt idx="2">
                  <c:v>5152.3600000000006</c:v>
                </c:pt>
                <c:pt idx="3">
                  <c:v>6660.51</c:v>
                </c:pt>
                <c:pt idx="4">
                  <c:v>6626.31</c:v>
                </c:pt>
                <c:pt idx="5">
                  <c:v>7257.13</c:v>
                </c:pt>
                <c:pt idx="6">
                  <c:v>7492.77</c:v>
                </c:pt>
                <c:pt idx="7">
                  <c:v>7336.35</c:v>
                </c:pt>
                <c:pt idx="8">
                  <c:v>7376.3</c:v>
                </c:pt>
                <c:pt idx="9">
                  <c:v>6961.5599999999995</c:v>
                </c:pt>
                <c:pt idx="10">
                  <c:v>6975.54</c:v>
                </c:pt>
                <c:pt idx="11">
                  <c:v>6286.7999999999993</c:v>
                </c:pt>
                <c:pt idx="12">
                  <c:v>5567.44</c:v>
                </c:pt>
                <c:pt idx="13">
                  <c:v>5428.9900000000007</c:v>
                </c:pt>
                <c:pt idx="14">
                  <c:v>5488.06</c:v>
                </c:pt>
                <c:pt idx="15">
                  <c:v>4754.18</c:v>
                </c:pt>
                <c:pt idx="16">
                  <c:v>4752.5</c:v>
                </c:pt>
                <c:pt idx="17">
                  <c:v>4419.1699999999992</c:v>
                </c:pt>
                <c:pt idx="18">
                  <c:v>4393.67</c:v>
                </c:pt>
                <c:pt idx="19">
                  <c:v>4819.34</c:v>
                </c:pt>
                <c:pt idx="20">
                  <c:v>4679.34</c:v>
                </c:pt>
                <c:pt idx="21">
                  <c:v>5248.9299999999994</c:v>
                </c:pt>
                <c:pt idx="22">
                  <c:v>5378.329999999999</c:v>
                </c:pt>
                <c:pt idx="23">
                  <c:v>4226.84</c:v>
                </c:pt>
                <c:pt idx="24">
                  <c:v>4500.45</c:v>
                </c:pt>
                <c:pt idx="25">
                  <c:v>4387.45</c:v>
                </c:pt>
                <c:pt idx="26">
                  <c:v>4120.45</c:v>
                </c:pt>
                <c:pt idx="27">
                  <c:v>4204.3</c:v>
                </c:pt>
                <c:pt idx="28">
                  <c:v>4535.9000000000005</c:v>
                </c:pt>
                <c:pt idx="29">
                  <c:v>5787.170000000001</c:v>
                </c:pt>
                <c:pt idx="30">
                  <c:v>6061.1100000000006</c:v>
                </c:pt>
                <c:pt idx="31">
                  <c:v>5740.6100000000006</c:v>
                </c:pt>
                <c:pt idx="32">
                  <c:v>8232.2100000000009</c:v>
                </c:pt>
                <c:pt idx="33">
                  <c:v>7578.4400000000005</c:v>
                </c:pt>
                <c:pt idx="34">
                  <c:v>7295.9600000000009</c:v>
                </c:pt>
                <c:pt idx="35">
                  <c:v>7308.5700000000006</c:v>
                </c:pt>
                <c:pt idx="36">
                  <c:v>6916.5700000000006</c:v>
                </c:pt>
                <c:pt idx="37">
                  <c:v>7015.5700000000006</c:v>
                </c:pt>
                <c:pt idx="38">
                  <c:v>8575.57</c:v>
                </c:pt>
                <c:pt idx="39">
                  <c:v>9653.2200000000012</c:v>
                </c:pt>
                <c:pt idx="40">
                  <c:v>9894.6200000000008</c:v>
                </c:pt>
                <c:pt idx="41">
                  <c:v>8594.489999999998</c:v>
                </c:pt>
                <c:pt idx="42">
                  <c:v>8366.4</c:v>
                </c:pt>
                <c:pt idx="43">
                  <c:v>8306.9599999999991</c:v>
                </c:pt>
                <c:pt idx="44">
                  <c:v>6107.7099999999991</c:v>
                </c:pt>
                <c:pt idx="45">
                  <c:v>6198.5599999999995</c:v>
                </c:pt>
                <c:pt idx="46">
                  <c:v>6065.7699999999995</c:v>
                </c:pt>
                <c:pt idx="47">
                  <c:v>6317.3599999999988</c:v>
                </c:pt>
                <c:pt idx="48">
                  <c:v>6302.3599999999988</c:v>
                </c:pt>
                <c:pt idx="49">
                  <c:v>7497.7999999999993</c:v>
                </c:pt>
                <c:pt idx="50">
                  <c:v>6018.7999999999993</c:v>
                </c:pt>
                <c:pt idx="51">
                  <c:v>4260.6000000000004</c:v>
                </c:pt>
                <c:pt idx="52">
                  <c:v>4456.68</c:v>
                </c:pt>
                <c:pt idx="53">
                  <c:v>4502.8500000000004</c:v>
                </c:pt>
                <c:pt idx="54">
                  <c:v>5233.7699999999995</c:v>
                </c:pt>
                <c:pt idx="55">
                  <c:v>5302.04</c:v>
                </c:pt>
                <c:pt idx="56">
                  <c:v>5339.5899999999992</c:v>
                </c:pt>
                <c:pt idx="57">
                  <c:v>5656.4499999999989</c:v>
                </c:pt>
                <c:pt idx="58">
                  <c:v>6114.49</c:v>
                </c:pt>
                <c:pt idx="59">
                  <c:v>5693.4400000000005</c:v>
                </c:pt>
                <c:pt idx="60">
                  <c:v>6133.84</c:v>
                </c:pt>
                <c:pt idx="61">
                  <c:v>5279.8899999999994</c:v>
                </c:pt>
                <c:pt idx="62">
                  <c:v>5533.0199999999995</c:v>
                </c:pt>
                <c:pt idx="63">
                  <c:v>5568.2</c:v>
                </c:pt>
                <c:pt idx="64">
                  <c:v>5159.25</c:v>
                </c:pt>
                <c:pt idx="65">
                  <c:v>5138.8999999999996</c:v>
                </c:pt>
                <c:pt idx="66">
                  <c:v>3940.12</c:v>
                </c:pt>
                <c:pt idx="67">
                  <c:v>4106.12</c:v>
                </c:pt>
                <c:pt idx="68">
                  <c:v>3846.6200000000003</c:v>
                </c:pt>
                <c:pt idx="69">
                  <c:v>6185.1100000000006</c:v>
                </c:pt>
                <c:pt idx="70">
                  <c:v>8320.16</c:v>
                </c:pt>
                <c:pt idx="71">
                  <c:v>8524.51</c:v>
                </c:pt>
                <c:pt idx="72">
                  <c:v>11380.029999999999</c:v>
                </c:pt>
                <c:pt idx="73">
                  <c:v>11523.18</c:v>
                </c:pt>
                <c:pt idx="74">
                  <c:v>11315.109999999999</c:v>
                </c:pt>
                <c:pt idx="75">
                  <c:v>11185.189999999999</c:v>
                </c:pt>
                <c:pt idx="76">
                  <c:v>13368.659999999998</c:v>
                </c:pt>
                <c:pt idx="77">
                  <c:v>14059.089999999998</c:v>
                </c:pt>
                <c:pt idx="78">
                  <c:v>15016.309999999998</c:v>
                </c:pt>
                <c:pt idx="79">
                  <c:v>15348.569999999998</c:v>
                </c:pt>
                <c:pt idx="80">
                  <c:v>15680.949999999997</c:v>
                </c:pt>
                <c:pt idx="81">
                  <c:v>13298.4</c:v>
                </c:pt>
                <c:pt idx="82">
                  <c:v>11861.030000000002</c:v>
                </c:pt>
                <c:pt idx="83">
                  <c:v>13044.330000000002</c:v>
                </c:pt>
                <c:pt idx="84">
                  <c:v>10697.26</c:v>
                </c:pt>
                <c:pt idx="85">
                  <c:v>10437.400000000001</c:v>
                </c:pt>
                <c:pt idx="86">
                  <c:v>11066.460000000003</c:v>
                </c:pt>
                <c:pt idx="87">
                  <c:v>11322.530000000002</c:v>
                </c:pt>
                <c:pt idx="88">
                  <c:v>10480.92</c:v>
                </c:pt>
                <c:pt idx="89">
                  <c:v>9003.1200000000008</c:v>
                </c:pt>
                <c:pt idx="90">
                  <c:v>9573.6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63E-4E9F-8352-B79397496209}"/>
            </c:ext>
          </c:extLst>
        </c:ser>
        <c:ser>
          <c:idx val="8"/>
          <c:order val="7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sites'!$A$304:$A$400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sites'!$I$304:$I$400</c:f>
              <c:numCache>
                <c:formatCode>_-* #\ ##0\ [$€-40C]_-;\-* #\ ##0\ [$€-40C]_-;_-* "-"??\ [$€-40C]_-;_-@_-</c:formatCode>
                <c:ptCount val="97"/>
                <c:pt idx="0">
                  <c:v>52172.869999999995</c:v>
                </c:pt>
                <c:pt idx="1">
                  <c:v>51355.610000000008</c:v>
                </c:pt>
                <c:pt idx="2">
                  <c:v>42477.840000000004</c:v>
                </c:pt>
                <c:pt idx="3">
                  <c:v>42211.310000000005</c:v>
                </c:pt>
                <c:pt idx="4">
                  <c:v>43002.41</c:v>
                </c:pt>
                <c:pt idx="5">
                  <c:v>40610.639999999999</c:v>
                </c:pt>
                <c:pt idx="6">
                  <c:v>41102.14</c:v>
                </c:pt>
                <c:pt idx="7">
                  <c:v>38075.360000000008</c:v>
                </c:pt>
                <c:pt idx="8">
                  <c:v>39005.629999999997</c:v>
                </c:pt>
                <c:pt idx="9">
                  <c:v>31187.020000000004</c:v>
                </c:pt>
                <c:pt idx="10">
                  <c:v>33422.870000000003</c:v>
                </c:pt>
                <c:pt idx="11">
                  <c:v>38968.200000000012</c:v>
                </c:pt>
                <c:pt idx="12">
                  <c:v>37615.560000000012</c:v>
                </c:pt>
                <c:pt idx="13">
                  <c:v>34550.71</c:v>
                </c:pt>
                <c:pt idx="14">
                  <c:v>33145.340000000004</c:v>
                </c:pt>
                <c:pt idx="15">
                  <c:v>29531.870000000003</c:v>
                </c:pt>
                <c:pt idx="16">
                  <c:v>28152.380000000005</c:v>
                </c:pt>
                <c:pt idx="17">
                  <c:v>28764.33</c:v>
                </c:pt>
                <c:pt idx="18">
                  <c:v>27471.460000000003</c:v>
                </c:pt>
                <c:pt idx="19">
                  <c:v>31134.390000000003</c:v>
                </c:pt>
                <c:pt idx="20">
                  <c:v>30167.780000000002</c:v>
                </c:pt>
                <c:pt idx="21">
                  <c:v>34997.08</c:v>
                </c:pt>
                <c:pt idx="22">
                  <c:v>32006.890000000003</c:v>
                </c:pt>
                <c:pt idx="23">
                  <c:v>26557.600000000002</c:v>
                </c:pt>
                <c:pt idx="24">
                  <c:v>30097.699999999997</c:v>
                </c:pt>
                <c:pt idx="25">
                  <c:v>31053.989999999998</c:v>
                </c:pt>
                <c:pt idx="26">
                  <c:v>33391.919999999998</c:v>
                </c:pt>
                <c:pt idx="27">
                  <c:v>32788.079999999994</c:v>
                </c:pt>
                <c:pt idx="28">
                  <c:v>33383.42</c:v>
                </c:pt>
                <c:pt idx="29">
                  <c:v>29997.66</c:v>
                </c:pt>
                <c:pt idx="30">
                  <c:v>35950.410000000003</c:v>
                </c:pt>
                <c:pt idx="31">
                  <c:v>31460.520000000004</c:v>
                </c:pt>
                <c:pt idx="32">
                  <c:v>34773.909999999996</c:v>
                </c:pt>
                <c:pt idx="33">
                  <c:v>35477.590000000004</c:v>
                </c:pt>
                <c:pt idx="34">
                  <c:v>44295.85</c:v>
                </c:pt>
                <c:pt idx="35">
                  <c:v>45795.53</c:v>
                </c:pt>
                <c:pt idx="36">
                  <c:v>48839.329999999994</c:v>
                </c:pt>
                <c:pt idx="37">
                  <c:v>48737.38</c:v>
                </c:pt>
                <c:pt idx="38">
                  <c:v>46246.689999999995</c:v>
                </c:pt>
                <c:pt idx="39">
                  <c:v>49804.46</c:v>
                </c:pt>
                <c:pt idx="40">
                  <c:v>51809.34</c:v>
                </c:pt>
                <c:pt idx="41">
                  <c:v>49703.28</c:v>
                </c:pt>
                <c:pt idx="42">
                  <c:v>50529.5</c:v>
                </c:pt>
                <c:pt idx="43">
                  <c:v>50497.77</c:v>
                </c:pt>
                <c:pt idx="44">
                  <c:v>47136.6</c:v>
                </c:pt>
                <c:pt idx="45">
                  <c:v>41934.58</c:v>
                </c:pt>
                <c:pt idx="46">
                  <c:v>36660.53</c:v>
                </c:pt>
                <c:pt idx="47">
                  <c:v>35510.28</c:v>
                </c:pt>
                <c:pt idx="48">
                  <c:v>27729.879999999997</c:v>
                </c:pt>
                <c:pt idx="49">
                  <c:v>27521.449999999997</c:v>
                </c:pt>
                <c:pt idx="50">
                  <c:v>28488.67</c:v>
                </c:pt>
                <c:pt idx="51">
                  <c:v>24478.280000000006</c:v>
                </c:pt>
                <c:pt idx="52">
                  <c:v>22090.250000000004</c:v>
                </c:pt>
                <c:pt idx="53">
                  <c:v>24693.540000000005</c:v>
                </c:pt>
                <c:pt idx="54">
                  <c:v>18732.050000000003</c:v>
                </c:pt>
                <c:pt idx="55">
                  <c:v>17633.539999999997</c:v>
                </c:pt>
                <c:pt idx="56">
                  <c:v>18356.289999999997</c:v>
                </c:pt>
                <c:pt idx="57">
                  <c:v>17191.969999999998</c:v>
                </c:pt>
                <c:pt idx="58">
                  <c:v>16738.79</c:v>
                </c:pt>
                <c:pt idx="59">
                  <c:v>15139.620000000003</c:v>
                </c:pt>
                <c:pt idx="60">
                  <c:v>15431.400000000003</c:v>
                </c:pt>
                <c:pt idx="61">
                  <c:v>14403.830000000004</c:v>
                </c:pt>
                <c:pt idx="62">
                  <c:v>13230.75</c:v>
                </c:pt>
                <c:pt idx="63">
                  <c:v>10169.949999999999</c:v>
                </c:pt>
                <c:pt idx="64">
                  <c:v>9071.4</c:v>
                </c:pt>
                <c:pt idx="65">
                  <c:v>8459.33</c:v>
                </c:pt>
                <c:pt idx="66">
                  <c:v>6632.6500000000005</c:v>
                </c:pt>
                <c:pt idx="67">
                  <c:v>6281.1399999999994</c:v>
                </c:pt>
                <c:pt idx="68">
                  <c:v>6009.11</c:v>
                </c:pt>
                <c:pt idx="69">
                  <c:v>6107.5</c:v>
                </c:pt>
                <c:pt idx="70">
                  <c:v>3154.21</c:v>
                </c:pt>
                <c:pt idx="71">
                  <c:v>4327.3999999999996</c:v>
                </c:pt>
                <c:pt idx="72">
                  <c:v>4332.6399999999994</c:v>
                </c:pt>
                <c:pt idx="73">
                  <c:v>4208.96</c:v>
                </c:pt>
                <c:pt idx="74">
                  <c:v>4684.24</c:v>
                </c:pt>
                <c:pt idx="75">
                  <c:v>6864.88</c:v>
                </c:pt>
                <c:pt idx="76">
                  <c:v>6945.68</c:v>
                </c:pt>
                <c:pt idx="77">
                  <c:v>7301.5300000000007</c:v>
                </c:pt>
                <c:pt idx="78">
                  <c:v>12587.77</c:v>
                </c:pt>
                <c:pt idx="79">
                  <c:v>14040.77</c:v>
                </c:pt>
                <c:pt idx="80">
                  <c:v>14757.01</c:v>
                </c:pt>
                <c:pt idx="81">
                  <c:v>17582.84</c:v>
                </c:pt>
                <c:pt idx="82">
                  <c:v>17635.680000000004</c:v>
                </c:pt>
                <c:pt idx="83">
                  <c:v>17159.21</c:v>
                </c:pt>
                <c:pt idx="84">
                  <c:v>22482.899999999998</c:v>
                </c:pt>
                <c:pt idx="85">
                  <c:v>22084.869999999995</c:v>
                </c:pt>
                <c:pt idx="86">
                  <c:v>22010.579999999998</c:v>
                </c:pt>
                <c:pt idx="87">
                  <c:v>35186.92</c:v>
                </c:pt>
                <c:pt idx="88">
                  <c:v>45478.52</c:v>
                </c:pt>
                <c:pt idx="89">
                  <c:v>45443.869999999995</c:v>
                </c:pt>
                <c:pt idx="90">
                  <c:v>46498.42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63E-4E9F-8352-B79397496209}"/>
            </c:ext>
          </c:extLst>
        </c:ser>
        <c:ser>
          <c:idx val="9"/>
          <c:order val="8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sites'!$A$304:$A$400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sites'!$J$304:$J$400</c:f>
              <c:numCache>
                <c:formatCode>_-* #\ ##0\ [$€-40C]_-;\-* #\ ##0\ [$€-40C]_-;_-* "-"??\ [$€-40C]_-;_-@_-</c:formatCode>
                <c:ptCount val="97"/>
                <c:pt idx="0">
                  <c:v>113153.39</c:v>
                </c:pt>
                <c:pt idx="1">
                  <c:v>96258.31</c:v>
                </c:pt>
                <c:pt idx="2">
                  <c:v>76734.209999999992</c:v>
                </c:pt>
                <c:pt idx="3">
                  <c:v>77756.58</c:v>
                </c:pt>
                <c:pt idx="4">
                  <c:v>74719.86</c:v>
                </c:pt>
                <c:pt idx="5">
                  <c:v>74986.510000000009</c:v>
                </c:pt>
                <c:pt idx="6">
                  <c:v>77255.390000000014</c:v>
                </c:pt>
                <c:pt idx="7">
                  <c:v>86761.390000000014</c:v>
                </c:pt>
                <c:pt idx="8">
                  <c:v>96682.620000000024</c:v>
                </c:pt>
                <c:pt idx="9">
                  <c:v>119474.25</c:v>
                </c:pt>
                <c:pt idx="10">
                  <c:v>116632.97000000003</c:v>
                </c:pt>
                <c:pt idx="11">
                  <c:v>108539.17000000001</c:v>
                </c:pt>
                <c:pt idx="12">
                  <c:v>101148.97</c:v>
                </c:pt>
                <c:pt idx="13">
                  <c:v>117218.45</c:v>
                </c:pt>
                <c:pt idx="14">
                  <c:v>125711.55</c:v>
                </c:pt>
                <c:pt idx="15">
                  <c:v>138037.15000000002</c:v>
                </c:pt>
                <c:pt idx="16">
                  <c:v>144763.85000000003</c:v>
                </c:pt>
                <c:pt idx="17">
                  <c:v>166688.60000000003</c:v>
                </c:pt>
                <c:pt idx="18">
                  <c:v>173786.72</c:v>
                </c:pt>
                <c:pt idx="19">
                  <c:v>166894.54</c:v>
                </c:pt>
                <c:pt idx="20">
                  <c:v>169865.11000000002</c:v>
                </c:pt>
                <c:pt idx="21">
                  <c:v>144827.28999999998</c:v>
                </c:pt>
                <c:pt idx="22">
                  <c:v>150457.69</c:v>
                </c:pt>
                <c:pt idx="23">
                  <c:v>148218.04</c:v>
                </c:pt>
                <c:pt idx="24">
                  <c:v>157623.04000000001</c:v>
                </c:pt>
                <c:pt idx="25">
                  <c:v>145968.94</c:v>
                </c:pt>
                <c:pt idx="26">
                  <c:v>136351.04000000001</c:v>
                </c:pt>
                <c:pt idx="27">
                  <c:v>124119.64</c:v>
                </c:pt>
                <c:pt idx="28">
                  <c:v>122191.39</c:v>
                </c:pt>
                <c:pt idx="29">
                  <c:v>104994.71999999999</c:v>
                </c:pt>
                <c:pt idx="30">
                  <c:v>99650.82</c:v>
                </c:pt>
                <c:pt idx="31">
                  <c:v>98855.69</c:v>
                </c:pt>
                <c:pt idx="32">
                  <c:v>89043.690000000017</c:v>
                </c:pt>
                <c:pt idx="33">
                  <c:v>85208.200000000012</c:v>
                </c:pt>
                <c:pt idx="34">
                  <c:v>101203.79999999999</c:v>
                </c:pt>
                <c:pt idx="35">
                  <c:v>107217.45000000001</c:v>
                </c:pt>
                <c:pt idx="36">
                  <c:v>102450.25</c:v>
                </c:pt>
                <c:pt idx="37">
                  <c:v>99026.650000000009</c:v>
                </c:pt>
                <c:pt idx="38">
                  <c:v>97342.45</c:v>
                </c:pt>
                <c:pt idx="39">
                  <c:v>98858.45</c:v>
                </c:pt>
                <c:pt idx="40">
                  <c:v>95494.5</c:v>
                </c:pt>
                <c:pt idx="41">
                  <c:v>97591.17</c:v>
                </c:pt>
                <c:pt idx="42">
                  <c:v>93098.07</c:v>
                </c:pt>
                <c:pt idx="43">
                  <c:v>90098.42</c:v>
                </c:pt>
                <c:pt idx="44">
                  <c:v>92096.42</c:v>
                </c:pt>
                <c:pt idx="45">
                  <c:v>95969.099999999991</c:v>
                </c:pt>
                <c:pt idx="46">
                  <c:v>76427.5</c:v>
                </c:pt>
                <c:pt idx="47">
                  <c:v>68122</c:v>
                </c:pt>
                <c:pt idx="48">
                  <c:v>70452.2</c:v>
                </c:pt>
                <c:pt idx="49">
                  <c:v>66730.149999999994</c:v>
                </c:pt>
                <c:pt idx="50">
                  <c:v>73868.799999999988</c:v>
                </c:pt>
                <c:pt idx="51">
                  <c:v>73339.5</c:v>
                </c:pt>
                <c:pt idx="52">
                  <c:v>66964</c:v>
                </c:pt>
                <c:pt idx="53">
                  <c:v>65662.5</c:v>
                </c:pt>
                <c:pt idx="54">
                  <c:v>66142.5</c:v>
                </c:pt>
                <c:pt idx="55">
                  <c:v>63770.299999999996</c:v>
                </c:pt>
                <c:pt idx="56">
                  <c:v>62982.299999999996</c:v>
                </c:pt>
                <c:pt idx="57">
                  <c:v>57193.929999999993</c:v>
                </c:pt>
                <c:pt idx="58">
                  <c:v>62173.95</c:v>
                </c:pt>
                <c:pt idx="59">
                  <c:v>61399.75</c:v>
                </c:pt>
                <c:pt idx="60">
                  <c:v>54299.75</c:v>
                </c:pt>
                <c:pt idx="61">
                  <c:v>57429.3</c:v>
                </c:pt>
                <c:pt idx="62">
                  <c:v>66929.010000000009</c:v>
                </c:pt>
                <c:pt idx="63">
                  <c:v>61740.810000000005</c:v>
                </c:pt>
                <c:pt idx="64">
                  <c:v>62246.610000000008</c:v>
                </c:pt>
                <c:pt idx="65">
                  <c:v>57253.11</c:v>
                </c:pt>
                <c:pt idx="66">
                  <c:v>53449.11</c:v>
                </c:pt>
                <c:pt idx="67">
                  <c:v>54484.35</c:v>
                </c:pt>
                <c:pt idx="68">
                  <c:v>49649.35</c:v>
                </c:pt>
                <c:pt idx="69">
                  <c:v>51949.22</c:v>
                </c:pt>
                <c:pt idx="70">
                  <c:v>46020.799999999996</c:v>
                </c:pt>
                <c:pt idx="71">
                  <c:v>43441.5</c:v>
                </c:pt>
                <c:pt idx="72">
                  <c:v>42645.5</c:v>
                </c:pt>
                <c:pt idx="73">
                  <c:v>38838</c:v>
                </c:pt>
                <c:pt idx="74">
                  <c:v>21409.64</c:v>
                </c:pt>
                <c:pt idx="75">
                  <c:v>21554.14</c:v>
                </c:pt>
                <c:pt idx="76">
                  <c:v>22409.19</c:v>
                </c:pt>
                <c:pt idx="77">
                  <c:v>20911.189999999999</c:v>
                </c:pt>
                <c:pt idx="78">
                  <c:v>18370.189999999999</c:v>
                </c:pt>
                <c:pt idx="79">
                  <c:v>14566.95</c:v>
                </c:pt>
                <c:pt idx="80">
                  <c:v>14566.95</c:v>
                </c:pt>
                <c:pt idx="81">
                  <c:v>15049.95</c:v>
                </c:pt>
                <c:pt idx="82">
                  <c:v>11745.35</c:v>
                </c:pt>
                <c:pt idx="83">
                  <c:v>13038.85</c:v>
                </c:pt>
                <c:pt idx="84">
                  <c:v>13738.85</c:v>
                </c:pt>
                <c:pt idx="85">
                  <c:v>12989.85</c:v>
                </c:pt>
                <c:pt idx="86">
                  <c:v>12268.85</c:v>
                </c:pt>
                <c:pt idx="87">
                  <c:v>9189.85</c:v>
                </c:pt>
                <c:pt idx="88">
                  <c:v>7158</c:v>
                </c:pt>
                <c:pt idx="89">
                  <c:v>7126</c:v>
                </c:pt>
                <c:pt idx="90">
                  <c:v>7123.15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63E-4E9F-8352-B79397496209}"/>
            </c:ext>
          </c:extLst>
        </c:ser>
        <c:ser>
          <c:idx val="10"/>
          <c:order val="9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sites'!$A$304:$A$400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sites'!$K$304:$K$400</c:f>
              <c:numCache>
                <c:formatCode>_-* #\ ##0\ [$€-40C]_-;\-* #\ ##0\ [$€-40C]_-;_-* "-"??\ [$€-40C]_-;_-@_-</c:formatCode>
                <c:ptCount val="97"/>
                <c:pt idx="0">
                  <c:v>208116.06</c:v>
                </c:pt>
                <c:pt idx="1">
                  <c:v>81018.22</c:v>
                </c:pt>
                <c:pt idx="2">
                  <c:v>77045.510000000009</c:v>
                </c:pt>
                <c:pt idx="3">
                  <c:v>81521.750000000015</c:v>
                </c:pt>
                <c:pt idx="4">
                  <c:v>81732.920000000013</c:v>
                </c:pt>
                <c:pt idx="5">
                  <c:v>82032.670000000013</c:v>
                </c:pt>
                <c:pt idx="6">
                  <c:v>85679.35</c:v>
                </c:pt>
                <c:pt idx="7">
                  <c:v>86571.88</c:v>
                </c:pt>
                <c:pt idx="8">
                  <c:v>85687.86</c:v>
                </c:pt>
                <c:pt idx="9">
                  <c:v>91242.18</c:v>
                </c:pt>
                <c:pt idx="10">
                  <c:v>92399.9</c:v>
                </c:pt>
                <c:pt idx="11">
                  <c:v>95270.689999999988</c:v>
                </c:pt>
                <c:pt idx="12">
                  <c:v>95087.109999999986</c:v>
                </c:pt>
                <c:pt idx="13">
                  <c:v>105828.00999999998</c:v>
                </c:pt>
                <c:pt idx="14">
                  <c:v>104957.95999999998</c:v>
                </c:pt>
                <c:pt idx="15">
                  <c:v>103632.94999999997</c:v>
                </c:pt>
                <c:pt idx="16">
                  <c:v>103249.30999999998</c:v>
                </c:pt>
                <c:pt idx="17">
                  <c:v>104067.62999999998</c:v>
                </c:pt>
                <c:pt idx="18">
                  <c:v>103645.84</c:v>
                </c:pt>
                <c:pt idx="19">
                  <c:v>101884.78</c:v>
                </c:pt>
                <c:pt idx="20">
                  <c:v>102403.65</c:v>
                </c:pt>
                <c:pt idx="21">
                  <c:v>95934.670000000013</c:v>
                </c:pt>
                <c:pt idx="22">
                  <c:v>92352.56</c:v>
                </c:pt>
                <c:pt idx="23">
                  <c:v>85635.97</c:v>
                </c:pt>
                <c:pt idx="24">
                  <c:v>81490.37000000001</c:v>
                </c:pt>
                <c:pt idx="25">
                  <c:v>73236.31</c:v>
                </c:pt>
                <c:pt idx="26">
                  <c:v>74199.059999999983</c:v>
                </c:pt>
                <c:pt idx="27">
                  <c:v>71824.87999999999</c:v>
                </c:pt>
                <c:pt idx="28">
                  <c:v>74697.079999999987</c:v>
                </c:pt>
                <c:pt idx="29">
                  <c:v>74888.2</c:v>
                </c:pt>
                <c:pt idx="30">
                  <c:v>67742.070000000007</c:v>
                </c:pt>
                <c:pt idx="31">
                  <c:v>65033.41</c:v>
                </c:pt>
                <c:pt idx="32">
                  <c:v>66827.780000000013</c:v>
                </c:pt>
                <c:pt idx="33">
                  <c:v>68004.179999999993</c:v>
                </c:pt>
                <c:pt idx="34">
                  <c:v>74636.66</c:v>
                </c:pt>
                <c:pt idx="35">
                  <c:v>77005.919999999998</c:v>
                </c:pt>
                <c:pt idx="36">
                  <c:v>76065.599999999991</c:v>
                </c:pt>
                <c:pt idx="37">
                  <c:v>73306.819999999992</c:v>
                </c:pt>
                <c:pt idx="38">
                  <c:v>72798.12999999999</c:v>
                </c:pt>
                <c:pt idx="39">
                  <c:v>70062.720000000001</c:v>
                </c:pt>
                <c:pt idx="40">
                  <c:v>65629.149999999994</c:v>
                </c:pt>
                <c:pt idx="41">
                  <c:v>65887.66</c:v>
                </c:pt>
                <c:pt idx="42">
                  <c:v>66448.97</c:v>
                </c:pt>
                <c:pt idx="43">
                  <c:v>70651.08</c:v>
                </c:pt>
                <c:pt idx="44">
                  <c:v>69374.69</c:v>
                </c:pt>
                <c:pt idx="45">
                  <c:v>67837.489999999991</c:v>
                </c:pt>
                <c:pt idx="46">
                  <c:v>63173.350000000006</c:v>
                </c:pt>
                <c:pt idx="47">
                  <c:v>61895.62</c:v>
                </c:pt>
                <c:pt idx="48">
                  <c:v>61628.590000000004</c:v>
                </c:pt>
                <c:pt idx="49">
                  <c:v>63127.859999999993</c:v>
                </c:pt>
                <c:pt idx="50">
                  <c:v>62533.02</c:v>
                </c:pt>
                <c:pt idx="51">
                  <c:v>66165.889999999985</c:v>
                </c:pt>
                <c:pt idx="52">
                  <c:v>70565.669999999984</c:v>
                </c:pt>
                <c:pt idx="53">
                  <c:v>67767.429999999993</c:v>
                </c:pt>
                <c:pt idx="54">
                  <c:v>69686</c:v>
                </c:pt>
                <c:pt idx="55">
                  <c:v>65308.05</c:v>
                </c:pt>
                <c:pt idx="56">
                  <c:v>66600.760000000009</c:v>
                </c:pt>
                <c:pt idx="57">
                  <c:v>74369.320000000007</c:v>
                </c:pt>
                <c:pt idx="58">
                  <c:v>74230.33</c:v>
                </c:pt>
                <c:pt idx="59">
                  <c:v>75796.84</c:v>
                </c:pt>
                <c:pt idx="60">
                  <c:v>75387.989999999991</c:v>
                </c:pt>
                <c:pt idx="61">
                  <c:v>78603.049999999988</c:v>
                </c:pt>
                <c:pt idx="62">
                  <c:v>78902.210000000006</c:v>
                </c:pt>
                <c:pt idx="63">
                  <c:v>70491.760000000009</c:v>
                </c:pt>
                <c:pt idx="64">
                  <c:v>63499.860000000008</c:v>
                </c:pt>
                <c:pt idx="65">
                  <c:v>61491.960000000006</c:v>
                </c:pt>
                <c:pt idx="66">
                  <c:v>56670.380000000005</c:v>
                </c:pt>
                <c:pt idx="67">
                  <c:v>53019.460000000006</c:v>
                </c:pt>
                <c:pt idx="68">
                  <c:v>49281.35</c:v>
                </c:pt>
                <c:pt idx="69">
                  <c:v>42011.27</c:v>
                </c:pt>
                <c:pt idx="70">
                  <c:v>40823.760000000009</c:v>
                </c:pt>
                <c:pt idx="71">
                  <c:v>36775.729999999996</c:v>
                </c:pt>
                <c:pt idx="72">
                  <c:v>37898.629999999997</c:v>
                </c:pt>
                <c:pt idx="73">
                  <c:v>31561.120000000003</c:v>
                </c:pt>
                <c:pt idx="74">
                  <c:v>29923.760000000002</c:v>
                </c:pt>
                <c:pt idx="75">
                  <c:v>32269.51</c:v>
                </c:pt>
                <c:pt idx="76">
                  <c:v>33227.07</c:v>
                </c:pt>
                <c:pt idx="77">
                  <c:v>34303.53</c:v>
                </c:pt>
                <c:pt idx="78">
                  <c:v>36255.35</c:v>
                </c:pt>
                <c:pt idx="79">
                  <c:v>38722.920000000006</c:v>
                </c:pt>
                <c:pt idx="80">
                  <c:v>42324.79</c:v>
                </c:pt>
                <c:pt idx="81">
                  <c:v>40519.96</c:v>
                </c:pt>
                <c:pt idx="82">
                  <c:v>38688.790000000008</c:v>
                </c:pt>
                <c:pt idx="83">
                  <c:v>39485.130000000005</c:v>
                </c:pt>
                <c:pt idx="84">
                  <c:v>45064.19</c:v>
                </c:pt>
                <c:pt idx="85">
                  <c:v>44493.83</c:v>
                </c:pt>
                <c:pt idx="86">
                  <c:v>43993.71</c:v>
                </c:pt>
                <c:pt idx="87">
                  <c:v>45478.929999999993</c:v>
                </c:pt>
                <c:pt idx="88">
                  <c:v>46920.45</c:v>
                </c:pt>
                <c:pt idx="89">
                  <c:v>46512.22</c:v>
                </c:pt>
                <c:pt idx="90">
                  <c:v>47185.64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63E-4E9F-8352-B79397496209}"/>
            </c:ext>
          </c:extLst>
        </c:ser>
        <c:ser>
          <c:idx val="12"/>
          <c:order val="10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sites'!$A$304:$A$400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sites'!$L$304:$L$400</c:f>
              <c:numCache>
                <c:formatCode>_-* #\ ##0\ [$€-40C]_-;\-* #\ ##0\ [$€-40C]_-;_-* "-"??\ [$€-40C]_-;_-@_-</c:formatCode>
                <c:ptCount val="97"/>
                <c:pt idx="0">
                  <c:v>21134.32</c:v>
                </c:pt>
                <c:pt idx="1">
                  <c:v>776.54</c:v>
                </c:pt>
                <c:pt idx="2">
                  <c:v>609.76</c:v>
                </c:pt>
                <c:pt idx="3">
                  <c:v>634.17999999999995</c:v>
                </c:pt>
                <c:pt idx="4">
                  <c:v>680.96</c:v>
                </c:pt>
                <c:pt idx="5">
                  <c:v>662.79</c:v>
                </c:pt>
                <c:pt idx="6">
                  <c:v>715.74</c:v>
                </c:pt>
                <c:pt idx="7">
                  <c:v>834.54</c:v>
                </c:pt>
                <c:pt idx="8">
                  <c:v>1002.49</c:v>
                </c:pt>
                <c:pt idx="9">
                  <c:v>913.6400000000001</c:v>
                </c:pt>
                <c:pt idx="10">
                  <c:v>944.84</c:v>
                </c:pt>
                <c:pt idx="11">
                  <c:v>921.89</c:v>
                </c:pt>
                <c:pt idx="12">
                  <c:v>1142.58</c:v>
                </c:pt>
                <c:pt idx="13">
                  <c:v>1136.6799999999998</c:v>
                </c:pt>
                <c:pt idx="14">
                  <c:v>1293.05</c:v>
                </c:pt>
                <c:pt idx="15">
                  <c:v>1488.81</c:v>
                </c:pt>
                <c:pt idx="16">
                  <c:v>1651.2200000000003</c:v>
                </c:pt>
                <c:pt idx="17">
                  <c:v>1768.85</c:v>
                </c:pt>
                <c:pt idx="18">
                  <c:v>1816.3100000000002</c:v>
                </c:pt>
                <c:pt idx="19">
                  <c:v>1869.5800000000004</c:v>
                </c:pt>
                <c:pt idx="20">
                  <c:v>1724.5800000000002</c:v>
                </c:pt>
                <c:pt idx="21">
                  <c:v>1971.2000000000003</c:v>
                </c:pt>
                <c:pt idx="22">
                  <c:v>2143.4900000000002</c:v>
                </c:pt>
                <c:pt idx="23">
                  <c:v>2313.9</c:v>
                </c:pt>
                <c:pt idx="24">
                  <c:v>2246.08</c:v>
                </c:pt>
                <c:pt idx="25">
                  <c:v>2957.7799999999997</c:v>
                </c:pt>
                <c:pt idx="26">
                  <c:v>3170.17</c:v>
                </c:pt>
                <c:pt idx="27">
                  <c:v>4730.6399999999994</c:v>
                </c:pt>
                <c:pt idx="28">
                  <c:v>5801.3499999999995</c:v>
                </c:pt>
                <c:pt idx="29">
                  <c:v>7635.2799999999988</c:v>
                </c:pt>
                <c:pt idx="30">
                  <c:v>9009.9199999999983</c:v>
                </c:pt>
                <c:pt idx="31">
                  <c:v>10619.72</c:v>
                </c:pt>
                <c:pt idx="32">
                  <c:v>12843.589999999998</c:v>
                </c:pt>
                <c:pt idx="33">
                  <c:v>14658.009999999998</c:v>
                </c:pt>
                <c:pt idx="34">
                  <c:v>17802.5</c:v>
                </c:pt>
                <c:pt idx="35">
                  <c:v>20105.489999999998</c:v>
                </c:pt>
                <c:pt idx="36">
                  <c:v>21920.42</c:v>
                </c:pt>
                <c:pt idx="37">
                  <c:v>22606.780000000002</c:v>
                </c:pt>
                <c:pt idx="38">
                  <c:v>24303.360000000001</c:v>
                </c:pt>
                <c:pt idx="39">
                  <c:v>25244.170000000002</c:v>
                </c:pt>
                <c:pt idx="40">
                  <c:v>25642.149999999998</c:v>
                </c:pt>
                <c:pt idx="41">
                  <c:v>25259.02</c:v>
                </c:pt>
                <c:pt idx="42">
                  <c:v>26062.47</c:v>
                </c:pt>
                <c:pt idx="43">
                  <c:v>26173.75</c:v>
                </c:pt>
                <c:pt idx="44">
                  <c:v>26416.799999999999</c:v>
                </c:pt>
                <c:pt idx="45">
                  <c:v>26620.629999999997</c:v>
                </c:pt>
                <c:pt idx="46">
                  <c:v>24416.069999999996</c:v>
                </c:pt>
                <c:pt idx="47">
                  <c:v>23232.549999999996</c:v>
                </c:pt>
                <c:pt idx="48">
                  <c:v>22498.039999999997</c:v>
                </c:pt>
                <c:pt idx="49">
                  <c:v>21699.46</c:v>
                </c:pt>
                <c:pt idx="50">
                  <c:v>21006.759999999995</c:v>
                </c:pt>
                <c:pt idx="51">
                  <c:v>19622.449999999997</c:v>
                </c:pt>
                <c:pt idx="52">
                  <c:v>19858.510000000002</c:v>
                </c:pt>
                <c:pt idx="53">
                  <c:v>19704.650000000001</c:v>
                </c:pt>
                <c:pt idx="54">
                  <c:v>19167.849999999999</c:v>
                </c:pt>
                <c:pt idx="55">
                  <c:v>18981.7</c:v>
                </c:pt>
                <c:pt idx="56">
                  <c:v>19833.600000000002</c:v>
                </c:pt>
                <c:pt idx="57">
                  <c:v>20211.21</c:v>
                </c:pt>
                <c:pt idx="58">
                  <c:v>21901.350000000002</c:v>
                </c:pt>
                <c:pt idx="59">
                  <c:v>22212.91</c:v>
                </c:pt>
                <c:pt idx="60">
                  <c:v>22589.019999999997</c:v>
                </c:pt>
                <c:pt idx="61">
                  <c:v>24348.85</c:v>
                </c:pt>
                <c:pt idx="62">
                  <c:v>25261.86</c:v>
                </c:pt>
                <c:pt idx="63">
                  <c:v>23976.760000000002</c:v>
                </c:pt>
                <c:pt idx="64">
                  <c:v>22013.65</c:v>
                </c:pt>
                <c:pt idx="65">
                  <c:v>20648.580000000002</c:v>
                </c:pt>
                <c:pt idx="66">
                  <c:v>18916.879999999997</c:v>
                </c:pt>
                <c:pt idx="67">
                  <c:v>17217.229999999996</c:v>
                </c:pt>
                <c:pt idx="68">
                  <c:v>13870.460000000001</c:v>
                </c:pt>
                <c:pt idx="69">
                  <c:v>12603.71</c:v>
                </c:pt>
                <c:pt idx="70">
                  <c:v>10525.59</c:v>
                </c:pt>
                <c:pt idx="71">
                  <c:v>9744.9500000000007</c:v>
                </c:pt>
                <c:pt idx="72">
                  <c:v>9857.7899999999991</c:v>
                </c:pt>
                <c:pt idx="73">
                  <c:v>8410.8799999999992</c:v>
                </c:pt>
                <c:pt idx="74">
                  <c:v>6644.73</c:v>
                </c:pt>
                <c:pt idx="75">
                  <c:v>7063.61</c:v>
                </c:pt>
                <c:pt idx="76">
                  <c:v>7768.53</c:v>
                </c:pt>
                <c:pt idx="77">
                  <c:v>8469.59</c:v>
                </c:pt>
                <c:pt idx="78">
                  <c:v>9204.23</c:v>
                </c:pt>
                <c:pt idx="79">
                  <c:v>10147</c:v>
                </c:pt>
                <c:pt idx="80">
                  <c:v>10540.61</c:v>
                </c:pt>
                <c:pt idx="81">
                  <c:v>13023.77</c:v>
                </c:pt>
                <c:pt idx="82">
                  <c:v>14482.220000000001</c:v>
                </c:pt>
                <c:pt idx="83">
                  <c:v>14438.94</c:v>
                </c:pt>
                <c:pt idx="84">
                  <c:v>14909.95</c:v>
                </c:pt>
                <c:pt idx="85">
                  <c:v>16113.83</c:v>
                </c:pt>
                <c:pt idx="86">
                  <c:v>18004.350000000002</c:v>
                </c:pt>
                <c:pt idx="87">
                  <c:v>22949.75</c:v>
                </c:pt>
                <c:pt idx="88">
                  <c:v>24515.969999999998</c:v>
                </c:pt>
                <c:pt idx="89">
                  <c:v>26733.67</c:v>
                </c:pt>
                <c:pt idx="90">
                  <c:v>30022.12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63E-4E9F-8352-B79397496209}"/>
            </c:ext>
          </c:extLst>
        </c:ser>
        <c:ser>
          <c:idx val="13"/>
          <c:order val="11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sites'!$A$304:$A$400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sites'!$M$304:$M$400</c:f>
              <c:numCache>
                <c:formatCode>_-* #\ ##0\ [$€-40C]_-;\-* #\ ##0\ [$€-40C]_-;_-* "-"??\ [$€-40C]_-;_-@_-</c:formatCode>
                <c:ptCount val="97"/>
                <c:pt idx="0">
                  <c:v>3236.59</c:v>
                </c:pt>
                <c:pt idx="1">
                  <c:v>942.57999999999981</c:v>
                </c:pt>
                <c:pt idx="2">
                  <c:v>847.36</c:v>
                </c:pt>
                <c:pt idx="3">
                  <c:v>1313.7399999999998</c:v>
                </c:pt>
                <c:pt idx="4">
                  <c:v>1773.5499999999997</c:v>
                </c:pt>
                <c:pt idx="5">
                  <c:v>2213.29</c:v>
                </c:pt>
                <c:pt idx="6">
                  <c:v>2392.87</c:v>
                </c:pt>
                <c:pt idx="7">
                  <c:v>1497.59</c:v>
                </c:pt>
                <c:pt idx="8">
                  <c:v>1451.9000000000003</c:v>
                </c:pt>
                <c:pt idx="9">
                  <c:v>1486.7400000000002</c:v>
                </c:pt>
                <c:pt idx="10">
                  <c:v>1775.48</c:v>
                </c:pt>
                <c:pt idx="11">
                  <c:v>1818.0499999999997</c:v>
                </c:pt>
                <c:pt idx="12">
                  <c:v>2063.5499999999997</c:v>
                </c:pt>
                <c:pt idx="13">
                  <c:v>2303.6799999999998</c:v>
                </c:pt>
                <c:pt idx="14">
                  <c:v>2685.0699999999997</c:v>
                </c:pt>
                <c:pt idx="15">
                  <c:v>2695.5099999999998</c:v>
                </c:pt>
                <c:pt idx="16">
                  <c:v>2395.4800000000005</c:v>
                </c:pt>
                <c:pt idx="17">
                  <c:v>2276.1400000000003</c:v>
                </c:pt>
                <c:pt idx="18">
                  <c:v>2333.1000000000004</c:v>
                </c:pt>
                <c:pt idx="19">
                  <c:v>3253.39</c:v>
                </c:pt>
                <c:pt idx="20">
                  <c:v>3344.83</c:v>
                </c:pt>
                <c:pt idx="21">
                  <c:v>3482.19</c:v>
                </c:pt>
                <c:pt idx="22">
                  <c:v>3204.9100000000003</c:v>
                </c:pt>
                <c:pt idx="23">
                  <c:v>2994.34</c:v>
                </c:pt>
                <c:pt idx="24">
                  <c:v>3016.82</c:v>
                </c:pt>
                <c:pt idx="25">
                  <c:v>2819.29</c:v>
                </c:pt>
                <c:pt idx="26">
                  <c:v>2762.16</c:v>
                </c:pt>
                <c:pt idx="27">
                  <c:v>2140.0500000000002</c:v>
                </c:pt>
                <c:pt idx="28">
                  <c:v>1987.8899999999999</c:v>
                </c:pt>
                <c:pt idx="29">
                  <c:v>2903.41</c:v>
                </c:pt>
                <c:pt idx="30">
                  <c:v>3292.8499999999995</c:v>
                </c:pt>
                <c:pt idx="31">
                  <c:v>4009.9599999999996</c:v>
                </c:pt>
                <c:pt idx="32">
                  <c:v>4646.21</c:v>
                </c:pt>
                <c:pt idx="33">
                  <c:v>5700.92</c:v>
                </c:pt>
                <c:pt idx="34">
                  <c:v>7481.0599999999995</c:v>
                </c:pt>
                <c:pt idx="35">
                  <c:v>8893.84</c:v>
                </c:pt>
                <c:pt idx="36">
                  <c:v>10140.65</c:v>
                </c:pt>
                <c:pt idx="37">
                  <c:v>10597.730000000001</c:v>
                </c:pt>
                <c:pt idx="38">
                  <c:v>10674.890000000001</c:v>
                </c:pt>
                <c:pt idx="39">
                  <c:v>11269</c:v>
                </c:pt>
                <c:pt idx="40">
                  <c:v>11469.26</c:v>
                </c:pt>
                <c:pt idx="41">
                  <c:v>10467.94</c:v>
                </c:pt>
                <c:pt idx="42">
                  <c:v>10128.200000000001</c:v>
                </c:pt>
                <c:pt idx="43">
                  <c:v>9636.26</c:v>
                </c:pt>
                <c:pt idx="44">
                  <c:v>9204.4399999999987</c:v>
                </c:pt>
                <c:pt idx="45">
                  <c:v>8155.4099999999989</c:v>
                </c:pt>
                <c:pt idx="46">
                  <c:v>6364.579999999999</c:v>
                </c:pt>
                <c:pt idx="47">
                  <c:v>4750.4800000000005</c:v>
                </c:pt>
                <c:pt idx="48">
                  <c:v>3239.75</c:v>
                </c:pt>
                <c:pt idx="49">
                  <c:v>2791.55</c:v>
                </c:pt>
                <c:pt idx="50">
                  <c:v>2535.65</c:v>
                </c:pt>
                <c:pt idx="51">
                  <c:v>2440.36</c:v>
                </c:pt>
                <c:pt idx="52">
                  <c:v>2632.11</c:v>
                </c:pt>
                <c:pt idx="53">
                  <c:v>2803.86</c:v>
                </c:pt>
                <c:pt idx="54">
                  <c:v>3108.11</c:v>
                </c:pt>
                <c:pt idx="55">
                  <c:v>3164.86</c:v>
                </c:pt>
                <c:pt idx="56">
                  <c:v>3146.11</c:v>
                </c:pt>
                <c:pt idx="57">
                  <c:v>3117.23</c:v>
                </c:pt>
                <c:pt idx="58">
                  <c:v>3197.28</c:v>
                </c:pt>
                <c:pt idx="59">
                  <c:v>3303.53</c:v>
                </c:pt>
                <c:pt idx="60">
                  <c:v>3471.8300000000004</c:v>
                </c:pt>
                <c:pt idx="61">
                  <c:v>3654.5800000000004</c:v>
                </c:pt>
                <c:pt idx="62">
                  <c:v>3567.3300000000004</c:v>
                </c:pt>
                <c:pt idx="63">
                  <c:v>3557.4700000000003</c:v>
                </c:pt>
                <c:pt idx="64">
                  <c:v>3184.7200000000003</c:v>
                </c:pt>
                <c:pt idx="65">
                  <c:v>2707.05</c:v>
                </c:pt>
                <c:pt idx="66">
                  <c:v>2142.63</c:v>
                </c:pt>
                <c:pt idx="67">
                  <c:v>1812.7099999999998</c:v>
                </c:pt>
                <c:pt idx="68">
                  <c:v>1576.9599999999998</c:v>
                </c:pt>
                <c:pt idx="69">
                  <c:v>2056.2399999999998</c:v>
                </c:pt>
                <c:pt idx="70">
                  <c:v>2253.08</c:v>
                </c:pt>
                <c:pt idx="71">
                  <c:v>2554.85</c:v>
                </c:pt>
                <c:pt idx="72">
                  <c:v>2548.2399999999998</c:v>
                </c:pt>
                <c:pt idx="73">
                  <c:v>2134.0499999999997</c:v>
                </c:pt>
                <c:pt idx="74">
                  <c:v>2117.2999999999997</c:v>
                </c:pt>
                <c:pt idx="75">
                  <c:v>1763.2999999999997</c:v>
                </c:pt>
                <c:pt idx="76">
                  <c:v>1686.5499999999997</c:v>
                </c:pt>
                <c:pt idx="77">
                  <c:v>1728.2199999999998</c:v>
                </c:pt>
                <c:pt idx="78">
                  <c:v>1746.1399999999999</c:v>
                </c:pt>
                <c:pt idx="79">
                  <c:v>1750.85</c:v>
                </c:pt>
                <c:pt idx="80">
                  <c:v>1718.85</c:v>
                </c:pt>
                <c:pt idx="81">
                  <c:v>3757.8499999999995</c:v>
                </c:pt>
                <c:pt idx="82">
                  <c:v>4542.8099999999995</c:v>
                </c:pt>
                <c:pt idx="83">
                  <c:v>4506.6899999999987</c:v>
                </c:pt>
                <c:pt idx="84">
                  <c:v>5270.3499999999995</c:v>
                </c:pt>
                <c:pt idx="85">
                  <c:v>6590.34</c:v>
                </c:pt>
                <c:pt idx="86">
                  <c:v>7887.06</c:v>
                </c:pt>
                <c:pt idx="87">
                  <c:v>9229.4600000000009</c:v>
                </c:pt>
                <c:pt idx="88">
                  <c:v>10481.060000000001</c:v>
                </c:pt>
                <c:pt idx="89">
                  <c:v>12273.160000000002</c:v>
                </c:pt>
                <c:pt idx="90">
                  <c:v>16286.310000000001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C8-4B35-BA4B-9A58DB3DA2B0}"/>
            </c:ext>
          </c:extLst>
        </c:ser>
        <c:ser>
          <c:idx val="14"/>
          <c:order val="12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sites'!$A$304:$A$400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sites'!$N$304:$N$400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372.93</c:v>
                </c:pt>
                <c:pt idx="14">
                  <c:v>372.93</c:v>
                </c:pt>
                <c:pt idx="15">
                  <c:v>372.93</c:v>
                </c:pt>
                <c:pt idx="16">
                  <c:v>746.79</c:v>
                </c:pt>
                <c:pt idx="17">
                  <c:v>746.79</c:v>
                </c:pt>
                <c:pt idx="18">
                  <c:v>746.79</c:v>
                </c:pt>
                <c:pt idx="19">
                  <c:v>746.79</c:v>
                </c:pt>
                <c:pt idx="20">
                  <c:v>746.79</c:v>
                </c:pt>
                <c:pt idx="21">
                  <c:v>746.79</c:v>
                </c:pt>
                <c:pt idx="22">
                  <c:v>746.79</c:v>
                </c:pt>
                <c:pt idx="23">
                  <c:v>746.79</c:v>
                </c:pt>
                <c:pt idx="24">
                  <c:v>746.79</c:v>
                </c:pt>
                <c:pt idx="25">
                  <c:v>373.86</c:v>
                </c:pt>
                <c:pt idx="26">
                  <c:v>373.86</c:v>
                </c:pt>
                <c:pt idx="27">
                  <c:v>373.86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688</c:v>
                </c:pt>
                <c:pt idx="36">
                  <c:v>1310</c:v>
                </c:pt>
                <c:pt idx="37">
                  <c:v>1310</c:v>
                </c:pt>
                <c:pt idx="38">
                  <c:v>2490</c:v>
                </c:pt>
                <c:pt idx="39">
                  <c:v>2490</c:v>
                </c:pt>
                <c:pt idx="40">
                  <c:v>2626.88</c:v>
                </c:pt>
                <c:pt idx="41">
                  <c:v>2763.76</c:v>
                </c:pt>
                <c:pt idx="42">
                  <c:v>2945.6400000000003</c:v>
                </c:pt>
                <c:pt idx="43">
                  <c:v>3082.5200000000004</c:v>
                </c:pt>
                <c:pt idx="44">
                  <c:v>4241.2000000000007</c:v>
                </c:pt>
                <c:pt idx="45">
                  <c:v>4378.0800000000008</c:v>
                </c:pt>
                <c:pt idx="46">
                  <c:v>4559.9600000000009</c:v>
                </c:pt>
                <c:pt idx="47">
                  <c:v>4008.8400000000011</c:v>
                </c:pt>
                <c:pt idx="48">
                  <c:v>4078.7200000000012</c:v>
                </c:pt>
                <c:pt idx="49">
                  <c:v>4215.6000000000013</c:v>
                </c:pt>
                <c:pt idx="50">
                  <c:v>3172.4800000000005</c:v>
                </c:pt>
                <c:pt idx="51">
                  <c:v>3309.3600000000006</c:v>
                </c:pt>
                <c:pt idx="52">
                  <c:v>3172.4800000000009</c:v>
                </c:pt>
                <c:pt idx="53">
                  <c:v>3035.6000000000008</c:v>
                </c:pt>
                <c:pt idx="54">
                  <c:v>3423.6200000000008</c:v>
                </c:pt>
                <c:pt idx="55">
                  <c:v>3286.7400000000007</c:v>
                </c:pt>
                <c:pt idx="56">
                  <c:v>2128.0600000000004</c:v>
                </c:pt>
                <c:pt idx="57">
                  <c:v>1991.1800000000003</c:v>
                </c:pt>
                <c:pt idx="58">
                  <c:v>1809.3000000000002</c:v>
                </c:pt>
                <c:pt idx="59">
                  <c:v>1672.42</c:v>
                </c:pt>
                <c:pt idx="60">
                  <c:v>980.54</c:v>
                </c:pt>
                <c:pt idx="61">
                  <c:v>843.66</c:v>
                </c:pt>
                <c:pt idx="62">
                  <c:v>706.78</c:v>
                </c:pt>
                <c:pt idx="63">
                  <c:v>569.9</c:v>
                </c:pt>
                <c:pt idx="64">
                  <c:v>569.9</c:v>
                </c:pt>
                <c:pt idx="65">
                  <c:v>569.9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45</c:v>
                </c:pt>
                <c:pt idx="81">
                  <c:v>45</c:v>
                </c:pt>
                <c:pt idx="82">
                  <c:v>45</c:v>
                </c:pt>
                <c:pt idx="83">
                  <c:v>45</c:v>
                </c:pt>
                <c:pt idx="84">
                  <c:v>45</c:v>
                </c:pt>
                <c:pt idx="85">
                  <c:v>45</c:v>
                </c:pt>
                <c:pt idx="86">
                  <c:v>45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37-4170-8FAC-AB65D39871A9}"/>
            </c:ext>
          </c:extLst>
        </c:ser>
        <c:ser>
          <c:idx val="0"/>
          <c:order val="13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sites'!$A$304:$A$400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sites'!$O$304:$O$400</c:f>
              <c:numCache>
                <c:formatCode>_-* #\ ##0\ [$€-40C]_-;\-* #\ ##0\ [$€-40C]_-;_-* "-"??\ [$€-40C]_-;_-@_-</c:formatCode>
                <c:ptCount val="97"/>
                <c:pt idx="0">
                  <c:v>36460.600000000006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1158.1500000000001</c:v>
                </c:pt>
                <c:pt idx="51">
                  <c:v>3469.58</c:v>
                </c:pt>
                <c:pt idx="52">
                  <c:v>3652.88</c:v>
                </c:pt>
                <c:pt idx="53">
                  <c:v>3652.88</c:v>
                </c:pt>
                <c:pt idx="54">
                  <c:v>3652.88</c:v>
                </c:pt>
                <c:pt idx="55">
                  <c:v>3652.88</c:v>
                </c:pt>
                <c:pt idx="56">
                  <c:v>3654.63</c:v>
                </c:pt>
                <c:pt idx="57">
                  <c:v>3654.63</c:v>
                </c:pt>
                <c:pt idx="58">
                  <c:v>3656.38</c:v>
                </c:pt>
                <c:pt idx="59">
                  <c:v>3656.38</c:v>
                </c:pt>
                <c:pt idx="60">
                  <c:v>3656.38</c:v>
                </c:pt>
                <c:pt idx="61">
                  <c:v>3656.38</c:v>
                </c:pt>
                <c:pt idx="62">
                  <c:v>2498.23</c:v>
                </c:pt>
                <c:pt idx="63">
                  <c:v>186.8</c:v>
                </c:pt>
                <c:pt idx="64">
                  <c:v>3.5</c:v>
                </c:pt>
                <c:pt idx="65">
                  <c:v>3.5</c:v>
                </c:pt>
                <c:pt idx="66">
                  <c:v>3.5</c:v>
                </c:pt>
                <c:pt idx="67">
                  <c:v>3.5</c:v>
                </c:pt>
                <c:pt idx="68">
                  <c:v>1.75</c:v>
                </c:pt>
                <c:pt idx="69">
                  <c:v>1.75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B9-4B66-9731-B9D09B28B244}"/>
            </c:ext>
          </c:extLst>
        </c:ser>
        <c:ser>
          <c:idx val="11"/>
          <c:order val="14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sites'!$A$304:$A$400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sites'!$P$304:$P$400</c:f>
              <c:numCache>
                <c:formatCode>_-* #\ ##0\ [$€-40C]_-;\-* #\ ##0\ [$€-40C]_-;_-* "-"??\ [$€-40C]_-;_-@_-</c:formatCode>
                <c:ptCount val="97"/>
                <c:pt idx="0">
                  <c:v>3002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181.53</c:v>
                </c:pt>
                <c:pt idx="38">
                  <c:v>1582.32</c:v>
                </c:pt>
                <c:pt idx="39">
                  <c:v>2267.29</c:v>
                </c:pt>
                <c:pt idx="40">
                  <c:v>3541.26</c:v>
                </c:pt>
                <c:pt idx="41">
                  <c:v>3685.03</c:v>
                </c:pt>
                <c:pt idx="42">
                  <c:v>4978.5200000000004</c:v>
                </c:pt>
                <c:pt idx="43">
                  <c:v>6292.35</c:v>
                </c:pt>
                <c:pt idx="44">
                  <c:v>6317.81</c:v>
                </c:pt>
                <c:pt idx="45">
                  <c:v>6588.26</c:v>
                </c:pt>
                <c:pt idx="46">
                  <c:v>7157.25</c:v>
                </c:pt>
                <c:pt idx="47">
                  <c:v>7280.92</c:v>
                </c:pt>
                <c:pt idx="48">
                  <c:v>9414.25</c:v>
                </c:pt>
                <c:pt idx="49">
                  <c:v>9394.6200000000008</c:v>
                </c:pt>
                <c:pt idx="50">
                  <c:v>8174.0299999999988</c:v>
                </c:pt>
                <c:pt idx="51">
                  <c:v>7994.4599999999991</c:v>
                </c:pt>
                <c:pt idx="52">
                  <c:v>7803.9699999999993</c:v>
                </c:pt>
                <c:pt idx="53">
                  <c:v>8411.8499999999985</c:v>
                </c:pt>
                <c:pt idx="54">
                  <c:v>8445.0099999999984</c:v>
                </c:pt>
                <c:pt idx="55">
                  <c:v>7434.5099999999984</c:v>
                </c:pt>
                <c:pt idx="56">
                  <c:v>7449.6999999999989</c:v>
                </c:pt>
                <c:pt idx="57">
                  <c:v>7532.0299999999979</c:v>
                </c:pt>
                <c:pt idx="58">
                  <c:v>7295.989999999998</c:v>
                </c:pt>
                <c:pt idx="59">
                  <c:v>7489.54</c:v>
                </c:pt>
                <c:pt idx="60">
                  <c:v>5655.7</c:v>
                </c:pt>
                <c:pt idx="61">
                  <c:v>6187.7899999999991</c:v>
                </c:pt>
                <c:pt idx="62">
                  <c:v>6451.24</c:v>
                </c:pt>
                <c:pt idx="63">
                  <c:v>6230.8399999999992</c:v>
                </c:pt>
                <c:pt idx="64">
                  <c:v>5147.3599999999997</c:v>
                </c:pt>
                <c:pt idx="65">
                  <c:v>4624.4599999999991</c:v>
                </c:pt>
                <c:pt idx="66">
                  <c:v>3297.81</c:v>
                </c:pt>
                <c:pt idx="67">
                  <c:v>2994.48</c:v>
                </c:pt>
                <c:pt idx="68">
                  <c:v>2953.83</c:v>
                </c:pt>
                <c:pt idx="69">
                  <c:v>2743.55</c:v>
                </c:pt>
                <c:pt idx="70">
                  <c:v>2470.6</c:v>
                </c:pt>
                <c:pt idx="71">
                  <c:v>2213.38</c:v>
                </c:pt>
                <c:pt idx="72">
                  <c:v>2133.89</c:v>
                </c:pt>
                <c:pt idx="73">
                  <c:v>2169.87</c:v>
                </c:pt>
                <c:pt idx="74">
                  <c:v>2082.88</c:v>
                </c:pt>
                <c:pt idx="75">
                  <c:v>2023.19</c:v>
                </c:pt>
                <c:pt idx="76">
                  <c:v>2378.1800000000003</c:v>
                </c:pt>
                <c:pt idx="77">
                  <c:v>2862.34</c:v>
                </c:pt>
                <c:pt idx="78">
                  <c:v>3075.6800000000003</c:v>
                </c:pt>
                <c:pt idx="79">
                  <c:v>3302.34</c:v>
                </c:pt>
                <c:pt idx="80">
                  <c:v>3409</c:v>
                </c:pt>
                <c:pt idx="81">
                  <c:v>3406.91</c:v>
                </c:pt>
                <c:pt idx="82">
                  <c:v>3496.8999999999996</c:v>
                </c:pt>
                <c:pt idx="83">
                  <c:v>3685.2299999999996</c:v>
                </c:pt>
                <c:pt idx="84">
                  <c:v>5175.2199999999993</c:v>
                </c:pt>
                <c:pt idx="85">
                  <c:v>4517.079999999999</c:v>
                </c:pt>
                <c:pt idx="86">
                  <c:v>4214.5</c:v>
                </c:pt>
                <c:pt idx="87">
                  <c:v>4084.1900000000005</c:v>
                </c:pt>
                <c:pt idx="88">
                  <c:v>3996.1</c:v>
                </c:pt>
                <c:pt idx="89">
                  <c:v>3339.19</c:v>
                </c:pt>
                <c:pt idx="90">
                  <c:v>3393.18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4C-4153-9304-C4A7C22D05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598368"/>
        <c:axId val="520597976"/>
        <c:extLst/>
      </c:lineChart>
      <c:dateAx>
        <c:axId val="520598368"/>
        <c:scaling>
          <c:orientation val="minMax"/>
        </c:scaling>
        <c:delete val="0"/>
        <c:axPos val="b"/>
        <c:numFmt formatCode="mmm\-aa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0597976"/>
        <c:crosses val="autoZero"/>
        <c:auto val="1"/>
        <c:lblOffset val="100"/>
        <c:baseTimeUnit val="months"/>
      </c:dateAx>
      <c:valAx>
        <c:axId val="520597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,0\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059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LE MESNIL SAINT DENIS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254153437645737E-2"/>
          <c:y val="0.11977400193396878"/>
          <c:w val="0.89406456301678827"/>
          <c:h val="0.71599537302344407"/>
        </c:manualLayout>
      </c:layout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sites'!$A$404:$A$500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sites'!$B$404:$B$500</c:f>
              <c:numCache>
                <c:formatCode>Standard</c:formatCode>
                <c:ptCount val="97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1B-4A8C-A0F5-D0A7DAE51EB3}"/>
            </c:ext>
          </c:extLst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sites'!$A$404:$A$500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sites'!$C$404:$C$500</c:f>
              <c:numCache>
                <c:formatCode>_-* #\ ##0\ [$€-40C]_-;\-* #\ ##0\ [$€-40C]_-;_-* "-"??\ [$€-40C]_-;_-@_-</c:formatCode>
                <c:ptCount val="97"/>
                <c:pt idx="0">
                  <c:v>434496.5</c:v>
                </c:pt>
                <c:pt idx="1">
                  <c:v>454291.52000000008</c:v>
                </c:pt>
                <c:pt idx="2">
                  <c:v>486627.23000000004</c:v>
                </c:pt>
                <c:pt idx="3">
                  <c:v>497945.91</c:v>
                </c:pt>
                <c:pt idx="4">
                  <c:v>507682.20999999996</c:v>
                </c:pt>
                <c:pt idx="5">
                  <c:v>517306.1</c:v>
                </c:pt>
                <c:pt idx="6">
                  <c:v>545435.94000000006</c:v>
                </c:pt>
                <c:pt idx="7">
                  <c:v>554859.39000000013</c:v>
                </c:pt>
                <c:pt idx="8">
                  <c:v>574984.22000000009</c:v>
                </c:pt>
                <c:pt idx="9">
                  <c:v>612974.23999999987</c:v>
                </c:pt>
                <c:pt idx="10">
                  <c:v>600634.78999999992</c:v>
                </c:pt>
                <c:pt idx="11">
                  <c:v>630769.16999999993</c:v>
                </c:pt>
                <c:pt idx="12">
                  <c:v>635530.78999999992</c:v>
                </c:pt>
                <c:pt idx="13">
                  <c:v>631766.67999999993</c:v>
                </c:pt>
                <c:pt idx="14">
                  <c:v>631925.52999999991</c:v>
                </c:pt>
                <c:pt idx="15">
                  <c:v>645360.93999999994</c:v>
                </c:pt>
                <c:pt idx="16">
                  <c:v>654599.52000000014</c:v>
                </c:pt>
                <c:pt idx="17">
                  <c:v>651334.36</c:v>
                </c:pt>
                <c:pt idx="18">
                  <c:v>631420.73999999987</c:v>
                </c:pt>
                <c:pt idx="19">
                  <c:v>641710.74000000011</c:v>
                </c:pt>
                <c:pt idx="20">
                  <c:v>713753.47000000009</c:v>
                </c:pt>
                <c:pt idx="21">
                  <c:v>729351.9600000002</c:v>
                </c:pt>
                <c:pt idx="22">
                  <c:v>749541.92</c:v>
                </c:pt>
                <c:pt idx="23">
                  <c:v>816340.02000000014</c:v>
                </c:pt>
                <c:pt idx="24">
                  <c:v>830850.69000000018</c:v>
                </c:pt>
                <c:pt idx="25">
                  <c:v>829249.91000000015</c:v>
                </c:pt>
                <c:pt idx="26">
                  <c:v>858663.8</c:v>
                </c:pt>
                <c:pt idx="27">
                  <c:v>835774.93</c:v>
                </c:pt>
                <c:pt idx="28">
                  <c:v>830904.96</c:v>
                </c:pt>
                <c:pt idx="29">
                  <c:v>820277.72000000009</c:v>
                </c:pt>
                <c:pt idx="30">
                  <c:v>823049.44999999984</c:v>
                </c:pt>
                <c:pt idx="31">
                  <c:v>812098.59000000008</c:v>
                </c:pt>
                <c:pt idx="32">
                  <c:v>745639.34</c:v>
                </c:pt>
                <c:pt idx="33">
                  <c:v>737079.43</c:v>
                </c:pt>
                <c:pt idx="34">
                  <c:v>761541.32000000007</c:v>
                </c:pt>
                <c:pt idx="35">
                  <c:v>819748.34000000008</c:v>
                </c:pt>
                <c:pt idx="36">
                  <c:v>805144.61</c:v>
                </c:pt>
                <c:pt idx="37">
                  <c:v>807342.77</c:v>
                </c:pt>
                <c:pt idx="38">
                  <c:v>775768.01</c:v>
                </c:pt>
                <c:pt idx="39">
                  <c:v>839300.21</c:v>
                </c:pt>
                <c:pt idx="40">
                  <c:v>841549.58</c:v>
                </c:pt>
                <c:pt idx="41">
                  <c:v>843663.75999999989</c:v>
                </c:pt>
                <c:pt idx="42">
                  <c:v>850756.94000000006</c:v>
                </c:pt>
                <c:pt idx="43">
                  <c:v>870089.13000000012</c:v>
                </c:pt>
                <c:pt idx="44">
                  <c:v>869220.05</c:v>
                </c:pt>
                <c:pt idx="45">
                  <c:v>852951.98</c:v>
                </c:pt>
                <c:pt idx="46">
                  <c:v>849158.2</c:v>
                </c:pt>
                <c:pt idx="47">
                  <c:v>750876.4800000001</c:v>
                </c:pt>
                <c:pt idx="48">
                  <c:v>777346.89000000013</c:v>
                </c:pt>
                <c:pt idx="49">
                  <c:v>788482.79999999993</c:v>
                </c:pt>
                <c:pt idx="50">
                  <c:v>813017.93</c:v>
                </c:pt>
                <c:pt idx="51">
                  <c:v>768539.85000000009</c:v>
                </c:pt>
                <c:pt idx="52">
                  <c:v>742632.05999999994</c:v>
                </c:pt>
                <c:pt idx="53">
                  <c:v>744621.33000000007</c:v>
                </c:pt>
                <c:pt idx="54">
                  <c:v>752161.51000000013</c:v>
                </c:pt>
                <c:pt idx="55">
                  <c:v>734528.97</c:v>
                </c:pt>
                <c:pt idx="56">
                  <c:v>742224.89999999991</c:v>
                </c:pt>
                <c:pt idx="57">
                  <c:v>765145.73</c:v>
                </c:pt>
                <c:pt idx="58">
                  <c:v>765887.38</c:v>
                </c:pt>
                <c:pt idx="59">
                  <c:v>757215.36000000022</c:v>
                </c:pt>
                <c:pt idx="60">
                  <c:v>733958.12999999989</c:v>
                </c:pt>
                <c:pt idx="61">
                  <c:v>741128.03999999992</c:v>
                </c:pt>
                <c:pt idx="62">
                  <c:v>703204.68</c:v>
                </c:pt>
                <c:pt idx="63">
                  <c:v>673564.25000000012</c:v>
                </c:pt>
                <c:pt idx="64">
                  <c:v>667088.56999999983</c:v>
                </c:pt>
                <c:pt idx="65">
                  <c:v>651641.54999999993</c:v>
                </c:pt>
                <c:pt idx="66">
                  <c:v>612884.31000000017</c:v>
                </c:pt>
                <c:pt idx="67">
                  <c:v>587279.79999999993</c:v>
                </c:pt>
                <c:pt idx="68">
                  <c:v>570055.25</c:v>
                </c:pt>
                <c:pt idx="69">
                  <c:v>552999.99000000011</c:v>
                </c:pt>
                <c:pt idx="70">
                  <c:v>510625.60999999993</c:v>
                </c:pt>
                <c:pt idx="71">
                  <c:v>500285.18999999994</c:v>
                </c:pt>
                <c:pt idx="72">
                  <c:v>509535.24000000005</c:v>
                </c:pt>
                <c:pt idx="73">
                  <c:v>502626.73</c:v>
                </c:pt>
                <c:pt idx="74">
                  <c:v>600714.13000000012</c:v>
                </c:pt>
                <c:pt idx="75">
                  <c:v>617542.01</c:v>
                </c:pt>
                <c:pt idx="76">
                  <c:v>633425.37</c:v>
                </c:pt>
                <c:pt idx="77">
                  <c:v>676512.52999999991</c:v>
                </c:pt>
                <c:pt idx="78">
                  <c:v>699696.86999999988</c:v>
                </c:pt>
                <c:pt idx="79">
                  <c:v>743143.72</c:v>
                </c:pt>
                <c:pt idx="80">
                  <c:v>728082.07</c:v>
                </c:pt>
                <c:pt idx="81">
                  <c:v>738934.79999999993</c:v>
                </c:pt>
                <c:pt idx="82">
                  <c:v>747447.51999999979</c:v>
                </c:pt>
                <c:pt idx="83">
                  <c:v>716843.82999999984</c:v>
                </c:pt>
                <c:pt idx="84">
                  <c:v>713728.46999999986</c:v>
                </c:pt>
                <c:pt idx="85">
                  <c:v>690501.34000000008</c:v>
                </c:pt>
                <c:pt idx="86">
                  <c:v>614746.8899999999</c:v>
                </c:pt>
                <c:pt idx="87">
                  <c:v>577209.8899999999</c:v>
                </c:pt>
                <c:pt idx="88">
                  <c:v>574694.56000000006</c:v>
                </c:pt>
                <c:pt idx="89">
                  <c:v>567496.79</c:v>
                </c:pt>
                <c:pt idx="90">
                  <c:v>534552.92000000004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1B-4A8C-A0F5-D0A7DAE51EB3}"/>
            </c:ext>
          </c:extLst>
        </c:ser>
        <c:ser>
          <c:idx val="3"/>
          <c:order val="2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sites'!$A$404:$A$500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sites'!$D$404:$D$500</c:f>
              <c:numCache>
                <c:formatCode>_-* #\ ##0\ [$€-40C]_-;\-* #\ ##0\ [$€-40C]_-;_-* "-"??\ [$€-40C]_-;_-@_-</c:formatCode>
                <c:ptCount val="97"/>
                <c:pt idx="0">
                  <c:v>158804.19</c:v>
                </c:pt>
                <c:pt idx="1">
                  <c:v>158363.72</c:v>
                </c:pt>
                <c:pt idx="2">
                  <c:v>165875.77000000002</c:v>
                </c:pt>
                <c:pt idx="3">
                  <c:v>180520.78999999998</c:v>
                </c:pt>
                <c:pt idx="4">
                  <c:v>181119.31999999998</c:v>
                </c:pt>
                <c:pt idx="5">
                  <c:v>178971.77000000002</c:v>
                </c:pt>
                <c:pt idx="6">
                  <c:v>178793.81000000003</c:v>
                </c:pt>
                <c:pt idx="7">
                  <c:v>178326.77000000002</c:v>
                </c:pt>
                <c:pt idx="8">
                  <c:v>186368.28000000003</c:v>
                </c:pt>
                <c:pt idx="9">
                  <c:v>197454.37</c:v>
                </c:pt>
                <c:pt idx="10">
                  <c:v>201893.6</c:v>
                </c:pt>
                <c:pt idx="11">
                  <c:v>213515.06</c:v>
                </c:pt>
                <c:pt idx="12">
                  <c:v>218185.18999999997</c:v>
                </c:pt>
                <c:pt idx="13">
                  <c:v>229380.56</c:v>
                </c:pt>
                <c:pt idx="14">
                  <c:v>236425.18999999994</c:v>
                </c:pt>
                <c:pt idx="15">
                  <c:v>238766.98999999996</c:v>
                </c:pt>
                <c:pt idx="16">
                  <c:v>252175.08999999994</c:v>
                </c:pt>
                <c:pt idx="17">
                  <c:v>261708.53</c:v>
                </c:pt>
                <c:pt idx="18">
                  <c:v>268217.27</c:v>
                </c:pt>
                <c:pt idx="19">
                  <c:v>266085.47000000003</c:v>
                </c:pt>
                <c:pt idx="20">
                  <c:v>271488.02</c:v>
                </c:pt>
                <c:pt idx="21">
                  <c:v>291587.57000000007</c:v>
                </c:pt>
                <c:pt idx="22">
                  <c:v>303074.47000000009</c:v>
                </c:pt>
                <c:pt idx="23">
                  <c:v>357101.39000000007</c:v>
                </c:pt>
                <c:pt idx="24">
                  <c:v>368742.72000000009</c:v>
                </c:pt>
                <c:pt idx="25">
                  <c:v>372647.38000000006</c:v>
                </c:pt>
                <c:pt idx="26">
                  <c:v>365326.10000000003</c:v>
                </c:pt>
                <c:pt idx="27">
                  <c:v>358244.62000000005</c:v>
                </c:pt>
                <c:pt idx="28">
                  <c:v>349058.63000000006</c:v>
                </c:pt>
                <c:pt idx="29">
                  <c:v>340349.53</c:v>
                </c:pt>
                <c:pt idx="30">
                  <c:v>328264.79000000004</c:v>
                </c:pt>
                <c:pt idx="31">
                  <c:v>337267.06999999995</c:v>
                </c:pt>
                <c:pt idx="32">
                  <c:v>335786.79</c:v>
                </c:pt>
                <c:pt idx="33">
                  <c:v>322938.33999999997</c:v>
                </c:pt>
                <c:pt idx="34">
                  <c:v>323248.94</c:v>
                </c:pt>
                <c:pt idx="35">
                  <c:v>265305.5</c:v>
                </c:pt>
                <c:pt idx="36">
                  <c:v>261850.41999999998</c:v>
                </c:pt>
                <c:pt idx="37">
                  <c:v>256490.56</c:v>
                </c:pt>
                <c:pt idx="38">
                  <c:v>268191.46999999997</c:v>
                </c:pt>
                <c:pt idx="39">
                  <c:v>263686.25</c:v>
                </c:pt>
                <c:pt idx="40">
                  <c:v>271487.52</c:v>
                </c:pt>
                <c:pt idx="41">
                  <c:v>270497.02999999997</c:v>
                </c:pt>
                <c:pt idx="42">
                  <c:v>276696.06</c:v>
                </c:pt>
                <c:pt idx="43">
                  <c:v>279960.67000000004</c:v>
                </c:pt>
                <c:pt idx="44">
                  <c:v>276070.50000000006</c:v>
                </c:pt>
                <c:pt idx="45">
                  <c:v>276558.39</c:v>
                </c:pt>
                <c:pt idx="46">
                  <c:v>265802.87</c:v>
                </c:pt>
                <c:pt idx="47">
                  <c:v>280023.39999999997</c:v>
                </c:pt>
                <c:pt idx="48">
                  <c:v>276222.08999999997</c:v>
                </c:pt>
                <c:pt idx="49">
                  <c:v>280602.11</c:v>
                </c:pt>
                <c:pt idx="50">
                  <c:v>310586.19</c:v>
                </c:pt>
                <c:pt idx="51">
                  <c:v>320238.83</c:v>
                </c:pt>
                <c:pt idx="52">
                  <c:v>308199.87</c:v>
                </c:pt>
                <c:pt idx="53">
                  <c:v>305698.46000000002</c:v>
                </c:pt>
                <c:pt idx="54">
                  <c:v>321835.05000000005</c:v>
                </c:pt>
                <c:pt idx="55">
                  <c:v>320819.3</c:v>
                </c:pt>
                <c:pt idx="56">
                  <c:v>321217.98999999993</c:v>
                </c:pt>
                <c:pt idx="57">
                  <c:v>323773.7</c:v>
                </c:pt>
                <c:pt idx="58">
                  <c:v>339057</c:v>
                </c:pt>
                <c:pt idx="59">
                  <c:v>341933.59</c:v>
                </c:pt>
                <c:pt idx="60">
                  <c:v>347855.76</c:v>
                </c:pt>
                <c:pt idx="61">
                  <c:v>344953.12</c:v>
                </c:pt>
                <c:pt idx="62">
                  <c:v>309036.42</c:v>
                </c:pt>
                <c:pt idx="63">
                  <c:v>323282.5</c:v>
                </c:pt>
                <c:pt idx="64">
                  <c:v>331749.82999999996</c:v>
                </c:pt>
                <c:pt idx="65">
                  <c:v>332718.77999999997</c:v>
                </c:pt>
                <c:pt idx="66">
                  <c:v>332181.79000000004</c:v>
                </c:pt>
                <c:pt idx="67">
                  <c:v>323475.07000000007</c:v>
                </c:pt>
                <c:pt idx="68">
                  <c:v>338299.72000000003</c:v>
                </c:pt>
                <c:pt idx="69">
                  <c:v>343124.88000000006</c:v>
                </c:pt>
                <c:pt idx="70">
                  <c:v>337692.67000000004</c:v>
                </c:pt>
                <c:pt idx="71">
                  <c:v>342676.68</c:v>
                </c:pt>
                <c:pt idx="72">
                  <c:v>344668.23</c:v>
                </c:pt>
                <c:pt idx="73">
                  <c:v>345865.29</c:v>
                </c:pt>
                <c:pt idx="74">
                  <c:v>348323.07</c:v>
                </c:pt>
                <c:pt idx="75">
                  <c:v>318451.27</c:v>
                </c:pt>
                <c:pt idx="76">
                  <c:v>313803.59000000003</c:v>
                </c:pt>
                <c:pt idx="77">
                  <c:v>314853.61999999994</c:v>
                </c:pt>
                <c:pt idx="78">
                  <c:v>289829.65999999997</c:v>
                </c:pt>
                <c:pt idx="79">
                  <c:v>307613.55</c:v>
                </c:pt>
                <c:pt idx="80">
                  <c:v>288643.42</c:v>
                </c:pt>
                <c:pt idx="81">
                  <c:v>275301.27999999997</c:v>
                </c:pt>
                <c:pt idx="82">
                  <c:v>272505.61</c:v>
                </c:pt>
                <c:pt idx="83">
                  <c:v>250269.97</c:v>
                </c:pt>
                <c:pt idx="84">
                  <c:v>241765.03000000003</c:v>
                </c:pt>
                <c:pt idx="85">
                  <c:v>237783.47000000003</c:v>
                </c:pt>
                <c:pt idx="86">
                  <c:v>235871.34</c:v>
                </c:pt>
                <c:pt idx="87">
                  <c:v>231195.71</c:v>
                </c:pt>
                <c:pt idx="88">
                  <c:v>232190.1</c:v>
                </c:pt>
                <c:pt idx="89">
                  <c:v>234512.01</c:v>
                </c:pt>
                <c:pt idx="90">
                  <c:v>234235.06999999998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C1B-4A8C-A0F5-D0A7DAE51EB3}"/>
            </c:ext>
          </c:extLst>
        </c:ser>
        <c:ser>
          <c:idx val="4"/>
          <c:order val="3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sites'!$A$404:$A$500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sites'!$E$404:$E$500</c:f>
              <c:numCache>
                <c:formatCode>_-* #\ ##0\ [$€-40C]_-;\-* #\ ##0\ [$€-40C]_-;_-* "-"??\ [$€-40C]_-;_-@_-</c:formatCode>
                <c:ptCount val="97"/>
                <c:pt idx="0">
                  <c:v>54446.35</c:v>
                </c:pt>
                <c:pt idx="1">
                  <c:v>67971.170000000013</c:v>
                </c:pt>
                <c:pt idx="2">
                  <c:v>71767.33</c:v>
                </c:pt>
                <c:pt idx="3">
                  <c:v>74914.650000000009</c:v>
                </c:pt>
                <c:pt idx="4">
                  <c:v>78807.64</c:v>
                </c:pt>
                <c:pt idx="5">
                  <c:v>81401.109999999986</c:v>
                </c:pt>
                <c:pt idx="6">
                  <c:v>79241.639999999985</c:v>
                </c:pt>
                <c:pt idx="7">
                  <c:v>80751.88</c:v>
                </c:pt>
                <c:pt idx="8">
                  <c:v>83086.540000000008</c:v>
                </c:pt>
                <c:pt idx="9">
                  <c:v>84338.219999999972</c:v>
                </c:pt>
                <c:pt idx="10">
                  <c:v>80229.219999999987</c:v>
                </c:pt>
                <c:pt idx="11">
                  <c:v>86090.539999999979</c:v>
                </c:pt>
                <c:pt idx="12">
                  <c:v>81863.589999999982</c:v>
                </c:pt>
                <c:pt idx="13">
                  <c:v>67974.729999999981</c:v>
                </c:pt>
                <c:pt idx="14">
                  <c:v>66063.450000000012</c:v>
                </c:pt>
                <c:pt idx="15">
                  <c:v>65992.62999999999</c:v>
                </c:pt>
                <c:pt idx="16">
                  <c:v>62538.42</c:v>
                </c:pt>
                <c:pt idx="17">
                  <c:v>56954.879999999997</c:v>
                </c:pt>
                <c:pt idx="18">
                  <c:v>54032.850000000006</c:v>
                </c:pt>
                <c:pt idx="19">
                  <c:v>48761.89</c:v>
                </c:pt>
                <c:pt idx="20">
                  <c:v>46259.839999999997</c:v>
                </c:pt>
                <c:pt idx="21">
                  <c:v>43491.119999999995</c:v>
                </c:pt>
                <c:pt idx="22">
                  <c:v>42263.18</c:v>
                </c:pt>
                <c:pt idx="23">
                  <c:v>37894.980000000003</c:v>
                </c:pt>
                <c:pt idx="24">
                  <c:v>40680.82</c:v>
                </c:pt>
                <c:pt idx="25">
                  <c:v>38306.93</c:v>
                </c:pt>
                <c:pt idx="26">
                  <c:v>34988.71</c:v>
                </c:pt>
                <c:pt idx="27">
                  <c:v>31849.469999999994</c:v>
                </c:pt>
                <c:pt idx="28">
                  <c:v>26936.14</c:v>
                </c:pt>
                <c:pt idx="29">
                  <c:v>26890.77</c:v>
                </c:pt>
                <c:pt idx="30">
                  <c:v>23528.68</c:v>
                </c:pt>
                <c:pt idx="31">
                  <c:v>23326.850000000002</c:v>
                </c:pt>
                <c:pt idx="32">
                  <c:v>23882.400000000001</c:v>
                </c:pt>
                <c:pt idx="33">
                  <c:v>26075.160000000003</c:v>
                </c:pt>
                <c:pt idx="34">
                  <c:v>25997.09</c:v>
                </c:pt>
                <c:pt idx="35">
                  <c:v>23883.34</c:v>
                </c:pt>
                <c:pt idx="36">
                  <c:v>20047.980000000003</c:v>
                </c:pt>
                <c:pt idx="37">
                  <c:v>22183.08</c:v>
                </c:pt>
                <c:pt idx="38">
                  <c:v>22693.710000000003</c:v>
                </c:pt>
                <c:pt idx="39">
                  <c:v>30445.81</c:v>
                </c:pt>
                <c:pt idx="40">
                  <c:v>30009.730000000003</c:v>
                </c:pt>
                <c:pt idx="41">
                  <c:v>29017.260000000002</c:v>
                </c:pt>
                <c:pt idx="42">
                  <c:v>28674.84</c:v>
                </c:pt>
                <c:pt idx="43">
                  <c:v>28738.81</c:v>
                </c:pt>
                <c:pt idx="44">
                  <c:v>28495.119999999999</c:v>
                </c:pt>
                <c:pt idx="45">
                  <c:v>28040.769999999997</c:v>
                </c:pt>
                <c:pt idx="46">
                  <c:v>33019.189999999995</c:v>
                </c:pt>
                <c:pt idx="47">
                  <c:v>31880.63</c:v>
                </c:pt>
                <c:pt idx="48">
                  <c:v>32671.79</c:v>
                </c:pt>
                <c:pt idx="49">
                  <c:v>31539.08</c:v>
                </c:pt>
                <c:pt idx="50">
                  <c:v>31125.240000000005</c:v>
                </c:pt>
                <c:pt idx="51">
                  <c:v>28959.370000000003</c:v>
                </c:pt>
                <c:pt idx="52">
                  <c:v>29625.539999999997</c:v>
                </c:pt>
                <c:pt idx="53">
                  <c:v>29868.350000000002</c:v>
                </c:pt>
                <c:pt idx="54">
                  <c:v>30522.359999999997</c:v>
                </c:pt>
                <c:pt idx="55">
                  <c:v>33284.29</c:v>
                </c:pt>
                <c:pt idx="56">
                  <c:v>33266.61</c:v>
                </c:pt>
                <c:pt idx="57">
                  <c:v>30785.649999999998</c:v>
                </c:pt>
                <c:pt idx="58">
                  <c:v>25526.639999999996</c:v>
                </c:pt>
                <c:pt idx="59">
                  <c:v>25849.58</c:v>
                </c:pt>
                <c:pt idx="60">
                  <c:v>28116.620000000003</c:v>
                </c:pt>
                <c:pt idx="61">
                  <c:v>30699.68</c:v>
                </c:pt>
                <c:pt idx="62">
                  <c:v>30313.439999999999</c:v>
                </c:pt>
                <c:pt idx="63">
                  <c:v>22848.949999999997</c:v>
                </c:pt>
                <c:pt idx="64">
                  <c:v>21169.39</c:v>
                </c:pt>
                <c:pt idx="65">
                  <c:v>21304.71</c:v>
                </c:pt>
                <c:pt idx="66">
                  <c:v>19349.5</c:v>
                </c:pt>
                <c:pt idx="67">
                  <c:v>15737.289999999999</c:v>
                </c:pt>
                <c:pt idx="68">
                  <c:v>15115.289999999999</c:v>
                </c:pt>
                <c:pt idx="69">
                  <c:v>18965.689999999999</c:v>
                </c:pt>
                <c:pt idx="70">
                  <c:v>18055.61</c:v>
                </c:pt>
                <c:pt idx="71">
                  <c:v>16960.79</c:v>
                </c:pt>
                <c:pt idx="72">
                  <c:v>12719.189999999999</c:v>
                </c:pt>
                <c:pt idx="73">
                  <c:v>9048.41</c:v>
                </c:pt>
                <c:pt idx="74">
                  <c:v>9751.0400000000009</c:v>
                </c:pt>
                <c:pt idx="75">
                  <c:v>11008.880000000001</c:v>
                </c:pt>
                <c:pt idx="76">
                  <c:v>12999.390000000001</c:v>
                </c:pt>
                <c:pt idx="77">
                  <c:v>16949.75</c:v>
                </c:pt>
                <c:pt idx="78">
                  <c:v>18861.260000000002</c:v>
                </c:pt>
                <c:pt idx="79">
                  <c:v>19240.080000000002</c:v>
                </c:pt>
                <c:pt idx="80">
                  <c:v>19555.560000000001</c:v>
                </c:pt>
                <c:pt idx="81">
                  <c:v>15919.249999999998</c:v>
                </c:pt>
                <c:pt idx="82">
                  <c:v>16543.66</c:v>
                </c:pt>
                <c:pt idx="83">
                  <c:v>17694.809999999998</c:v>
                </c:pt>
                <c:pt idx="84">
                  <c:v>18184.039999999997</c:v>
                </c:pt>
                <c:pt idx="85">
                  <c:v>18314.299999999996</c:v>
                </c:pt>
                <c:pt idx="86">
                  <c:v>17626.78</c:v>
                </c:pt>
                <c:pt idx="87">
                  <c:v>16386.150000000001</c:v>
                </c:pt>
                <c:pt idx="88">
                  <c:v>15832.38</c:v>
                </c:pt>
                <c:pt idx="89">
                  <c:v>11279.279999999999</c:v>
                </c:pt>
                <c:pt idx="90">
                  <c:v>9243.32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C1B-4A8C-A0F5-D0A7DAE51EB3}"/>
            </c:ext>
          </c:extLst>
        </c:ser>
        <c:ser>
          <c:idx val="5"/>
          <c:order val="4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sites'!$A$404:$A$500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sites'!$F$404:$F$500</c:f>
              <c:numCache>
                <c:formatCode>_-* #\ ##0\ [$€-40C]_-;\-* #\ ##0\ [$€-40C]_-;_-* "-"??\ [$€-40C]_-;_-@_-</c:formatCode>
                <c:ptCount val="97"/>
                <c:pt idx="0">
                  <c:v>53700.799999999996</c:v>
                </c:pt>
                <c:pt idx="1">
                  <c:v>54215.790000000008</c:v>
                </c:pt>
                <c:pt idx="2">
                  <c:v>54853.840000000011</c:v>
                </c:pt>
                <c:pt idx="3">
                  <c:v>57891.070000000014</c:v>
                </c:pt>
                <c:pt idx="4">
                  <c:v>57046.200000000012</c:v>
                </c:pt>
                <c:pt idx="5">
                  <c:v>61483.310000000012</c:v>
                </c:pt>
                <c:pt idx="6">
                  <c:v>62454.630000000005</c:v>
                </c:pt>
                <c:pt idx="7">
                  <c:v>62300.959999999999</c:v>
                </c:pt>
                <c:pt idx="8">
                  <c:v>61809.170000000006</c:v>
                </c:pt>
                <c:pt idx="9">
                  <c:v>60894.509999999995</c:v>
                </c:pt>
                <c:pt idx="10">
                  <c:v>60428.090000000004</c:v>
                </c:pt>
                <c:pt idx="11">
                  <c:v>60074.87000000001</c:v>
                </c:pt>
                <c:pt idx="12">
                  <c:v>61597.590000000011</c:v>
                </c:pt>
                <c:pt idx="13">
                  <c:v>63350.87</c:v>
                </c:pt>
                <c:pt idx="14">
                  <c:v>62174.25</c:v>
                </c:pt>
                <c:pt idx="15">
                  <c:v>62184.369999999995</c:v>
                </c:pt>
                <c:pt idx="16">
                  <c:v>59887.520000000004</c:v>
                </c:pt>
                <c:pt idx="17">
                  <c:v>54454.990000000005</c:v>
                </c:pt>
                <c:pt idx="18">
                  <c:v>49064.7</c:v>
                </c:pt>
                <c:pt idx="19">
                  <c:v>49462.420000000006</c:v>
                </c:pt>
                <c:pt idx="20">
                  <c:v>49627.640000000007</c:v>
                </c:pt>
                <c:pt idx="21">
                  <c:v>49032.140000000007</c:v>
                </c:pt>
                <c:pt idx="22">
                  <c:v>48986.05</c:v>
                </c:pt>
                <c:pt idx="23">
                  <c:v>51131.420000000006</c:v>
                </c:pt>
                <c:pt idx="24">
                  <c:v>48295.79</c:v>
                </c:pt>
                <c:pt idx="25">
                  <c:v>47249.19</c:v>
                </c:pt>
                <c:pt idx="26">
                  <c:v>49839.72</c:v>
                </c:pt>
                <c:pt idx="27">
                  <c:v>46515.62</c:v>
                </c:pt>
                <c:pt idx="28">
                  <c:v>48306.04</c:v>
                </c:pt>
                <c:pt idx="29">
                  <c:v>48502.45</c:v>
                </c:pt>
                <c:pt idx="30">
                  <c:v>51407.03</c:v>
                </c:pt>
                <c:pt idx="31">
                  <c:v>55769.95</c:v>
                </c:pt>
                <c:pt idx="32">
                  <c:v>57491.179999999993</c:v>
                </c:pt>
                <c:pt idx="33">
                  <c:v>58080.409999999989</c:v>
                </c:pt>
                <c:pt idx="34">
                  <c:v>58650.529999999992</c:v>
                </c:pt>
                <c:pt idx="35">
                  <c:v>58028.02</c:v>
                </c:pt>
                <c:pt idx="36">
                  <c:v>60327.180000000008</c:v>
                </c:pt>
                <c:pt idx="37">
                  <c:v>58449.460000000006</c:v>
                </c:pt>
                <c:pt idx="38">
                  <c:v>55517.98000000001</c:v>
                </c:pt>
                <c:pt idx="39">
                  <c:v>56012.460000000006</c:v>
                </c:pt>
                <c:pt idx="40">
                  <c:v>59908.970000000016</c:v>
                </c:pt>
                <c:pt idx="41">
                  <c:v>60841.170000000013</c:v>
                </c:pt>
                <c:pt idx="42">
                  <c:v>62879.369999999995</c:v>
                </c:pt>
                <c:pt idx="43">
                  <c:v>63873.669999999991</c:v>
                </c:pt>
                <c:pt idx="44">
                  <c:v>66113.539999999994</c:v>
                </c:pt>
                <c:pt idx="45">
                  <c:v>66536.350000000006</c:v>
                </c:pt>
                <c:pt idx="46">
                  <c:v>66299.47</c:v>
                </c:pt>
                <c:pt idx="47">
                  <c:v>66488.55</c:v>
                </c:pt>
                <c:pt idx="48">
                  <c:v>64985.840000000004</c:v>
                </c:pt>
                <c:pt idx="49">
                  <c:v>69012.22</c:v>
                </c:pt>
                <c:pt idx="50">
                  <c:v>67997.36</c:v>
                </c:pt>
                <c:pt idx="51">
                  <c:v>66889.12000000001</c:v>
                </c:pt>
                <c:pt idx="52">
                  <c:v>62556.56</c:v>
                </c:pt>
                <c:pt idx="53">
                  <c:v>60493.960000000014</c:v>
                </c:pt>
                <c:pt idx="54">
                  <c:v>57171.83</c:v>
                </c:pt>
                <c:pt idx="55">
                  <c:v>50164.439999999995</c:v>
                </c:pt>
                <c:pt idx="56">
                  <c:v>45974.8</c:v>
                </c:pt>
                <c:pt idx="57">
                  <c:v>45021.64</c:v>
                </c:pt>
                <c:pt idx="58">
                  <c:v>44880.770000000004</c:v>
                </c:pt>
                <c:pt idx="59">
                  <c:v>42949.16</c:v>
                </c:pt>
                <c:pt idx="60">
                  <c:v>43829.640000000007</c:v>
                </c:pt>
                <c:pt idx="61">
                  <c:v>38426.559999999998</c:v>
                </c:pt>
                <c:pt idx="62">
                  <c:v>37976.520000000004</c:v>
                </c:pt>
                <c:pt idx="63">
                  <c:v>33055.25</c:v>
                </c:pt>
                <c:pt idx="64">
                  <c:v>29369.22</c:v>
                </c:pt>
                <c:pt idx="65">
                  <c:v>26592.6</c:v>
                </c:pt>
                <c:pt idx="66">
                  <c:v>21616.01</c:v>
                </c:pt>
                <c:pt idx="67">
                  <c:v>19281.720000000005</c:v>
                </c:pt>
                <c:pt idx="68">
                  <c:v>17590.740000000002</c:v>
                </c:pt>
                <c:pt idx="69">
                  <c:v>16046.05</c:v>
                </c:pt>
                <c:pt idx="70">
                  <c:v>14768.87</c:v>
                </c:pt>
                <c:pt idx="71">
                  <c:v>13339.369999999999</c:v>
                </c:pt>
                <c:pt idx="72">
                  <c:v>13675.4</c:v>
                </c:pt>
                <c:pt idx="73">
                  <c:v>15335.509999999998</c:v>
                </c:pt>
                <c:pt idx="74">
                  <c:v>16815.760000000002</c:v>
                </c:pt>
                <c:pt idx="75">
                  <c:v>26074.480000000003</c:v>
                </c:pt>
                <c:pt idx="76">
                  <c:v>31369.500000000004</c:v>
                </c:pt>
                <c:pt idx="77">
                  <c:v>32506.100000000002</c:v>
                </c:pt>
                <c:pt idx="78">
                  <c:v>35906.129999999997</c:v>
                </c:pt>
                <c:pt idx="79">
                  <c:v>42289.53</c:v>
                </c:pt>
                <c:pt idx="80">
                  <c:v>42971.08</c:v>
                </c:pt>
                <c:pt idx="81">
                  <c:v>42747.4</c:v>
                </c:pt>
                <c:pt idx="82">
                  <c:v>47515.06</c:v>
                </c:pt>
                <c:pt idx="83">
                  <c:v>48371.99</c:v>
                </c:pt>
                <c:pt idx="84">
                  <c:v>48056.69</c:v>
                </c:pt>
                <c:pt idx="85">
                  <c:v>45793.64</c:v>
                </c:pt>
                <c:pt idx="86">
                  <c:v>46426.130000000005</c:v>
                </c:pt>
                <c:pt idx="87">
                  <c:v>38772.89</c:v>
                </c:pt>
                <c:pt idx="88">
                  <c:v>37063.03</c:v>
                </c:pt>
                <c:pt idx="89">
                  <c:v>38193.9</c:v>
                </c:pt>
                <c:pt idx="90">
                  <c:v>36257.009999999995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C1B-4A8C-A0F5-D0A7DAE51EB3}"/>
            </c:ext>
          </c:extLst>
        </c:ser>
        <c:ser>
          <c:idx val="6"/>
          <c:order val="5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sites'!$A$404:$A$500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sites'!$G$404:$G$500</c:f>
              <c:numCache>
                <c:formatCode>_-* #\ ##0\ [$€-40C]_-;\-* #\ ##0\ [$€-40C]_-;_-* "-"??\ [$€-40C]_-;_-@_-</c:formatCode>
                <c:ptCount val="97"/>
                <c:pt idx="0">
                  <c:v>23705.430000000008</c:v>
                </c:pt>
                <c:pt idx="1">
                  <c:v>23613.700000000004</c:v>
                </c:pt>
                <c:pt idx="2">
                  <c:v>24983.980000000003</c:v>
                </c:pt>
                <c:pt idx="3">
                  <c:v>24715.820000000003</c:v>
                </c:pt>
                <c:pt idx="4">
                  <c:v>24538.070000000003</c:v>
                </c:pt>
                <c:pt idx="5">
                  <c:v>24441.489999999998</c:v>
                </c:pt>
                <c:pt idx="6">
                  <c:v>24736.52</c:v>
                </c:pt>
                <c:pt idx="7">
                  <c:v>20505.170000000002</c:v>
                </c:pt>
                <c:pt idx="8">
                  <c:v>19861.800000000003</c:v>
                </c:pt>
                <c:pt idx="9">
                  <c:v>19604.190000000002</c:v>
                </c:pt>
                <c:pt idx="10">
                  <c:v>19431.5</c:v>
                </c:pt>
                <c:pt idx="11">
                  <c:v>20768.190000000002</c:v>
                </c:pt>
                <c:pt idx="12">
                  <c:v>20630.920000000002</c:v>
                </c:pt>
                <c:pt idx="13">
                  <c:v>20062.88</c:v>
                </c:pt>
                <c:pt idx="14">
                  <c:v>17943.450000000004</c:v>
                </c:pt>
                <c:pt idx="15">
                  <c:v>17427.509999999998</c:v>
                </c:pt>
                <c:pt idx="16">
                  <c:v>16709.399999999998</c:v>
                </c:pt>
                <c:pt idx="17">
                  <c:v>16319.66</c:v>
                </c:pt>
                <c:pt idx="18">
                  <c:v>14981.81</c:v>
                </c:pt>
                <c:pt idx="19">
                  <c:v>14355.520000000002</c:v>
                </c:pt>
                <c:pt idx="20">
                  <c:v>14282.570000000003</c:v>
                </c:pt>
                <c:pt idx="21">
                  <c:v>13818.980000000003</c:v>
                </c:pt>
                <c:pt idx="22">
                  <c:v>13749.080000000002</c:v>
                </c:pt>
                <c:pt idx="23">
                  <c:v>12206.760000000002</c:v>
                </c:pt>
                <c:pt idx="24">
                  <c:v>12152.2</c:v>
                </c:pt>
                <c:pt idx="25">
                  <c:v>12308.329999999998</c:v>
                </c:pt>
                <c:pt idx="26">
                  <c:v>11856.13</c:v>
                </c:pt>
                <c:pt idx="27">
                  <c:v>11060.64</c:v>
                </c:pt>
                <c:pt idx="28">
                  <c:v>11005.89</c:v>
                </c:pt>
                <c:pt idx="29">
                  <c:v>10863.32</c:v>
                </c:pt>
                <c:pt idx="30">
                  <c:v>12228.1</c:v>
                </c:pt>
                <c:pt idx="31">
                  <c:v>13021.120000000003</c:v>
                </c:pt>
                <c:pt idx="32">
                  <c:v>12904.11</c:v>
                </c:pt>
                <c:pt idx="33">
                  <c:v>13418.27</c:v>
                </c:pt>
                <c:pt idx="34">
                  <c:v>14018.58</c:v>
                </c:pt>
                <c:pt idx="35">
                  <c:v>16269.3</c:v>
                </c:pt>
                <c:pt idx="36">
                  <c:v>16934.239999999998</c:v>
                </c:pt>
                <c:pt idx="37">
                  <c:v>17186.46</c:v>
                </c:pt>
                <c:pt idx="38">
                  <c:v>17626.309999999998</c:v>
                </c:pt>
                <c:pt idx="39">
                  <c:v>18166.990000000002</c:v>
                </c:pt>
                <c:pt idx="40">
                  <c:v>18831.68</c:v>
                </c:pt>
                <c:pt idx="41">
                  <c:v>18911.310000000001</c:v>
                </c:pt>
                <c:pt idx="42">
                  <c:v>18174.600000000002</c:v>
                </c:pt>
                <c:pt idx="43">
                  <c:v>18747.21</c:v>
                </c:pt>
                <c:pt idx="44">
                  <c:v>18602.46</c:v>
                </c:pt>
                <c:pt idx="45">
                  <c:v>18160.189999999999</c:v>
                </c:pt>
                <c:pt idx="46">
                  <c:v>17228.089999999997</c:v>
                </c:pt>
                <c:pt idx="47">
                  <c:v>15282.759999999998</c:v>
                </c:pt>
                <c:pt idx="48">
                  <c:v>14212.089999999998</c:v>
                </c:pt>
                <c:pt idx="49">
                  <c:v>14109.22</c:v>
                </c:pt>
                <c:pt idx="50">
                  <c:v>13531.22</c:v>
                </c:pt>
                <c:pt idx="51">
                  <c:v>12745.060000000001</c:v>
                </c:pt>
                <c:pt idx="52">
                  <c:v>11763.029999999999</c:v>
                </c:pt>
                <c:pt idx="53">
                  <c:v>11976.37</c:v>
                </c:pt>
                <c:pt idx="54">
                  <c:v>11128.889999999998</c:v>
                </c:pt>
                <c:pt idx="55">
                  <c:v>9333.8299999999981</c:v>
                </c:pt>
                <c:pt idx="56">
                  <c:v>9052.98</c:v>
                </c:pt>
                <c:pt idx="57">
                  <c:v>8741.7100000000009</c:v>
                </c:pt>
                <c:pt idx="58">
                  <c:v>8859.4599999999991</c:v>
                </c:pt>
                <c:pt idx="59">
                  <c:v>7943.58</c:v>
                </c:pt>
                <c:pt idx="60">
                  <c:v>7744.05</c:v>
                </c:pt>
                <c:pt idx="61">
                  <c:v>6616.81</c:v>
                </c:pt>
                <c:pt idx="62">
                  <c:v>6059.92</c:v>
                </c:pt>
                <c:pt idx="63">
                  <c:v>5528.51</c:v>
                </c:pt>
                <c:pt idx="64">
                  <c:v>4750.72</c:v>
                </c:pt>
                <c:pt idx="65">
                  <c:v>3564.1400000000003</c:v>
                </c:pt>
                <c:pt idx="66">
                  <c:v>3273.09</c:v>
                </c:pt>
                <c:pt idx="67">
                  <c:v>2952.16</c:v>
                </c:pt>
                <c:pt idx="68">
                  <c:v>2546.44</c:v>
                </c:pt>
                <c:pt idx="69">
                  <c:v>2090.1</c:v>
                </c:pt>
                <c:pt idx="70">
                  <c:v>1242.76</c:v>
                </c:pt>
                <c:pt idx="71">
                  <c:v>2270.3199999999997</c:v>
                </c:pt>
                <c:pt idx="72">
                  <c:v>2104.1999999999998</c:v>
                </c:pt>
                <c:pt idx="73">
                  <c:v>2027.8000000000002</c:v>
                </c:pt>
                <c:pt idx="74">
                  <c:v>2069.0100000000002</c:v>
                </c:pt>
                <c:pt idx="75">
                  <c:v>2167.84</c:v>
                </c:pt>
                <c:pt idx="76">
                  <c:v>2440.2000000000003</c:v>
                </c:pt>
                <c:pt idx="77">
                  <c:v>2558.92</c:v>
                </c:pt>
                <c:pt idx="78">
                  <c:v>2845.8</c:v>
                </c:pt>
                <c:pt idx="79">
                  <c:v>3168.19</c:v>
                </c:pt>
                <c:pt idx="80">
                  <c:v>3372.1</c:v>
                </c:pt>
                <c:pt idx="81">
                  <c:v>3329.18</c:v>
                </c:pt>
                <c:pt idx="82">
                  <c:v>3350.8099999999995</c:v>
                </c:pt>
                <c:pt idx="83">
                  <c:v>2123.23</c:v>
                </c:pt>
                <c:pt idx="84">
                  <c:v>2115.0700000000002</c:v>
                </c:pt>
                <c:pt idx="85">
                  <c:v>2016.22</c:v>
                </c:pt>
                <c:pt idx="86">
                  <c:v>2536.9199999999996</c:v>
                </c:pt>
                <c:pt idx="87">
                  <c:v>2492.0699999999997</c:v>
                </c:pt>
                <c:pt idx="88">
                  <c:v>2266.8999999999996</c:v>
                </c:pt>
                <c:pt idx="89">
                  <c:v>2179.64</c:v>
                </c:pt>
                <c:pt idx="90">
                  <c:v>2162.35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C1B-4A8C-A0F5-D0A7DAE51EB3}"/>
            </c:ext>
          </c:extLst>
        </c:ser>
        <c:ser>
          <c:idx val="7"/>
          <c:order val="6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sites'!$A$404:$A$500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sites'!$H$404:$H$500</c:f>
              <c:numCache>
                <c:formatCode>_-* #\ ##0\ [$€-40C]_-;\-* #\ ##0\ [$€-40C]_-;_-* "-"??\ [$€-40C]_-;_-@_-</c:formatCode>
                <c:ptCount val="97"/>
                <c:pt idx="0">
                  <c:v>8570.119999999999</c:v>
                </c:pt>
                <c:pt idx="1">
                  <c:v>8792.0400000000009</c:v>
                </c:pt>
                <c:pt idx="2">
                  <c:v>11469.54</c:v>
                </c:pt>
                <c:pt idx="3">
                  <c:v>11515.380000000001</c:v>
                </c:pt>
                <c:pt idx="4">
                  <c:v>12800.960000000001</c:v>
                </c:pt>
                <c:pt idx="5">
                  <c:v>14438.640000000001</c:v>
                </c:pt>
                <c:pt idx="6">
                  <c:v>15365.080000000002</c:v>
                </c:pt>
                <c:pt idx="7">
                  <c:v>16608.080000000002</c:v>
                </c:pt>
                <c:pt idx="8">
                  <c:v>16674.080000000002</c:v>
                </c:pt>
                <c:pt idx="9">
                  <c:v>21503.27</c:v>
                </c:pt>
                <c:pt idx="10">
                  <c:v>22099.440000000002</c:v>
                </c:pt>
                <c:pt idx="11">
                  <c:v>22974.880000000001</c:v>
                </c:pt>
                <c:pt idx="12">
                  <c:v>23593.359999999997</c:v>
                </c:pt>
                <c:pt idx="13">
                  <c:v>25088.079999999998</c:v>
                </c:pt>
                <c:pt idx="14">
                  <c:v>22833.079999999998</c:v>
                </c:pt>
                <c:pt idx="15">
                  <c:v>21698.800000000003</c:v>
                </c:pt>
                <c:pt idx="16">
                  <c:v>19551.22</c:v>
                </c:pt>
                <c:pt idx="17">
                  <c:v>19889.740000000002</c:v>
                </c:pt>
                <c:pt idx="18">
                  <c:v>20157.439999999999</c:v>
                </c:pt>
                <c:pt idx="19">
                  <c:v>19441.840000000004</c:v>
                </c:pt>
                <c:pt idx="20">
                  <c:v>19619.440000000002</c:v>
                </c:pt>
                <c:pt idx="21">
                  <c:v>15033.69</c:v>
                </c:pt>
                <c:pt idx="22">
                  <c:v>15417.060000000001</c:v>
                </c:pt>
                <c:pt idx="23">
                  <c:v>17490.12</c:v>
                </c:pt>
                <c:pt idx="24">
                  <c:v>16339.220000000003</c:v>
                </c:pt>
                <c:pt idx="25">
                  <c:v>15158.520000000002</c:v>
                </c:pt>
                <c:pt idx="26">
                  <c:v>15632.810000000001</c:v>
                </c:pt>
                <c:pt idx="27">
                  <c:v>17848.91</c:v>
                </c:pt>
                <c:pt idx="28">
                  <c:v>18594.939999999999</c:v>
                </c:pt>
                <c:pt idx="29">
                  <c:v>18303.82</c:v>
                </c:pt>
                <c:pt idx="30">
                  <c:v>17473.95</c:v>
                </c:pt>
                <c:pt idx="31">
                  <c:v>17384.219999999998</c:v>
                </c:pt>
                <c:pt idx="32">
                  <c:v>18036.27</c:v>
                </c:pt>
                <c:pt idx="33">
                  <c:v>18262.910000000003</c:v>
                </c:pt>
                <c:pt idx="34">
                  <c:v>17512.95</c:v>
                </c:pt>
                <c:pt idx="35">
                  <c:v>15095.949999999999</c:v>
                </c:pt>
                <c:pt idx="36">
                  <c:v>17215.77</c:v>
                </c:pt>
                <c:pt idx="37">
                  <c:v>17175.150000000001</c:v>
                </c:pt>
                <c:pt idx="38">
                  <c:v>17818.66</c:v>
                </c:pt>
                <c:pt idx="39">
                  <c:v>18894.539999999997</c:v>
                </c:pt>
                <c:pt idx="40">
                  <c:v>19501.91</c:v>
                </c:pt>
                <c:pt idx="41">
                  <c:v>18471.809999999998</c:v>
                </c:pt>
                <c:pt idx="42">
                  <c:v>18729.329999999998</c:v>
                </c:pt>
                <c:pt idx="43">
                  <c:v>18934.63</c:v>
                </c:pt>
                <c:pt idx="44">
                  <c:v>18044.98</c:v>
                </c:pt>
                <c:pt idx="45">
                  <c:v>17053.59</c:v>
                </c:pt>
                <c:pt idx="46">
                  <c:v>17131.439999999999</c:v>
                </c:pt>
                <c:pt idx="47">
                  <c:v>20836.169999999998</c:v>
                </c:pt>
                <c:pt idx="48">
                  <c:v>19930.609999999997</c:v>
                </c:pt>
                <c:pt idx="49">
                  <c:v>20883.190000000002</c:v>
                </c:pt>
                <c:pt idx="50">
                  <c:v>20933.389999999996</c:v>
                </c:pt>
                <c:pt idx="51">
                  <c:v>19242.89</c:v>
                </c:pt>
                <c:pt idx="52">
                  <c:v>17948.939999999999</c:v>
                </c:pt>
                <c:pt idx="53">
                  <c:v>19431.489999999998</c:v>
                </c:pt>
                <c:pt idx="54">
                  <c:v>17655.080000000002</c:v>
                </c:pt>
                <c:pt idx="55">
                  <c:v>18151.010000000002</c:v>
                </c:pt>
                <c:pt idx="56">
                  <c:v>19117.510000000002</c:v>
                </c:pt>
                <c:pt idx="57">
                  <c:v>21708.050000000003</c:v>
                </c:pt>
                <c:pt idx="58">
                  <c:v>22739.040000000001</c:v>
                </c:pt>
                <c:pt idx="59">
                  <c:v>21957.06</c:v>
                </c:pt>
                <c:pt idx="60">
                  <c:v>21055.960000000003</c:v>
                </c:pt>
                <c:pt idx="61">
                  <c:v>22430.5</c:v>
                </c:pt>
                <c:pt idx="62">
                  <c:v>21267.5</c:v>
                </c:pt>
                <c:pt idx="63">
                  <c:v>19259.5</c:v>
                </c:pt>
                <c:pt idx="64">
                  <c:v>20489.55</c:v>
                </c:pt>
                <c:pt idx="65">
                  <c:v>23806.57</c:v>
                </c:pt>
                <c:pt idx="66">
                  <c:v>23476.030000000002</c:v>
                </c:pt>
                <c:pt idx="67">
                  <c:v>23236.41</c:v>
                </c:pt>
                <c:pt idx="68">
                  <c:v>22263.91</c:v>
                </c:pt>
                <c:pt idx="69">
                  <c:v>20822.48</c:v>
                </c:pt>
                <c:pt idx="70">
                  <c:v>19418.47</c:v>
                </c:pt>
                <c:pt idx="71">
                  <c:v>15964.220000000001</c:v>
                </c:pt>
                <c:pt idx="72">
                  <c:v>14922.109999999999</c:v>
                </c:pt>
                <c:pt idx="73">
                  <c:v>33286.589999999997</c:v>
                </c:pt>
                <c:pt idx="74">
                  <c:v>58135.39</c:v>
                </c:pt>
                <c:pt idx="75">
                  <c:v>57930.75</c:v>
                </c:pt>
                <c:pt idx="76">
                  <c:v>57289.15</c:v>
                </c:pt>
                <c:pt idx="77">
                  <c:v>73559.600000000006</c:v>
                </c:pt>
                <c:pt idx="78">
                  <c:v>75290.55</c:v>
                </c:pt>
                <c:pt idx="79">
                  <c:v>74350.27</c:v>
                </c:pt>
                <c:pt idx="80">
                  <c:v>74452.180000000008</c:v>
                </c:pt>
                <c:pt idx="81">
                  <c:v>73034.919999999984</c:v>
                </c:pt>
                <c:pt idx="82">
                  <c:v>74315.28</c:v>
                </c:pt>
                <c:pt idx="83">
                  <c:v>77044.759999999995</c:v>
                </c:pt>
                <c:pt idx="84">
                  <c:v>80215.529999999984</c:v>
                </c:pt>
                <c:pt idx="85">
                  <c:v>60050.530000000006</c:v>
                </c:pt>
                <c:pt idx="86">
                  <c:v>34412.229999999996</c:v>
                </c:pt>
                <c:pt idx="87">
                  <c:v>40021.11</c:v>
                </c:pt>
                <c:pt idx="88">
                  <c:v>41700.21</c:v>
                </c:pt>
                <c:pt idx="89">
                  <c:v>22742.149999999998</c:v>
                </c:pt>
                <c:pt idx="90">
                  <c:v>23101.84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C1B-4A8C-A0F5-D0A7DAE51EB3}"/>
            </c:ext>
          </c:extLst>
        </c:ser>
        <c:ser>
          <c:idx val="8"/>
          <c:order val="7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sites'!$A$404:$A$500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sites'!$I$404:$I$500</c:f>
              <c:numCache>
                <c:formatCode>_-* #\ ##0\ [$€-40C]_-;\-* #\ ##0\ [$€-40C]_-;_-* "-"??\ [$€-40C]_-;_-@_-</c:formatCode>
                <c:ptCount val="97"/>
                <c:pt idx="0">
                  <c:v>10804.61</c:v>
                </c:pt>
                <c:pt idx="1">
                  <c:v>11121.860000000002</c:v>
                </c:pt>
                <c:pt idx="2">
                  <c:v>11873.930000000002</c:v>
                </c:pt>
                <c:pt idx="3">
                  <c:v>11903.520000000002</c:v>
                </c:pt>
                <c:pt idx="4">
                  <c:v>11758.030000000002</c:v>
                </c:pt>
                <c:pt idx="5">
                  <c:v>11951.540000000003</c:v>
                </c:pt>
                <c:pt idx="6">
                  <c:v>15241.320000000003</c:v>
                </c:pt>
                <c:pt idx="7">
                  <c:v>17775.880000000005</c:v>
                </c:pt>
                <c:pt idx="8">
                  <c:v>23720.53</c:v>
                </c:pt>
                <c:pt idx="9">
                  <c:v>24014.600000000002</c:v>
                </c:pt>
                <c:pt idx="10">
                  <c:v>24540.05</c:v>
                </c:pt>
                <c:pt idx="11">
                  <c:v>24784.240000000005</c:v>
                </c:pt>
                <c:pt idx="12">
                  <c:v>18132.96</c:v>
                </c:pt>
                <c:pt idx="13">
                  <c:v>18231.369999999995</c:v>
                </c:pt>
                <c:pt idx="14">
                  <c:v>19647.07</c:v>
                </c:pt>
                <c:pt idx="15">
                  <c:v>18968.649999999998</c:v>
                </c:pt>
                <c:pt idx="16">
                  <c:v>18797.61</c:v>
                </c:pt>
                <c:pt idx="17">
                  <c:v>19443.770000000004</c:v>
                </c:pt>
                <c:pt idx="18">
                  <c:v>16712.37</c:v>
                </c:pt>
                <c:pt idx="19">
                  <c:v>13791.509999999998</c:v>
                </c:pt>
                <c:pt idx="20">
                  <c:v>7695.7700000000023</c:v>
                </c:pt>
                <c:pt idx="21">
                  <c:v>9351.2200000000012</c:v>
                </c:pt>
                <c:pt idx="22">
                  <c:v>8649.1</c:v>
                </c:pt>
                <c:pt idx="23">
                  <c:v>8099.0800000000017</c:v>
                </c:pt>
                <c:pt idx="24">
                  <c:v>8024.2700000000013</c:v>
                </c:pt>
                <c:pt idx="25">
                  <c:v>7501.8300000000017</c:v>
                </c:pt>
                <c:pt idx="26">
                  <c:v>5085.9500000000007</c:v>
                </c:pt>
                <c:pt idx="27">
                  <c:v>4696.59</c:v>
                </c:pt>
                <c:pt idx="28">
                  <c:v>5249.5500000000011</c:v>
                </c:pt>
                <c:pt idx="29">
                  <c:v>4265.24</c:v>
                </c:pt>
                <c:pt idx="30">
                  <c:v>3636.7099999999996</c:v>
                </c:pt>
                <c:pt idx="31">
                  <c:v>3709.3999999999992</c:v>
                </c:pt>
                <c:pt idx="32">
                  <c:v>4491.9799999999996</c:v>
                </c:pt>
                <c:pt idx="33">
                  <c:v>2350.2700000000004</c:v>
                </c:pt>
                <c:pt idx="34">
                  <c:v>2343.5300000000002</c:v>
                </c:pt>
                <c:pt idx="35">
                  <c:v>2593.7599999999998</c:v>
                </c:pt>
                <c:pt idx="36">
                  <c:v>2742.4999999999995</c:v>
                </c:pt>
                <c:pt idx="37">
                  <c:v>3112.66</c:v>
                </c:pt>
                <c:pt idx="38">
                  <c:v>3089.09</c:v>
                </c:pt>
                <c:pt idx="39">
                  <c:v>3415.7</c:v>
                </c:pt>
                <c:pt idx="40">
                  <c:v>2840.9700000000003</c:v>
                </c:pt>
                <c:pt idx="41">
                  <c:v>2867.6100000000006</c:v>
                </c:pt>
                <c:pt idx="42">
                  <c:v>2727.13</c:v>
                </c:pt>
                <c:pt idx="43">
                  <c:v>2640.9700000000003</c:v>
                </c:pt>
                <c:pt idx="44">
                  <c:v>1685.7499999999998</c:v>
                </c:pt>
                <c:pt idx="45">
                  <c:v>1679.9899999999998</c:v>
                </c:pt>
                <c:pt idx="46">
                  <c:v>1646.6999999999998</c:v>
                </c:pt>
                <c:pt idx="47">
                  <c:v>1901.15</c:v>
                </c:pt>
                <c:pt idx="48">
                  <c:v>4629.92</c:v>
                </c:pt>
                <c:pt idx="49">
                  <c:v>4277.3600000000006</c:v>
                </c:pt>
                <c:pt idx="50">
                  <c:v>4858.8100000000013</c:v>
                </c:pt>
                <c:pt idx="51">
                  <c:v>5206.3</c:v>
                </c:pt>
                <c:pt idx="52">
                  <c:v>5202.6100000000006</c:v>
                </c:pt>
                <c:pt idx="53">
                  <c:v>12784.810000000001</c:v>
                </c:pt>
                <c:pt idx="54">
                  <c:v>13187.57</c:v>
                </c:pt>
                <c:pt idx="55">
                  <c:v>13220.789999999999</c:v>
                </c:pt>
                <c:pt idx="56">
                  <c:v>13335.63</c:v>
                </c:pt>
                <c:pt idx="57">
                  <c:v>13571.769999999999</c:v>
                </c:pt>
                <c:pt idx="58">
                  <c:v>13476.869999999999</c:v>
                </c:pt>
                <c:pt idx="59">
                  <c:v>13184.179999999998</c:v>
                </c:pt>
                <c:pt idx="60">
                  <c:v>10353.659999999996</c:v>
                </c:pt>
                <c:pt idx="61">
                  <c:v>10448.869999999995</c:v>
                </c:pt>
                <c:pt idx="62">
                  <c:v>9833.4499999999971</c:v>
                </c:pt>
                <c:pt idx="63">
                  <c:v>9067.4499999999989</c:v>
                </c:pt>
                <c:pt idx="64">
                  <c:v>10404.849999999999</c:v>
                </c:pt>
                <c:pt idx="65">
                  <c:v>2781.1000000000004</c:v>
                </c:pt>
                <c:pt idx="66">
                  <c:v>2365.8000000000002</c:v>
                </c:pt>
                <c:pt idx="67">
                  <c:v>2332.58</c:v>
                </c:pt>
                <c:pt idx="68">
                  <c:v>2217.7399999999998</c:v>
                </c:pt>
                <c:pt idx="69">
                  <c:v>1975.8799999999999</c:v>
                </c:pt>
                <c:pt idx="70">
                  <c:v>3762.74</c:v>
                </c:pt>
                <c:pt idx="71">
                  <c:v>3534.8599999999997</c:v>
                </c:pt>
                <c:pt idx="72">
                  <c:v>4682.24</c:v>
                </c:pt>
                <c:pt idx="73">
                  <c:v>4510.7699999999995</c:v>
                </c:pt>
                <c:pt idx="74">
                  <c:v>5428.25</c:v>
                </c:pt>
                <c:pt idx="75">
                  <c:v>6649.65</c:v>
                </c:pt>
                <c:pt idx="76">
                  <c:v>5300.7199999999993</c:v>
                </c:pt>
                <c:pt idx="77">
                  <c:v>5435.1999999999989</c:v>
                </c:pt>
                <c:pt idx="78">
                  <c:v>5619.0599999999986</c:v>
                </c:pt>
                <c:pt idx="79">
                  <c:v>6015.3499999999985</c:v>
                </c:pt>
                <c:pt idx="80">
                  <c:v>6108.0499999999984</c:v>
                </c:pt>
                <c:pt idx="81">
                  <c:v>6531.4299999999985</c:v>
                </c:pt>
                <c:pt idx="82">
                  <c:v>5054.9100000000008</c:v>
                </c:pt>
                <c:pt idx="83">
                  <c:v>5474.9100000000008</c:v>
                </c:pt>
                <c:pt idx="84">
                  <c:v>4486.5099999999993</c:v>
                </c:pt>
                <c:pt idx="85">
                  <c:v>4492.5599999999995</c:v>
                </c:pt>
                <c:pt idx="86">
                  <c:v>3621.88</c:v>
                </c:pt>
                <c:pt idx="87">
                  <c:v>2416.3100000000004</c:v>
                </c:pt>
                <c:pt idx="88">
                  <c:v>2461.7400000000002</c:v>
                </c:pt>
                <c:pt idx="89">
                  <c:v>2351.2600000000002</c:v>
                </c:pt>
                <c:pt idx="90">
                  <c:v>2182.3999999999996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C1B-4A8C-A0F5-D0A7DAE51EB3}"/>
            </c:ext>
          </c:extLst>
        </c:ser>
        <c:ser>
          <c:idx val="9"/>
          <c:order val="8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sites'!$A$404:$A$500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sites'!$J$404:$J$500</c:f>
              <c:numCache>
                <c:formatCode>_-* #\ ##0\ [$€-40C]_-;\-* #\ ##0\ [$€-40C]_-;_-* "-"??\ [$€-40C]_-;_-@_-</c:formatCode>
                <c:ptCount val="97"/>
                <c:pt idx="0">
                  <c:v>55438.25</c:v>
                </c:pt>
                <c:pt idx="1">
                  <c:v>59582.75</c:v>
                </c:pt>
                <c:pt idx="2">
                  <c:v>64934.1</c:v>
                </c:pt>
                <c:pt idx="3">
                  <c:v>47488.4</c:v>
                </c:pt>
                <c:pt idx="4">
                  <c:v>46634.73</c:v>
                </c:pt>
                <c:pt idx="5">
                  <c:v>48969.98</c:v>
                </c:pt>
                <c:pt idx="6">
                  <c:v>64808.430000000008</c:v>
                </c:pt>
                <c:pt idx="7">
                  <c:v>69110.780000000013</c:v>
                </c:pt>
                <c:pt idx="8">
                  <c:v>72388.780000000013</c:v>
                </c:pt>
                <c:pt idx="9">
                  <c:v>91336.23000000001</c:v>
                </c:pt>
                <c:pt idx="10">
                  <c:v>78554.030000000013</c:v>
                </c:pt>
                <c:pt idx="11">
                  <c:v>87648.080000000016</c:v>
                </c:pt>
                <c:pt idx="12">
                  <c:v>98246.430000000022</c:v>
                </c:pt>
                <c:pt idx="13">
                  <c:v>94894.53</c:v>
                </c:pt>
                <c:pt idx="14">
                  <c:v>102063.67999999999</c:v>
                </c:pt>
                <c:pt idx="15">
                  <c:v>118096.48000000001</c:v>
                </c:pt>
                <c:pt idx="16">
                  <c:v>127242.05000000002</c:v>
                </c:pt>
                <c:pt idx="17">
                  <c:v>127748.20000000001</c:v>
                </c:pt>
                <c:pt idx="18">
                  <c:v>120728.75</c:v>
                </c:pt>
                <c:pt idx="19">
                  <c:v>145651.9</c:v>
                </c:pt>
                <c:pt idx="20">
                  <c:v>222677.3</c:v>
                </c:pt>
                <c:pt idx="21">
                  <c:v>229137.15</c:v>
                </c:pt>
                <c:pt idx="22">
                  <c:v>239622.05</c:v>
                </c:pt>
                <c:pt idx="23">
                  <c:v>258342.91</c:v>
                </c:pt>
                <c:pt idx="24">
                  <c:v>260565.50999999998</c:v>
                </c:pt>
                <c:pt idx="25">
                  <c:v>266201.23</c:v>
                </c:pt>
                <c:pt idx="26">
                  <c:v>308852.73</c:v>
                </c:pt>
                <c:pt idx="27">
                  <c:v>304410.33</c:v>
                </c:pt>
                <c:pt idx="28">
                  <c:v>310526.83999999997</c:v>
                </c:pt>
                <c:pt idx="29">
                  <c:v>311881.63999999996</c:v>
                </c:pt>
                <c:pt idx="30">
                  <c:v>322090.13999999996</c:v>
                </c:pt>
                <c:pt idx="31">
                  <c:v>296568.64</c:v>
                </c:pt>
                <c:pt idx="32">
                  <c:v>227474.74000000002</c:v>
                </c:pt>
                <c:pt idx="33">
                  <c:v>227065.94000000003</c:v>
                </c:pt>
                <c:pt idx="34">
                  <c:v>249512.53999999998</c:v>
                </c:pt>
                <c:pt idx="35">
                  <c:v>367188.38</c:v>
                </c:pt>
                <c:pt idx="36">
                  <c:v>353402.93</c:v>
                </c:pt>
                <c:pt idx="37">
                  <c:v>350522.61</c:v>
                </c:pt>
                <c:pt idx="38">
                  <c:v>302707.40999999997</c:v>
                </c:pt>
                <c:pt idx="39">
                  <c:v>356450.21</c:v>
                </c:pt>
                <c:pt idx="40">
                  <c:v>341970.2</c:v>
                </c:pt>
                <c:pt idx="41">
                  <c:v>342499</c:v>
                </c:pt>
                <c:pt idx="42">
                  <c:v>344193.15</c:v>
                </c:pt>
                <c:pt idx="43">
                  <c:v>358128.65</c:v>
                </c:pt>
                <c:pt idx="44">
                  <c:v>359525.65</c:v>
                </c:pt>
                <c:pt idx="45">
                  <c:v>345050.15</c:v>
                </c:pt>
                <c:pt idx="46">
                  <c:v>349284.35</c:v>
                </c:pt>
                <c:pt idx="47">
                  <c:v>235204.1</c:v>
                </c:pt>
                <c:pt idx="48">
                  <c:v>267966.84999999998</c:v>
                </c:pt>
                <c:pt idx="49">
                  <c:v>271449.34999999998</c:v>
                </c:pt>
                <c:pt idx="50">
                  <c:v>270692.55</c:v>
                </c:pt>
                <c:pt idx="51">
                  <c:v>222109.05</c:v>
                </c:pt>
                <c:pt idx="52">
                  <c:v>217617.65</c:v>
                </c:pt>
                <c:pt idx="53">
                  <c:v>216609.15</c:v>
                </c:pt>
                <c:pt idx="54">
                  <c:v>217702.5</c:v>
                </c:pt>
                <c:pt idx="55">
                  <c:v>207449.5</c:v>
                </c:pt>
                <c:pt idx="56">
                  <c:v>220357.5</c:v>
                </c:pt>
                <c:pt idx="57">
                  <c:v>238203.5</c:v>
                </c:pt>
                <c:pt idx="58">
                  <c:v>228074.5</c:v>
                </c:pt>
                <c:pt idx="59">
                  <c:v>221107.5</c:v>
                </c:pt>
                <c:pt idx="60">
                  <c:v>191490.5</c:v>
                </c:pt>
                <c:pt idx="61">
                  <c:v>207371</c:v>
                </c:pt>
                <c:pt idx="62">
                  <c:v>209548</c:v>
                </c:pt>
                <c:pt idx="63">
                  <c:v>190604</c:v>
                </c:pt>
                <c:pt idx="64">
                  <c:v>187547</c:v>
                </c:pt>
                <c:pt idx="65">
                  <c:v>183974</c:v>
                </c:pt>
                <c:pt idx="66">
                  <c:v>162000</c:v>
                </c:pt>
                <c:pt idx="67">
                  <c:v>154308</c:v>
                </c:pt>
                <c:pt idx="68">
                  <c:v>128525</c:v>
                </c:pt>
                <c:pt idx="69">
                  <c:v>104341</c:v>
                </c:pt>
                <c:pt idx="70">
                  <c:v>69630.5</c:v>
                </c:pt>
                <c:pt idx="71">
                  <c:v>49890.5</c:v>
                </c:pt>
                <c:pt idx="72">
                  <c:v>63851.75</c:v>
                </c:pt>
                <c:pt idx="73">
                  <c:v>42138.75</c:v>
                </c:pt>
                <c:pt idx="74">
                  <c:v>99029.6</c:v>
                </c:pt>
                <c:pt idx="75">
                  <c:v>127032.1</c:v>
                </c:pt>
                <c:pt idx="76">
                  <c:v>132660.1</c:v>
                </c:pt>
                <c:pt idx="77">
                  <c:v>148854.1</c:v>
                </c:pt>
                <c:pt idx="78">
                  <c:v>184016.1</c:v>
                </c:pt>
                <c:pt idx="79">
                  <c:v>193372.1</c:v>
                </c:pt>
                <c:pt idx="80">
                  <c:v>193372.1</c:v>
                </c:pt>
                <c:pt idx="81">
                  <c:v>229144.1</c:v>
                </c:pt>
                <c:pt idx="82">
                  <c:v>232338.6</c:v>
                </c:pt>
                <c:pt idx="83">
                  <c:v>230278.76</c:v>
                </c:pt>
                <c:pt idx="84">
                  <c:v>231492.59000000003</c:v>
                </c:pt>
                <c:pt idx="85">
                  <c:v>233656.88000000003</c:v>
                </c:pt>
                <c:pt idx="86">
                  <c:v>189484.03</c:v>
                </c:pt>
                <c:pt idx="87">
                  <c:v>162773.53</c:v>
                </c:pt>
                <c:pt idx="88">
                  <c:v>160134.53</c:v>
                </c:pt>
                <c:pt idx="89">
                  <c:v>167325.91</c:v>
                </c:pt>
                <c:pt idx="90">
                  <c:v>136699.91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C1B-4A8C-A0F5-D0A7DAE51EB3}"/>
            </c:ext>
          </c:extLst>
        </c:ser>
        <c:ser>
          <c:idx val="10"/>
          <c:order val="9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sites'!$A$404:$A$500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sites'!$K$404:$K$500</c:f>
              <c:numCache>
                <c:formatCode>_-* #\ ##0\ [$€-40C]_-;\-* #\ ##0\ [$€-40C]_-;_-* "-"??\ [$€-40C]_-;_-@_-</c:formatCode>
                <c:ptCount val="97"/>
                <c:pt idx="0">
                  <c:v>50396.77</c:v>
                </c:pt>
                <c:pt idx="1">
                  <c:v>50678.28</c:v>
                </c:pt>
                <c:pt idx="2">
                  <c:v>56476.009999999995</c:v>
                </c:pt>
                <c:pt idx="3">
                  <c:v>62002.129999999976</c:v>
                </c:pt>
                <c:pt idx="4">
                  <c:v>68124.419999999984</c:v>
                </c:pt>
                <c:pt idx="5">
                  <c:v>66172.829999999987</c:v>
                </c:pt>
                <c:pt idx="6">
                  <c:v>73520.00999999998</c:v>
                </c:pt>
                <c:pt idx="7">
                  <c:v>77950.669999999984</c:v>
                </c:pt>
                <c:pt idx="8">
                  <c:v>80104.409999999989</c:v>
                </c:pt>
                <c:pt idx="9">
                  <c:v>81799.27999999997</c:v>
                </c:pt>
                <c:pt idx="10">
                  <c:v>81894.689999999988</c:v>
                </c:pt>
                <c:pt idx="11">
                  <c:v>84880.779999999984</c:v>
                </c:pt>
                <c:pt idx="12">
                  <c:v>84082.179999999978</c:v>
                </c:pt>
                <c:pt idx="13">
                  <c:v>83719.589999999982</c:v>
                </c:pt>
                <c:pt idx="14">
                  <c:v>80939.03</c:v>
                </c:pt>
                <c:pt idx="15">
                  <c:v>81009.5</c:v>
                </c:pt>
                <c:pt idx="16">
                  <c:v>76904.570000000022</c:v>
                </c:pt>
                <c:pt idx="17">
                  <c:v>75066.87000000001</c:v>
                </c:pt>
                <c:pt idx="18">
                  <c:v>70020.750000000029</c:v>
                </c:pt>
                <c:pt idx="19">
                  <c:v>67061.080000000016</c:v>
                </c:pt>
                <c:pt idx="20">
                  <c:v>65168.570000000022</c:v>
                </c:pt>
                <c:pt idx="21">
                  <c:v>62888.880000000019</c:v>
                </c:pt>
                <c:pt idx="22">
                  <c:v>63809.440000000024</c:v>
                </c:pt>
                <c:pt idx="23">
                  <c:v>60613.010000000009</c:v>
                </c:pt>
                <c:pt idx="24">
                  <c:v>62669.590000000011</c:v>
                </c:pt>
                <c:pt idx="25">
                  <c:v>62117.220000000008</c:v>
                </c:pt>
                <c:pt idx="26">
                  <c:v>59264.570000000007</c:v>
                </c:pt>
                <c:pt idx="27">
                  <c:v>54746.01</c:v>
                </c:pt>
                <c:pt idx="28">
                  <c:v>55516.95</c:v>
                </c:pt>
                <c:pt idx="29">
                  <c:v>53645.41</c:v>
                </c:pt>
                <c:pt idx="30">
                  <c:v>59001.08</c:v>
                </c:pt>
                <c:pt idx="31">
                  <c:v>60060.279999999992</c:v>
                </c:pt>
                <c:pt idx="32">
                  <c:v>59916.37999999999</c:v>
                </c:pt>
                <c:pt idx="33">
                  <c:v>62575.96</c:v>
                </c:pt>
                <c:pt idx="34">
                  <c:v>62867.630000000005</c:v>
                </c:pt>
                <c:pt idx="35">
                  <c:v>62675.770000000004</c:v>
                </c:pt>
                <c:pt idx="36">
                  <c:v>61727.360000000008</c:v>
                </c:pt>
                <c:pt idx="37">
                  <c:v>63242.73</c:v>
                </c:pt>
                <c:pt idx="38">
                  <c:v>65700.260000000009</c:v>
                </c:pt>
                <c:pt idx="39">
                  <c:v>66200.37</c:v>
                </c:pt>
                <c:pt idx="40">
                  <c:v>66688.11</c:v>
                </c:pt>
                <c:pt idx="41">
                  <c:v>67289.37</c:v>
                </c:pt>
                <c:pt idx="42">
                  <c:v>59578.879999999997</c:v>
                </c:pt>
                <c:pt idx="43">
                  <c:v>58684.87</c:v>
                </c:pt>
                <c:pt idx="44">
                  <c:v>59137.48000000001</c:v>
                </c:pt>
                <c:pt idx="45">
                  <c:v>57409.709999999992</c:v>
                </c:pt>
                <c:pt idx="46">
                  <c:v>55128.249999999993</c:v>
                </c:pt>
                <c:pt idx="47">
                  <c:v>55194.18</c:v>
                </c:pt>
                <c:pt idx="48">
                  <c:v>53598.92</c:v>
                </c:pt>
                <c:pt idx="49">
                  <c:v>54246.2</c:v>
                </c:pt>
                <c:pt idx="50">
                  <c:v>52934.559999999998</c:v>
                </c:pt>
                <c:pt idx="51">
                  <c:v>52734.590000000004</c:v>
                </c:pt>
                <c:pt idx="52">
                  <c:v>51569.29</c:v>
                </c:pt>
                <c:pt idx="53">
                  <c:v>52518.91</c:v>
                </c:pt>
                <c:pt idx="54">
                  <c:v>51145.030000000006</c:v>
                </c:pt>
                <c:pt idx="55">
                  <c:v>51031.790000000008</c:v>
                </c:pt>
                <c:pt idx="56">
                  <c:v>49570.130000000005</c:v>
                </c:pt>
                <c:pt idx="57">
                  <c:v>52013.41</c:v>
                </c:pt>
                <c:pt idx="58">
                  <c:v>52785.630000000005</c:v>
                </c:pt>
                <c:pt idx="59">
                  <c:v>52495.87999999999</c:v>
                </c:pt>
                <c:pt idx="60">
                  <c:v>53547.719999999987</c:v>
                </c:pt>
                <c:pt idx="61">
                  <c:v>52582.49</c:v>
                </c:pt>
                <c:pt idx="62">
                  <c:v>51934.299999999996</c:v>
                </c:pt>
                <c:pt idx="63">
                  <c:v>46472.74</c:v>
                </c:pt>
                <c:pt idx="64">
                  <c:v>41953.349999999991</c:v>
                </c:pt>
                <c:pt idx="65">
                  <c:v>37429.06</c:v>
                </c:pt>
                <c:pt idx="66">
                  <c:v>32813.310000000005</c:v>
                </c:pt>
                <c:pt idx="67">
                  <c:v>30710.940000000002</c:v>
                </c:pt>
                <c:pt idx="68">
                  <c:v>29912.86</c:v>
                </c:pt>
                <c:pt idx="69">
                  <c:v>28084.609999999997</c:v>
                </c:pt>
                <c:pt idx="70">
                  <c:v>29047.229999999996</c:v>
                </c:pt>
                <c:pt idx="71">
                  <c:v>31990.539999999997</c:v>
                </c:pt>
                <c:pt idx="72">
                  <c:v>31849.5</c:v>
                </c:pt>
                <c:pt idx="73">
                  <c:v>30211.01</c:v>
                </c:pt>
                <c:pt idx="74">
                  <c:v>32410.899999999998</c:v>
                </c:pt>
                <c:pt idx="75">
                  <c:v>36638.439999999995</c:v>
                </c:pt>
                <c:pt idx="76">
                  <c:v>42779.259999999995</c:v>
                </c:pt>
                <c:pt idx="77">
                  <c:v>46221.349999999991</c:v>
                </c:pt>
                <c:pt idx="78">
                  <c:v>49770.62</c:v>
                </c:pt>
                <c:pt idx="79">
                  <c:v>59319.83</c:v>
                </c:pt>
                <c:pt idx="80">
                  <c:v>60603.519999999997</c:v>
                </c:pt>
                <c:pt idx="81">
                  <c:v>60732</c:v>
                </c:pt>
                <c:pt idx="82">
                  <c:v>63058.239999999991</c:v>
                </c:pt>
                <c:pt idx="83">
                  <c:v>59393.739999999991</c:v>
                </c:pt>
                <c:pt idx="84">
                  <c:v>59046.229999999996</c:v>
                </c:pt>
                <c:pt idx="85">
                  <c:v>58698.979999999996</c:v>
                </c:pt>
                <c:pt idx="86">
                  <c:v>61033.429999999993</c:v>
                </c:pt>
                <c:pt idx="87">
                  <c:v>60331.429999999993</c:v>
                </c:pt>
                <c:pt idx="88">
                  <c:v>59216.73</c:v>
                </c:pt>
                <c:pt idx="89">
                  <c:v>59286.829999999994</c:v>
                </c:pt>
                <c:pt idx="90">
                  <c:v>59745.14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C1B-4A8C-A0F5-D0A7DAE51EB3}"/>
            </c:ext>
          </c:extLst>
        </c:ser>
        <c:ser>
          <c:idx val="12"/>
          <c:order val="10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sites'!$A$404:$A$500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sites'!$L$404:$L$500</c:f>
              <c:numCache>
                <c:formatCode>_-* #\ ##0\ [$€-40C]_-;\-* #\ ##0\ [$€-40C]_-;_-* "-"??\ [$€-40C]_-;_-@_-</c:formatCode>
                <c:ptCount val="97"/>
                <c:pt idx="0">
                  <c:v>19888.18</c:v>
                </c:pt>
                <c:pt idx="1">
                  <c:v>21014.260000000002</c:v>
                </c:pt>
                <c:pt idx="2">
                  <c:v>22319.030000000002</c:v>
                </c:pt>
                <c:pt idx="3">
                  <c:v>24184.55</c:v>
                </c:pt>
                <c:pt idx="4">
                  <c:v>24025.54</c:v>
                </c:pt>
                <c:pt idx="5">
                  <c:v>24425.780000000002</c:v>
                </c:pt>
                <c:pt idx="6">
                  <c:v>25719.050000000003</c:v>
                </c:pt>
                <c:pt idx="7">
                  <c:v>24722.050000000003</c:v>
                </c:pt>
                <c:pt idx="8">
                  <c:v>24133.630000000005</c:v>
                </c:pt>
                <c:pt idx="9">
                  <c:v>25163.62</c:v>
                </c:pt>
                <c:pt idx="10">
                  <c:v>24834.070000000003</c:v>
                </c:pt>
                <c:pt idx="11">
                  <c:v>23206.080000000002</c:v>
                </c:pt>
                <c:pt idx="12">
                  <c:v>22268.07</c:v>
                </c:pt>
                <c:pt idx="13">
                  <c:v>22312.87</c:v>
                </c:pt>
                <c:pt idx="14">
                  <c:v>20231.830000000002</c:v>
                </c:pt>
                <c:pt idx="15">
                  <c:v>18336.11</c:v>
                </c:pt>
                <c:pt idx="16">
                  <c:v>17953.740000000002</c:v>
                </c:pt>
                <c:pt idx="17">
                  <c:v>17001.320000000003</c:v>
                </c:pt>
                <c:pt idx="18">
                  <c:v>15256.850000000002</c:v>
                </c:pt>
                <c:pt idx="19">
                  <c:v>14956.29</c:v>
                </c:pt>
                <c:pt idx="20">
                  <c:v>14551.5</c:v>
                </c:pt>
                <c:pt idx="21">
                  <c:v>12575.79</c:v>
                </c:pt>
                <c:pt idx="22">
                  <c:v>11538.570000000002</c:v>
                </c:pt>
                <c:pt idx="23">
                  <c:v>11093.430000000004</c:v>
                </c:pt>
                <c:pt idx="24">
                  <c:v>11019.800000000001</c:v>
                </c:pt>
                <c:pt idx="25">
                  <c:v>9389.56</c:v>
                </c:pt>
                <c:pt idx="26">
                  <c:v>9503.409999999998</c:v>
                </c:pt>
                <c:pt idx="27">
                  <c:v>8109.2199999999993</c:v>
                </c:pt>
                <c:pt idx="28">
                  <c:v>7235.66</c:v>
                </c:pt>
                <c:pt idx="29">
                  <c:v>7145.12</c:v>
                </c:pt>
                <c:pt idx="30">
                  <c:v>7011.9999999999991</c:v>
                </c:pt>
                <c:pt idx="31">
                  <c:v>7643.01</c:v>
                </c:pt>
                <c:pt idx="32">
                  <c:v>8513.7899999999991</c:v>
                </c:pt>
                <c:pt idx="33">
                  <c:v>9261.77</c:v>
                </c:pt>
                <c:pt idx="34">
                  <c:v>10258.879999999999</c:v>
                </c:pt>
                <c:pt idx="35">
                  <c:v>11594.92</c:v>
                </c:pt>
                <c:pt idx="36">
                  <c:v>13873.080000000002</c:v>
                </c:pt>
                <c:pt idx="37">
                  <c:v>17386.41</c:v>
                </c:pt>
                <c:pt idx="38">
                  <c:v>20848.519999999997</c:v>
                </c:pt>
                <c:pt idx="39">
                  <c:v>24250.730000000003</c:v>
                </c:pt>
                <c:pt idx="40">
                  <c:v>28149.489999999998</c:v>
                </c:pt>
                <c:pt idx="41">
                  <c:v>30025.5</c:v>
                </c:pt>
                <c:pt idx="42">
                  <c:v>34079.78</c:v>
                </c:pt>
                <c:pt idx="43">
                  <c:v>35205.85</c:v>
                </c:pt>
                <c:pt idx="44">
                  <c:v>36115.67</c:v>
                </c:pt>
                <c:pt idx="45">
                  <c:v>36643.840000000004</c:v>
                </c:pt>
                <c:pt idx="46">
                  <c:v>37146.839999999997</c:v>
                </c:pt>
                <c:pt idx="47">
                  <c:v>37312.639999999999</c:v>
                </c:pt>
                <c:pt idx="48">
                  <c:v>36172.179999999993</c:v>
                </c:pt>
                <c:pt idx="49">
                  <c:v>32970.449999999997</c:v>
                </c:pt>
                <c:pt idx="50">
                  <c:v>29714.62</c:v>
                </c:pt>
                <c:pt idx="51">
                  <c:v>26822.67</c:v>
                </c:pt>
                <c:pt idx="52">
                  <c:v>23525.580000000005</c:v>
                </c:pt>
                <c:pt idx="53">
                  <c:v>21402.089999999997</c:v>
                </c:pt>
                <c:pt idx="54">
                  <c:v>17635.870000000003</c:v>
                </c:pt>
                <c:pt idx="55">
                  <c:v>15595.520000000002</c:v>
                </c:pt>
                <c:pt idx="56">
                  <c:v>14332.000000000004</c:v>
                </c:pt>
                <c:pt idx="57">
                  <c:v>13938.720000000001</c:v>
                </c:pt>
                <c:pt idx="58">
                  <c:v>13049.18</c:v>
                </c:pt>
                <c:pt idx="59">
                  <c:v>11807.390000000001</c:v>
                </c:pt>
                <c:pt idx="60">
                  <c:v>11223.67</c:v>
                </c:pt>
                <c:pt idx="61">
                  <c:v>10982.12</c:v>
                </c:pt>
                <c:pt idx="62">
                  <c:v>10564.11</c:v>
                </c:pt>
                <c:pt idx="63">
                  <c:v>9964.16</c:v>
                </c:pt>
                <c:pt idx="64">
                  <c:v>9331.2899999999991</c:v>
                </c:pt>
                <c:pt idx="65">
                  <c:v>9433.4699999999993</c:v>
                </c:pt>
                <c:pt idx="66">
                  <c:v>7931.2999999999993</c:v>
                </c:pt>
                <c:pt idx="67">
                  <c:v>7036.7699999999986</c:v>
                </c:pt>
                <c:pt idx="68">
                  <c:v>6216.99</c:v>
                </c:pt>
                <c:pt idx="69">
                  <c:v>5266</c:v>
                </c:pt>
                <c:pt idx="70">
                  <c:v>4383.25</c:v>
                </c:pt>
                <c:pt idx="71">
                  <c:v>4942.18</c:v>
                </c:pt>
                <c:pt idx="72">
                  <c:v>4509.53</c:v>
                </c:pt>
                <c:pt idx="73">
                  <c:v>4573.72</c:v>
                </c:pt>
                <c:pt idx="74">
                  <c:v>13794.68</c:v>
                </c:pt>
                <c:pt idx="75">
                  <c:v>14274.17</c:v>
                </c:pt>
                <c:pt idx="76">
                  <c:v>15407.48</c:v>
                </c:pt>
                <c:pt idx="77">
                  <c:v>15755.160000000002</c:v>
                </c:pt>
                <c:pt idx="78">
                  <c:v>17254.960000000003</c:v>
                </c:pt>
                <c:pt idx="79">
                  <c:v>18162.140000000003</c:v>
                </c:pt>
                <c:pt idx="80">
                  <c:v>18519.130000000005</c:v>
                </c:pt>
                <c:pt idx="81">
                  <c:v>18405.530000000002</c:v>
                </c:pt>
                <c:pt idx="82">
                  <c:v>19419.010000000002</c:v>
                </c:pt>
                <c:pt idx="83">
                  <c:v>19423.139999999996</c:v>
                </c:pt>
                <c:pt idx="84">
                  <c:v>20100.080000000002</c:v>
                </c:pt>
                <c:pt idx="85">
                  <c:v>20754.809999999998</c:v>
                </c:pt>
                <c:pt idx="86">
                  <c:v>13170.699999999999</c:v>
                </c:pt>
                <c:pt idx="87">
                  <c:v>13775.24</c:v>
                </c:pt>
                <c:pt idx="88">
                  <c:v>13800.29</c:v>
                </c:pt>
                <c:pt idx="89">
                  <c:v>14143.360000000002</c:v>
                </c:pt>
                <c:pt idx="90">
                  <c:v>14437.93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C1B-4A8C-A0F5-D0A7DAE51EB3}"/>
            </c:ext>
          </c:extLst>
        </c:ser>
        <c:ser>
          <c:idx val="13"/>
          <c:order val="11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sites'!$A$404:$A$500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sites'!$M$404:$M$500</c:f>
              <c:numCache>
                <c:formatCode>_-* #\ ##0\ [$€-40C]_-;\-* #\ ##0\ [$€-40C]_-;_-* "-"??\ [$€-40C]_-;_-@_-</c:formatCode>
                <c:ptCount val="97"/>
                <c:pt idx="0">
                  <c:v>-1258.2</c:v>
                </c:pt>
                <c:pt idx="1">
                  <c:v>-1062.0499999999997</c:v>
                </c:pt>
                <c:pt idx="2">
                  <c:v>2073.7000000000003</c:v>
                </c:pt>
                <c:pt idx="3">
                  <c:v>2809.6000000000004</c:v>
                </c:pt>
                <c:pt idx="4">
                  <c:v>2827.3000000000006</c:v>
                </c:pt>
                <c:pt idx="5">
                  <c:v>5049.6499999999996</c:v>
                </c:pt>
                <c:pt idx="6">
                  <c:v>5555.45</c:v>
                </c:pt>
                <c:pt idx="7">
                  <c:v>6807.15</c:v>
                </c:pt>
                <c:pt idx="8">
                  <c:v>6837</c:v>
                </c:pt>
                <c:pt idx="9">
                  <c:v>6865.9500000000007</c:v>
                </c:pt>
                <c:pt idx="10">
                  <c:v>6730.1</c:v>
                </c:pt>
                <c:pt idx="11">
                  <c:v>6826.4500000000007</c:v>
                </c:pt>
                <c:pt idx="12">
                  <c:v>6930.5000000000009</c:v>
                </c:pt>
                <c:pt idx="13">
                  <c:v>6751.2000000000016</c:v>
                </c:pt>
                <c:pt idx="14">
                  <c:v>3604.5000000000005</c:v>
                </c:pt>
                <c:pt idx="15">
                  <c:v>2879.9</c:v>
                </c:pt>
                <c:pt idx="16">
                  <c:v>2839.9000000000005</c:v>
                </c:pt>
                <c:pt idx="17">
                  <c:v>2746.4</c:v>
                </c:pt>
                <c:pt idx="18">
                  <c:v>2247.9499999999998</c:v>
                </c:pt>
                <c:pt idx="19">
                  <c:v>2142.8199999999997</c:v>
                </c:pt>
                <c:pt idx="20">
                  <c:v>2382.8200000000002</c:v>
                </c:pt>
                <c:pt idx="21">
                  <c:v>2435.42</c:v>
                </c:pt>
                <c:pt idx="22">
                  <c:v>2432.92</c:v>
                </c:pt>
                <c:pt idx="23">
                  <c:v>2366.92</c:v>
                </c:pt>
                <c:pt idx="24">
                  <c:v>2360.77</c:v>
                </c:pt>
                <c:pt idx="25">
                  <c:v>-1630.2799999999997</c:v>
                </c:pt>
                <c:pt idx="26">
                  <c:v>-1686.3300000000002</c:v>
                </c:pt>
                <c:pt idx="27">
                  <c:v>-1706.4800000000005</c:v>
                </c:pt>
                <c:pt idx="28">
                  <c:v>-1525.6800000000005</c:v>
                </c:pt>
                <c:pt idx="29">
                  <c:v>-1569.5800000000004</c:v>
                </c:pt>
                <c:pt idx="30">
                  <c:v>-1593.0300000000002</c:v>
                </c:pt>
                <c:pt idx="31">
                  <c:v>-2651.9500000000003</c:v>
                </c:pt>
                <c:pt idx="32">
                  <c:v>-2858.3</c:v>
                </c:pt>
                <c:pt idx="33">
                  <c:v>-2949.6</c:v>
                </c:pt>
                <c:pt idx="34">
                  <c:v>-2869.3500000000004</c:v>
                </c:pt>
                <c:pt idx="35">
                  <c:v>-2886.6</c:v>
                </c:pt>
                <c:pt idx="36">
                  <c:v>-2976.85</c:v>
                </c:pt>
                <c:pt idx="37">
                  <c:v>1038.6499999999999</c:v>
                </c:pt>
                <c:pt idx="38">
                  <c:v>937.09999999999991</c:v>
                </c:pt>
                <c:pt idx="39">
                  <c:v>914.65</c:v>
                </c:pt>
                <c:pt idx="40">
                  <c:v>968.5</c:v>
                </c:pt>
                <c:pt idx="41">
                  <c:v>491.20000000000005</c:v>
                </c:pt>
                <c:pt idx="42">
                  <c:v>566.29999999999995</c:v>
                </c:pt>
                <c:pt idx="43">
                  <c:v>626.29999999999995</c:v>
                </c:pt>
                <c:pt idx="44">
                  <c:v>631.34999999999991</c:v>
                </c:pt>
                <c:pt idx="45">
                  <c:v>676.45</c:v>
                </c:pt>
                <c:pt idx="46">
                  <c:v>703.45</c:v>
                </c:pt>
                <c:pt idx="47">
                  <c:v>740.34999999999991</c:v>
                </c:pt>
                <c:pt idx="48">
                  <c:v>756.55000000000007</c:v>
                </c:pt>
                <c:pt idx="49">
                  <c:v>739.84999999999991</c:v>
                </c:pt>
                <c:pt idx="50">
                  <c:v>906.10000000000014</c:v>
                </c:pt>
                <c:pt idx="51">
                  <c:v>910.25</c:v>
                </c:pt>
                <c:pt idx="52">
                  <c:v>849.45</c:v>
                </c:pt>
                <c:pt idx="53">
                  <c:v>1337.4</c:v>
                </c:pt>
                <c:pt idx="54">
                  <c:v>1172.8500000000001</c:v>
                </c:pt>
                <c:pt idx="55">
                  <c:v>1012.6999999999999</c:v>
                </c:pt>
                <c:pt idx="56">
                  <c:v>925.2</c:v>
                </c:pt>
                <c:pt idx="57">
                  <c:v>813.85</c:v>
                </c:pt>
                <c:pt idx="58">
                  <c:v>689.1</c:v>
                </c:pt>
                <c:pt idx="59">
                  <c:v>569.15</c:v>
                </c:pt>
                <c:pt idx="60">
                  <c:v>500.59999999999997</c:v>
                </c:pt>
                <c:pt idx="61">
                  <c:v>441.7</c:v>
                </c:pt>
                <c:pt idx="62">
                  <c:v>429.9</c:v>
                </c:pt>
                <c:pt idx="63">
                  <c:v>408.9</c:v>
                </c:pt>
                <c:pt idx="64">
                  <c:v>-1327.1</c:v>
                </c:pt>
                <c:pt idx="65">
                  <c:v>-1326.55</c:v>
                </c:pt>
                <c:pt idx="66">
                  <c:v>-1372.05</c:v>
                </c:pt>
                <c:pt idx="67">
                  <c:v>-1389.35</c:v>
                </c:pt>
                <c:pt idx="68">
                  <c:v>-1372.85</c:v>
                </c:pt>
                <c:pt idx="69">
                  <c:v>-1822.47</c:v>
                </c:pt>
                <c:pt idx="70">
                  <c:v>-2308.96</c:v>
                </c:pt>
                <c:pt idx="71">
                  <c:v>-2132.96</c:v>
                </c:pt>
                <c:pt idx="72">
                  <c:v>-3286.4400000000005</c:v>
                </c:pt>
                <c:pt idx="73">
                  <c:v>-3266.6900000000005</c:v>
                </c:pt>
                <c:pt idx="74">
                  <c:v>-3051.59</c:v>
                </c:pt>
                <c:pt idx="75">
                  <c:v>-2449.04</c:v>
                </c:pt>
                <c:pt idx="76">
                  <c:v>-782.49000000000024</c:v>
                </c:pt>
                <c:pt idx="77">
                  <c:v>-751.24000000000024</c:v>
                </c:pt>
                <c:pt idx="78">
                  <c:v>-707.24000000000024</c:v>
                </c:pt>
                <c:pt idx="79">
                  <c:v>482.70999999999981</c:v>
                </c:pt>
                <c:pt idx="80">
                  <c:v>474.95999999999981</c:v>
                </c:pt>
                <c:pt idx="81">
                  <c:v>930.27999999999986</c:v>
                </c:pt>
                <c:pt idx="82">
                  <c:v>1659.0699999999997</c:v>
                </c:pt>
                <c:pt idx="83">
                  <c:v>1526.5699999999997</c:v>
                </c:pt>
                <c:pt idx="84">
                  <c:v>2829.75</c:v>
                </c:pt>
                <c:pt idx="85">
                  <c:v>3413</c:v>
                </c:pt>
                <c:pt idx="86">
                  <c:v>3312.6499999999996</c:v>
                </c:pt>
                <c:pt idx="87">
                  <c:v>2760.0999999999995</c:v>
                </c:pt>
                <c:pt idx="88">
                  <c:v>3748.2999999999997</c:v>
                </c:pt>
                <c:pt idx="89">
                  <c:v>4816.5499999999993</c:v>
                </c:pt>
                <c:pt idx="90">
                  <c:v>6117.0499999999993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D0-47F2-8748-11A778A6D7D7}"/>
            </c:ext>
          </c:extLst>
        </c:ser>
        <c:ser>
          <c:idx val="14"/>
          <c:order val="12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sites'!$A$404:$A$500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sites'!$N$404:$N$500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1295</c:v>
                </c:pt>
                <c:pt idx="43">
                  <c:v>1295</c:v>
                </c:pt>
                <c:pt idx="44">
                  <c:v>1295</c:v>
                </c:pt>
                <c:pt idx="45">
                  <c:v>1295</c:v>
                </c:pt>
                <c:pt idx="46">
                  <c:v>1295</c:v>
                </c:pt>
                <c:pt idx="47">
                  <c:v>1295</c:v>
                </c:pt>
                <c:pt idx="48">
                  <c:v>1295</c:v>
                </c:pt>
                <c:pt idx="49">
                  <c:v>3575</c:v>
                </c:pt>
                <c:pt idx="50">
                  <c:v>3575</c:v>
                </c:pt>
                <c:pt idx="51">
                  <c:v>5285</c:v>
                </c:pt>
                <c:pt idx="52">
                  <c:v>5855</c:v>
                </c:pt>
                <c:pt idx="53">
                  <c:v>5855</c:v>
                </c:pt>
                <c:pt idx="54">
                  <c:v>4750</c:v>
                </c:pt>
                <c:pt idx="55">
                  <c:v>5890</c:v>
                </c:pt>
                <c:pt idx="56">
                  <c:v>6650</c:v>
                </c:pt>
                <c:pt idx="57">
                  <c:v>7980</c:v>
                </c:pt>
                <c:pt idx="58">
                  <c:v>8360</c:v>
                </c:pt>
                <c:pt idx="59">
                  <c:v>8930</c:v>
                </c:pt>
                <c:pt idx="60">
                  <c:v>9620</c:v>
                </c:pt>
                <c:pt idx="61">
                  <c:v>8065</c:v>
                </c:pt>
                <c:pt idx="62">
                  <c:v>8410</c:v>
                </c:pt>
                <c:pt idx="63">
                  <c:v>6700</c:v>
                </c:pt>
                <c:pt idx="64">
                  <c:v>6130</c:v>
                </c:pt>
                <c:pt idx="65">
                  <c:v>6130</c:v>
                </c:pt>
                <c:pt idx="66">
                  <c:v>5940</c:v>
                </c:pt>
                <c:pt idx="67">
                  <c:v>6700</c:v>
                </c:pt>
                <c:pt idx="68">
                  <c:v>5940</c:v>
                </c:pt>
                <c:pt idx="69">
                  <c:v>5050</c:v>
                </c:pt>
                <c:pt idx="70">
                  <c:v>5015</c:v>
                </c:pt>
                <c:pt idx="71">
                  <c:v>4445</c:v>
                </c:pt>
                <c:pt idx="72">
                  <c:v>3755</c:v>
                </c:pt>
                <c:pt idx="73">
                  <c:v>3030</c:v>
                </c:pt>
                <c:pt idx="74">
                  <c:v>3030</c:v>
                </c:pt>
                <c:pt idx="75">
                  <c:v>4720</c:v>
                </c:pt>
                <c:pt idx="76">
                  <c:v>5115</c:v>
                </c:pt>
                <c:pt idx="77">
                  <c:v>5510</c:v>
                </c:pt>
                <c:pt idx="78">
                  <c:v>5905</c:v>
                </c:pt>
                <c:pt idx="79">
                  <c:v>4005</c:v>
                </c:pt>
                <c:pt idx="80">
                  <c:v>4795</c:v>
                </c:pt>
                <c:pt idx="81">
                  <c:v>4355</c:v>
                </c:pt>
                <c:pt idx="82">
                  <c:v>4405</c:v>
                </c:pt>
                <c:pt idx="83">
                  <c:v>4700</c:v>
                </c:pt>
                <c:pt idx="84">
                  <c:v>4700</c:v>
                </c:pt>
                <c:pt idx="85">
                  <c:v>4700</c:v>
                </c:pt>
                <c:pt idx="86">
                  <c:v>4960</c:v>
                </c:pt>
                <c:pt idx="87">
                  <c:v>3565</c:v>
                </c:pt>
                <c:pt idx="88">
                  <c:v>3170</c:v>
                </c:pt>
                <c:pt idx="89">
                  <c:v>2775</c:v>
                </c:pt>
                <c:pt idx="90">
                  <c:v>2380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70-414D-AE59-87BBD7E280B8}"/>
            </c:ext>
          </c:extLst>
        </c:ser>
        <c:ser>
          <c:idx val="0"/>
          <c:order val="13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sites'!$A$404:$A$500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sites'!$O$404:$O$500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668.72</c:v>
                </c:pt>
                <c:pt idx="50">
                  <c:v>1790.34</c:v>
                </c:pt>
                <c:pt idx="51">
                  <c:v>3219.17</c:v>
                </c:pt>
                <c:pt idx="52">
                  <c:v>3995.9900000000002</c:v>
                </c:pt>
                <c:pt idx="53">
                  <c:v>4282.79</c:v>
                </c:pt>
                <c:pt idx="54">
                  <c:v>4381.93</c:v>
                </c:pt>
                <c:pt idx="55">
                  <c:v>4488.25</c:v>
                </c:pt>
                <c:pt idx="56">
                  <c:v>4587.05</c:v>
                </c:pt>
                <c:pt idx="57">
                  <c:v>4931.2300000000005</c:v>
                </c:pt>
                <c:pt idx="58">
                  <c:v>5076.6900000000005</c:v>
                </c:pt>
                <c:pt idx="59">
                  <c:v>5385.7900000000009</c:v>
                </c:pt>
                <c:pt idx="60">
                  <c:v>5454.9500000000007</c:v>
                </c:pt>
                <c:pt idx="61">
                  <c:v>4885.1900000000005</c:v>
                </c:pt>
                <c:pt idx="62">
                  <c:v>4256.12</c:v>
                </c:pt>
                <c:pt idx="63">
                  <c:v>2827.2900000000004</c:v>
                </c:pt>
                <c:pt idx="64">
                  <c:v>2050.4700000000003</c:v>
                </c:pt>
                <c:pt idx="65">
                  <c:v>1763.67</c:v>
                </c:pt>
                <c:pt idx="66">
                  <c:v>1664.53</c:v>
                </c:pt>
                <c:pt idx="67">
                  <c:v>1558.21</c:v>
                </c:pt>
                <c:pt idx="68">
                  <c:v>1459.41</c:v>
                </c:pt>
                <c:pt idx="69">
                  <c:v>7885.77</c:v>
                </c:pt>
                <c:pt idx="70">
                  <c:v>9022.4699999999993</c:v>
                </c:pt>
                <c:pt idx="71">
                  <c:v>15543.69</c:v>
                </c:pt>
                <c:pt idx="72">
                  <c:v>15474.53</c:v>
                </c:pt>
                <c:pt idx="73">
                  <c:v>15375.57</c:v>
                </c:pt>
                <c:pt idx="74">
                  <c:v>14883.02</c:v>
                </c:pt>
                <c:pt idx="75">
                  <c:v>14883.02</c:v>
                </c:pt>
                <c:pt idx="76">
                  <c:v>14883.02</c:v>
                </c:pt>
                <c:pt idx="77">
                  <c:v>14883.02</c:v>
                </c:pt>
                <c:pt idx="78">
                  <c:v>14883.02</c:v>
                </c:pt>
                <c:pt idx="79">
                  <c:v>14883.02</c:v>
                </c:pt>
                <c:pt idx="80">
                  <c:v>14883.02</c:v>
                </c:pt>
                <c:pt idx="81">
                  <c:v>8112.48</c:v>
                </c:pt>
                <c:pt idx="82">
                  <c:v>6830.32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1093.8499999999999</c:v>
                </c:pt>
                <c:pt idx="87">
                  <c:v>1093.8499999999999</c:v>
                </c:pt>
                <c:pt idx="88">
                  <c:v>1093.8499999999999</c:v>
                </c:pt>
                <c:pt idx="89">
                  <c:v>5440.9</c:v>
                </c:pt>
                <c:pt idx="90">
                  <c:v>5440.9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3D-4E95-93F2-60337672BC9B}"/>
            </c:ext>
          </c:extLst>
        </c:ser>
        <c:ser>
          <c:idx val="11"/>
          <c:order val="14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sites'!$A$404:$A$500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sites'!$P$404:$P$500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555</c:v>
                </c:pt>
                <c:pt idx="38">
                  <c:v>637.5</c:v>
                </c:pt>
                <c:pt idx="39">
                  <c:v>862.5</c:v>
                </c:pt>
                <c:pt idx="40">
                  <c:v>1192.5</c:v>
                </c:pt>
                <c:pt idx="41">
                  <c:v>2752.5</c:v>
                </c:pt>
                <c:pt idx="42">
                  <c:v>3162.5</c:v>
                </c:pt>
                <c:pt idx="43">
                  <c:v>3252.5</c:v>
                </c:pt>
                <c:pt idx="44">
                  <c:v>3502.55</c:v>
                </c:pt>
                <c:pt idx="45">
                  <c:v>3847.55</c:v>
                </c:pt>
                <c:pt idx="46">
                  <c:v>4472.55</c:v>
                </c:pt>
                <c:pt idx="47">
                  <c:v>4717.55</c:v>
                </c:pt>
                <c:pt idx="48">
                  <c:v>4905.05</c:v>
                </c:pt>
                <c:pt idx="49">
                  <c:v>4410.05</c:v>
                </c:pt>
                <c:pt idx="50">
                  <c:v>4372.55</c:v>
                </c:pt>
                <c:pt idx="51">
                  <c:v>4177.55</c:v>
                </c:pt>
                <c:pt idx="52">
                  <c:v>3922.55</c:v>
                </c:pt>
                <c:pt idx="53">
                  <c:v>2362.5500000000002</c:v>
                </c:pt>
                <c:pt idx="54">
                  <c:v>3872.55</c:v>
                </c:pt>
                <c:pt idx="55">
                  <c:v>4087.55</c:v>
                </c:pt>
                <c:pt idx="56">
                  <c:v>3837.5</c:v>
                </c:pt>
                <c:pt idx="57">
                  <c:v>3662.5</c:v>
                </c:pt>
                <c:pt idx="58">
                  <c:v>3312.5</c:v>
                </c:pt>
                <c:pt idx="59">
                  <c:v>3102.5</c:v>
                </c:pt>
                <c:pt idx="60">
                  <c:v>3165</c:v>
                </c:pt>
                <c:pt idx="61">
                  <c:v>3225</c:v>
                </c:pt>
                <c:pt idx="62">
                  <c:v>3575</c:v>
                </c:pt>
                <c:pt idx="63">
                  <c:v>3545</c:v>
                </c:pt>
                <c:pt idx="64">
                  <c:v>3470</c:v>
                </c:pt>
                <c:pt idx="65">
                  <c:v>3470</c:v>
                </c:pt>
                <c:pt idx="66">
                  <c:v>1645</c:v>
                </c:pt>
                <c:pt idx="67">
                  <c:v>1340</c:v>
                </c:pt>
                <c:pt idx="68">
                  <c:v>1340</c:v>
                </c:pt>
                <c:pt idx="69">
                  <c:v>1170</c:v>
                </c:pt>
                <c:pt idx="70">
                  <c:v>895</c:v>
                </c:pt>
                <c:pt idx="71">
                  <c:v>860</c:v>
                </c:pt>
                <c:pt idx="72">
                  <c:v>610</c:v>
                </c:pt>
                <c:pt idx="73">
                  <c:v>490</c:v>
                </c:pt>
                <c:pt idx="74">
                  <c:v>95</c:v>
                </c:pt>
                <c:pt idx="75">
                  <c:v>160.44999999999999</c:v>
                </c:pt>
                <c:pt idx="76">
                  <c:v>160.44999999999999</c:v>
                </c:pt>
                <c:pt idx="77">
                  <c:v>176.95</c:v>
                </c:pt>
                <c:pt idx="78">
                  <c:v>221.95</c:v>
                </c:pt>
                <c:pt idx="79">
                  <c:v>241.95</c:v>
                </c:pt>
                <c:pt idx="80">
                  <c:v>331.95</c:v>
                </c:pt>
                <c:pt idx="81">
                  <c:v>391.95</c:v>
                </c:pt>
                <c:pt idx="82">
                  <c:v>451.95</c:v>
                </c:pt>
                <c:pt idx="83">
                  <c:v>541.95000000000005</c:v>
                </c:pt>
                <c:pt idx="84">
                  <c:v>736.95</c:v>
                </c:pt>
                <c:pt idx="85">
                  <c:v>826.95</c:v>
                </c:pt>
                <c:pt idx="86">
                  <c:v>1196.95</c:v>
                </c:pt>
                <c:pt idx="87">
                  <c:v>1626.5</c:v>
                </c:pt>
                <c:pt idx="88">
                  <c:v>2016.5</c:v>
                </c:pt>
                <c:pt idx="89">
                  <c:v>2450</c:v>
                </c:pt>
                <c:pt idx="90">
                  <c:v>2550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DC-4170-874B-BBE535401B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859200"/>
        <c:axId val="520859592"/>
        <c:extLst/>
      </c:lineChart>
      <c:dateAx>
        <c:axId val="520859200"/>
        <c:scaling>
          <c:orientation val="minMax"/>
        </c:scaling>
        <c:delete val="0"/>
        <c:axPos val="b"/>
        <c:numFmt formatCode="mmm\-aa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0859592"/>
        <c:crosses val="autoZero"/>
        <c:auto val="1"/>
        <c:lblOffset val="100"/>
        <c:baseTimeUnit val="months"/>
      </c:dateAx>
      <c:valAx>
        <c:axId val="520859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Standard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085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FACILITY MANAGEMENT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8884472576864026E-2"/>
          <c:y val="7.2347988750016953E-2"/>
          <c:w val="0.90666627983641634"/>
          <c:h val="0.84020101205544784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sites'!$A$706:$A$802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sites'!$B$706:$B$802</c:f>
              <c:numCache>
                <c:formatCode>Standard</c:formatCode>
                <c:ptCount val="97"/>
                <c:pt idx="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3F4D-4F02-8BA5-C49EE6FE65B9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sites'!$A$706:$A$802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sites'!$C$706:$C$802</c:f>
              <c:numCache>
                <c:formatCode>_-* #\ ##0\ [$€-40C]_-;\-* #\ ##0\ [$€-40C]_-;_-* "-"??\ [$€-40C]_-;_-@_-</c:formatCode>
                <c:ptCount val="97"/>
                <c:pt idx="0">
                  <c:v>488709.67000000016</c:v>
                </c:pt>
                <c:pt idx="1">
                  <c:v>478656.84</c:v>
                </c:pt>
                <c:pt idx="2">
                  <c:v>463993.01999999996</c:v>
                </c:pt>
                <c:pt idx="3">
                  <c:v>471981.51</c:v>
                </c:pt>
                <c:pt idx="4">
                  <c:v>497301.64999999997</c:v>
                </c:pt>
                <c:pt idx="5">
                  <c:v>494755.80000000016</c:v>
                </c:pt>
                <c:pt idx="6">
                  <c:v>485481.67</c:v>
                </c:pt>
                <c:pt idx="7">
                  <c:v>449744.44</c:v>
                </c:pt>
                <c:pt idx="8">
                  <c:v>455852.19</c:v>
                </c:pt>
                <c:pt idx="9">
                  <c:v>462008.97000000003</c:v>
                </c:pt>
                <c:pt idx="10">
                  <c:v>434574.55000000005</c:v>
                </c:pt>
                <c:pt idx="11">
                  <c:v>429005.64999999991</c:v>
                </c:pt>
                <c:pt idx="12">
                  <c:v>428288.35</c:v>
                </c:pt>
                <c:pt idx="13">
                  <c:v>412466.68</c:v>
                </c:pt>
                <c:pt idx="14">
                  <c:v>408927.26</c:v>
                </c:pt>
                <c:pt idx="15">
                  <c:v>399522.08999999997</c:v>
                </c:pt>
                <c:pt idx="16">
                  <c:v>367750.57</c:v>
                </c:pt>
                <c:pt idx="17">
                  <c:v>372201.3</c:v>
                </c:pt>
                <c:pt idx="18">
                  <c:v>369388.23999999987</c:v>
                </c:pt>
                <c:pt idx="19">
                  <c:v>372011.55999999994</c:v>
                </c:pt>
                <c:pt idx="20">
                  <c:v>372611.89999999991</c:v>
                </c:pt>
                <c:pt idx="21">
                  <c:v>362157.16999999993</c:v>
                </c:pt>
                <c:pt idx="22">
                  <c:v>359661.97999999992</c:v>
                </c:pt>
                <c:pt idx="23">
                  <c:v>359640.97000000003</c:v>
                </c:pt>
                <c:pt idx="24">
                  <c:v>357713.96</c:v>
                </c:pt>
                <c:pt idx="25">
                  <c:v>372720.91</c:v>
                </c:pt>
                <c:pt idx="26">
                  <c:v>379698.98000000004</c:v>
                </c:pt>
                <c:pt idx="27">
                  <c:v>381550.85000000003</c:v>
                </c:pt>
                <c:pt idx="28">
                  <c:v>382317.2</c:v>
                </c:pt>
                <c:pt idx="29">
                  <c:v>376059.48</c:v>
                </c:pt>
                <c:pt idx="30">
                  <c:v>369672.47000000003</c:v>
                </c:pt>
                <c:pt idx="31">
                  <c:v>380342.86</c:v>
                </c:pt>
                <c:pt idx="32">
                  <c:v>383488.53</c:v>
                </c:pt>
                <c:pt idx="33">
                  <c:v>374167.74</c:v>
                </c:pt>
                <c:pt idx="34">
                  <c:v>386347.02999999997</c:v>
                </c:pt>
                <c:pt idx="35">
                  <c:v>387254.75000000006</c:v>
                </c:pt>
                <c:pt idx="36">
                  <c:v>384711.45999999996</c:v>
                </c:pt>
                <c:pt idx="37">
                  <c:v>376920.29</c:v>
                </c:pt>
                <c:pt idx="38">
                  <c:v>369841.37999999995</c:v>
                </c:pt>
                <c:pt idx="39">
                  <c:v>356446.69</c:v>
                </c:pt>
                <c:pt idx="40">
                  <c:v>350391.64</c:v>
                </c:pt>
                <c:pt idx="41">
                  <c:v>350550.30000000005</c:v>
                </c:pt>
                <c:pt idx="42">
                  <c:v>358264.32000000001</c:v>
                </c:pt>
                <c:pt idx="43">
                  <c:v>352994.49</c:v>
                </c:pt>
                <c:pt idx="44">
                  <c:v>349808.49000000005</c:v>
                </c:pt>
                <c:pt idx="45">
                  <c:v>356701.10000000003</c:v>
                </c:pt>
                <c:pt idx="46">
                  <c:v>355220.79000000004</c:v>
                </c:pt>
                <c:pt idx="47">
                  <c:v>358721.97000000003</c:v>
                </c:pt>
                <c:pt idx="48">
                  <c:v>356481.26</c:v>
                </c:pt>
                <c:pt idx="49">
                  <c:v>356860.92</c:v>
                </c:pt>
                <c:pt idx="50">
                  <c:v>355369.91</c:v>
                </c:pt>
                <c:pt idx="51">
                  <c:v>347336.97000000003</c:v>
                </c:pt>
                <c:pt idx="52">
                  <c:v>364839.56</c:v>
                </c:pt>
                <c:pt idx="53">
                  <c:v>364118.00999999995</c:v>
                </c:pt>
                <c:pt idx="54">
                  <c:v>359347.14</c:v>
                </c:pt>
                <c:pt idx="55">
                  <c:v>406094.83</c:v>
                </c:pt>
                <c:pt idx="56">
                  <c:v>408123.06999999995</c:v>
                </c:pt>
                <c:pt idx="57">
                  <c:v>411167.77</c:v>
                </c:pt>
                <c:pt idx="58">
                  <c:v>409916.29</c:v>
                </c:pt>
                <c:pt idx="59">
                  <c:v>402725.00999999995</c:v>
                </c:pt>
                <c:pt idx="60">
                  <c:v>435772.16000000003</c:v>
                </c:pt>
                <c:pt idx="61">
                  <c:v>432957.25000000006</c:v>
                </c:pt>
                <c:pt idx="62">
                  <c:v>431992.51000000007</c:v>
                </c:pt>
                <c:pt idx="63">
                  <c:v>420859.49000000005</c:v>
                </c:pt>
                <c:pt idx="64">
                  <c:v>381541.64000000007</c:v>
                </c:pt>
                <c:pt idx="65">
                  <c:v>370885.92000000004</c:v>
                </c:pt>
                <c:pt idx="66">
                  <c:v>354640.64000000001</c:v>
                </c:pt>
                <c:pt idx="67">
                  <c:v>302972.81000000006</c:v>
                </c:pt>
                <c:pt idx="68">
                  <c:v>296566.18000000005</c:v>
                </c:pt>
                <c:pt idx="69">
                  <c:v>289144.93000000005</c:v>
                </c:pt>
                <c:pt idx="70">
                  <c:v>279470.74000000005</c:v>
                </c:pt>
                <c:pt idx="71">
                  <c:v>254524.83</c:v>
                </c:pt>
                <c:pt idx="72">
                  <c:v>230056.59999999998</c:v>
                </c:pt>
                <c:pt idx="73">
                  <c:v>200175.04</c:v>
                </c:pt>
                <c:pt idx="74">
                  <c:v>196062.92</c:v>
                </c:pt>
                <c:pt idx="75">
                  <c:v>202817.91000000003</c:v>
                </c:pt>
                <c:pt idx="76">
                  <c:v>215347.79000000004</c:v>
                </c:pt>
                <c:pt idx="77">
                  <c:v>206263.17</c:v>
                </c:pt>
                <c:pt idx="78">
                  <c:v>207481.65</c:v>
                </c:pt>
                <c:pt idx="79">
                  <c:v>218135.68000000002</c:v>
                </c:pt>
                <c:pt idx="80">
                  <c:v>214789.35</c:v>
                </c:pt>
                <c:pt idx="81">
                  <c:v>204210.38</c:v>
                </c:pt>
                <c:pt idx="82">
                  <c:v>214658.19</c:v>
                </c:pt>
                <c:pt idx="83">
                  <c:v>228259.44999999998</c:v>
                </c:pt>
                <c:pt idx="84">
                  <c:v>229375.23999999996</c:v>
                </c:pt>
                <c:pt idx="85">
                  <c:v>237867.36999999997</c:v>
                </c:pt>
                <c:pt idx="86">
                  <c:v>232291.71999999994</c:v>
                </c:pt>
                <c:pt idx="87">
                  <c:v>238973.47</c:v>
                </c:pt>
                <c:pt idx="88">
                  <c:v>250952.47</c:v>
                </c:pt>
                <c:pt idx="89">
                  <c:v>255203.95999999996</c:v>
                </c:pt>
                <c:pt idx="90">
                  <c:v>261749.34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F4D-4F02-8BA5-C49EE6FE65B9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sites'!$A$706:$A$802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sites'!$D$706:$D$802</c:f>
              <c:numCache>
                <c:formatCode>_-* #\ ##0\ [$€-40C]_-;\-* #\ ##0\ [$€-40C]_-;_-* "-"??\ [$€-40C]_-;_-@_-</c:formatCode>
                <c:ptCount val="97"/>
                <c:pt idx="0">
                  <c:v>182657.82</c:v>
                </c:pt>
                <c:pt idx="1">
                  <c:v>181448.50999999998</c:v>
                </c:pt>
                <c:pt idx="2">
                  <c:v>181921.51</c:v>
                </c:pt>
                <c:pt idx="3">
                  <c:v>186327.59</c:v>
                </c:pt>
                <c:pt idx="4">
                  <c:v>188071.05</c:v>
                </c:pt>
                <c:pt idx="5">
                  <c:v>185884.02</c:v>
                </c:pt>
                <c:pt idx="6">
                  <c:v>186354.52</c:v>
                </c:pt>
                <c:pt idx="7">
                  <c:v>181559.76</c:v>
                </c:pt>
                <c:pt idx="8">
                  <c:v>185080.29</c:v>
                </c:pt>
                <c:pt idx="9">
                  <c:v>191517.91999999998</c:v>
                </c:pt>
                <c:pt idx="10">
                  <c:v>184616.74</c:v>
                </c:pt>
                <c:pt idx="11">
                  <c:v>183050.74999999997</c:v>
                </c:pt>
                <c:pt idx="12">
                  <c:v>183442.94999999998</c:v>
                </c:pt>
                <c:pt idx="13">
                  <c:v>176161.52</c:v>
                </c:pt>
                <c:pt idx="14">
                  <c:v>179174.25</c:v>
                </c:pt>
                <c:pt idx="15">
                  <c:v>171613.38</c:v>
                </c:pt>
                <c:pt idx="16">
                  <c:v>162488.31</c:v>
                </c:pt>
                <c:pt idx="17">
                  <c:v>165853.02999999997</c:v>
                </c:pt>
                <c:pt idx="18">
                  <c:v>166053.91999999995</c:v>
                </c:pt>
                <c:pt idx="19">
                  <c:v>165303.61999999997</c:v>
                </c:pt>
                <c:pt idx="20">
                  <c:v>164057.99999999997</c:v>
                </c:pt>
                <c:pt idx="21">
                  <c:v>162410.08999999997</c:v>
                </c:pt>
                <c:pt idx="22">
                  <c:v>161222.06999999998</c:v>
                </c:pt>
                <c:pt idx="23">
                  <c:v>156567.12</c:v>
                </c:pt>
                <c:pt idx="24">
                  <c:v>155905.16999999998</c:v>
                </c:pt>
                <c:pt idx="25">
                  <c:v>155242.03999999998</c:v>
                </c:pt>
                <c:pt idx="26">
                  <c:v>156105.75</c:v>
                </c:pt>
                <c:pt idx="27">
                  <c:v>154754.65</c:v>
                </c:pt>
                <c:pt idx="28">
                  <c:v>158985.69</c:v>
                </c:pt>
                <c:pt idx="29">
                  <c:v>156987.93</c:v>
                </c:pt>
                <c:pt idx="30">
                  <c:v>152149.91</c:v>
                </c:pt>
                <c:pt idx="31">
                  <c:v>159884.18</c:v>
                </c:pt>
                <c:pt idx="32">
                  <c:v>160278.24999999997</c:v>
                </c:pt>
                <c:pt idx="33">
                  <c:v>151779.72</c:v>
                </c:pt>
                <c:pt idx="34">
                  <c:v>153573.31</c:v>
                </c:pt>
                <c:pt idx="35">
                  <c:v>157757.88999999998</c:v>
                </c:pt>
                <c:pt idx="36">
                  <c:v>157163.15999999997</c:v>
                </c:pt>
                <c:pt idx="37">
                  <c:v>158590.82</c:v>
                </c:pt>
                <c:pt idx="38">
                  <c:v>156562.29999999999</c:v>
                </c:pt>
                <c:pt idx="39">
                  <c:v>154822.72999999998</c:v>
                </c:pt>
                <c:pt idx="40">
                  <c:v>151304.48000000001</c:v>
                </c:pt>
                <c:pt idx="41">
                  <c:v>155603.94000000003</c:v>
                </c:pt>
                <c:pt idx="42">
                  <c:v>155201.79999999999</c:v>
                </c:pt>
                <c:pt idx="43">
                  <c:v>149601.54999999999</c:v>
                </c:pt>
                <c:pt idx="44">
                  <c:v>145626.21000000002</c:v>
                </c:pt>
                <c:pt idx="45">
                  <c:v>146611.62000000002</c:v>
                </c:pt>
                <c:pt idx="46">
                  <c:v>146247.91000000003</c:v>
                </c:pt>
                <c:pt idx="47">
                  <c:v>142444.51</c:v>
                </c:pt>
                <c:pt idx="48">
                  <c:v>139273.45000000001</c:v>
                </c:pt>
                <c:pt idx="49">
                  <c:v>138054.96000000002</c:v>
                </c:pt>
                <c:pt idx="50">
                  <c:v>135544.05000000002</c:v>
                </c:pt>
                <c:pt idx="51">
                  <c:v>130740.28</c:v>
                </c:pt>
                <c:pt idx="52">
                  <c:v>135094.72</c:v>
                </c:pt>
                <c:pt idx="53">
                  <c:v>130910.56</c:v>
                </c:pt>
                <c:pt idx="54">
                  <c:v>129660.62000000001</c:v>
                </c:pt>
                <c:pt idx="55">
                  <c:v>158221.5</c:v>
                </c:pt>
                <c:pt idx="56">
                  <c:v>160728.85999999999</c:v>
                </c:pt>
                <c:pt idx="57">
                  <c:v>165368.52000000002</c:v>
                </c:pt>
                <c:pt idx="58">
                  <c:v>163882.67000000001</c:v>
                </c:pt>
                <c:pt idx="59">
                  <c:v>162609.21999999997</c:v>
                </c:pt>
                <c:pt idx="60">
                  <c:v>171008.33999999997</c:v>
                </c:pt>
                <c:pt idx="61">
                  <c:v>175330.02</c:v>
                </c:pt>
                <c:pt idx="62">
                  <c:v>172661.50000000003</c:v>
                </c:pt>
                <c:pt idx="63">
                  <c:v>172069.36000000002</c:v>
                </c:pt>
                <c:pt idx="64">
                  <c:v>158141.57000000004</c:v>
                </c:pt>
                <c:pt idx="65">
                  <c:v>146835.50000000003</c:v>
                </c:pt>
                <c:pt idx="66">
                  <c:v>139648.98000000001</c:v>
                </c:pt>
                <c:pt idx="67">
                  <c:v>108665.01000000001</c:v>
                </c:pt>
                <c:pt idx="68">
                  <c:v>106577.13000000002</c:v>
                </c:pt>
                <c:pt idx="69">
                  <c:v>97951.38</c:v>
                </c:pt>
                <c:pt idx="70">
                  <c:v>94592.48</c:v>
                </c:pt>
                <c:pt idx="71">
                  <c:v>82981.26999999999</c:v>
                </c:pt>
                <c:pt idx="72">
                  <c:v>75698.449999999983</c:v>
                </c:pt>
                <c:pt idx="73">
                  <c:v>59419.960000000006</c:v>
                </c:pt>
                <c:pt idx="74">
                  <c:v>52851.03</c:v>
                </c:pt>
                <c:pt idx="75">
                  <c:v>49351.47</c:v>
                </c:pt>
                <c:pt idx="76">
                  <c:v>53150.07</c:v>
                </c:pt>
                <c:pt idx="77">
                  <c:v>52739.17</c:v>
                </c:pt>
                <c:pt idx="78">
                  <c:v>53309.97</c:v>
                </c:pt>
                <c:pt idx="79">
                  <c:v>54543.48</c:v>
                </c:pt>
                <c:pt idx="80">
                  <c:v>52319.519999999997</c:v>
                </c:pt>
                <c:pt idx="81">
                  <c:v>51431.709999999992</c:v>
                </c:pt>
                <c:pt idx="82">
                  <c:v>55705.99</c:v>
                </c:pt>
                <c:pt idx="83">
                  <c:v>61650.539999999986</c:v>
                </c:pt>
                <c:pt idx="84">
                  <c:v>62950.089999999989</c:v>
                </c:pt>
                <c:pt idx="85">
                  <c:v>63433.739999999991</c:v>
                </c:pt>
                <c:pt idx="86">
                  <c:v>64857.76999999999</c:v>
                </c:pt>
                <c:pt idx="87">
                  <c:v>64563.649999999994</c:v>
                </c:pt>
                <c:pt idx="88">
                  <c:v>69741.509999999995</c:v>
                </c:pt>
                <c:pt idx="89">
                  <c:v>71423.13</c:v>
                </c:pt>
                <c:pt idx="90">
                  <c:v>74011.98000000001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F4D-4F02-8BA5-C49EE6FE65B9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sites'!$A$706:$A$802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sites'!$E$706:$E$802</c:f>
              <c:numCache>
                <c:formatCode>_-* #\ ##0\ [$€-40C]_-;\-* #\ ##0\ [$€-40C]_-;_-* "-"??\ [$€-40C]_-;_-@_-</c:formatCode>
                <c:ptCount val="97"/>
                <c:pt idx="0">
                  <c:v>90630.220000000016</c:v>
                </c:pt>
                <c:pt idx="1">
                  <c:v>91974.040000000023</c:v>
                </c:pt>
                <c:pt idx="2">
                  <c:v>89022.430000000008</c:v>
                </c:pt>
                <c:pt idx="3">
                  <c:v>89783.360000000001</c:v>
                </c:pt>
                <c:pt idx="4">
                  <c:v>96297.97</c:v>
                </c:pt>
                <c:pt idx="5">
                  <c:v>95618.690000000017</c:v>
                </c:pt>
                <c:pt idx="6">
                  <c:v>93794.98000000001</c:v>
                </c:pt>
                <c:pt idx="7">
                  <c:v>89001.71</c:v>
                </c:pt>
                <c:pt idx="8">
                  <c:v>90289.48000000001</c:v>
                </c:pt>
                <c:pt idx="9">
                  <c:v>91275.220000000016</c:v>
                </c:pt>
                <c:pt idx="10">
                  <c:v>84591.950000000012</c:v>
                </c:pt>
                <c:pt idx="11">
                  <c:v>81766.549999999988</c:v>
                </c:pt>
                <c:pt idx="12">
                  <c:v>80762.399999999994</c:v>
                </c:pt>
                <c:pt idx="13">
                  <c:v>79523.200000000012</c:v>
                </c:pt>
                <c:pt idx="14">
                  <c:v>77948.140000000014</c:v>
                </c:pt>
                <c:pt idx="15">
                  <c:v>74872.510000000009</c:v>
                </c:pt>
                <c:pt idx="16">
                  <c:v>69025.830000000016</c:v>
                </c:pt>
                <c:pt idx="17">
                  <c:v>68638.350000000006</c:v>
                </c:pt>
                <c:pt idx="18">
                  <c:v>69262.2</c:v>
                </c:pt>
                <c:pt idx="19">
                  <c:v>70127.66</c:v>
                </c:pt>
                <c:pt idx="20">
                  <c:v>70377.5</c:v>
                </c:pt>
                <c:pt idx="21">
                  <c:v>69450.070000000007</c:v>
                </c:pt>
                <c:pt idx="22">
                  <c:v>68143.199999999997</c:v>
                </c:pt>
                <c:pt idx="23">
                  <c:v>69394.600000000006</c:v>
                </c:pt>
                <c:pt idx="24">
                  <c:v>69673.920000000013</c:v>
                </c:pt>
                <c:pt idx="25">
                  <c:v>71435.78</c:v>
                </c:pt>
                <c:pt idx="26">
                  <c:v>71592.850000000006</c:v>
                </c:pt>
                <c:pt idx="27">
                  <c:v>72918.070000000007</c:v>
                </c:pt>
                <c:pt idx="28">
                  <c:v>71567.09</c:v>
                </c:pt>
                <c:pt idx="29">
                  <c:v>72052.38</c:v>
                </c:pt>
                <c:pt idx="30">
                  <c:v>71534.990000000005</c:v>
                </c:pt>
                <c:pt idx="31">
                  <c:v>70975.06</c:v>
                </c:pt>
                <c:pt idx="32">
                  <c:v>73170.329999999987</c:v>
                </c:pt>
                <c:pt idx="33">
                  <c:v>71718.77</c:v>
                </c:pt>
                <c:pt idx="34">
                  <c:v>77033.33</c:v>
                </c:pt>
                <c:pt idx="35">
                  <c:v>76585.210000000021</c:v>
                </c:pt>
                <c:pt idx="36">
                  <c:v>75573.349999999991</c:v>
                </c:pt>
                <c:pt idx="37">
                  <c:v>74163.95</c:v>
                </c:pt>
                <c:pt idx="38">
                  <c:v>74363.8</c:v>
                </c:pt>
                <c:pt idx="39">
                  <c:v>71229.72</c:v>
                </c:pt>
                <c:pt idx="40">
                  <c:v>71573.91</c:v>
                </c:pt>
                <c:pt idx="41">
                  <c:v>69475.05</c:v>
                </c:pt>
                <c:pt idx="42">
                  <c:v>69556.929999999993</c:v>
                </c:pt>
                <c:pt idx="43">
                  <c:v>69261.299999999988</c:v>
                </c:pt>
                <c:pt idx="44">
                  <c:v>68057.8</c:v>
                </c:pt>
                <c:pt idx="45">
                  <c:v>68135.759999999995</c:v>
                </c:pt>
                <c:pt idx="46">
                  <c:v>66886</c:v>
                </c:pt>
                <c:pt idx="47">
                  <c:v>65446.630000000005</c:v>
                </c:pt>
                <c:pt idx="48">
                  <c:v>65410.520000000004</c:v>
                </c:pt>
                <c:pt idx="49">
                  <c:v>67984.53</c:v>
                </c:pt>
                <c:pt idx="50">
                  <c:v>67715.699999999983</c:v>
                </c:pt>
                <c:pt idx="51">
                  <c:v>67112.95</c:v>
                </c:pt>
                <c:pt idx="52">
                  <c:v>69276.889999999985</c:v>
                </c:pt>
                <c:pt idx="53">
                  <c:v>69045.36</c:v>
                </c:pt>
                <c:pt idx="54">
                  <c:v>66885.449999999983</c:v>
                </c:pt>
                <c:pt idx="55">
                  <c:v>69437.539999999994</c:v>
                </c:pt>
                <c:pt idx="56">
                  <c:v>70226.499999999985</c:v>
                </c:pt>
                <c:pt idx="57">
                  <c:v>71081.2</c:v>
                </c:pt>
                <c:pt idx="58">
                  <c:v>71467.569999999992</c:v>
                </c:pt>
                <c:pt idx="59">
                  <c:v>73016.489999999991</c:v>
                </c:pt>
                <c:pt idx="60">
                  <c:v>84524.81</c:v>
                </c:pt>
                <c:pt idx="61">
                  <c:v>78427.240000000005</c:v>
                </c:pt>
                <c:pt idx="62">
                  <c:v>77971.499999999985</c:v>
                </c:pt>
                <c:pt idx="63">
                  <c:v>74589.799999999988</c:v>
                </c:pt>
                <c:pt idx="64">
                  <c:v>69868.719999999987</c:v>
                </c:pt>
                <c:pt idx="65">
                  <c:v>69924.28</c:v>
                </c:pt>
                <c:pt idx="66">
                  <c:v>68357.689999999988</c:v>
                </c:pt>
                <c:pt idx="67">
                  <c:v>65976.17</c:v>
                </c:pt>
                <c:pt idx="68">
                  <c:v>64142.860000000008</c:v>
                </c:pt>
                <c:pt idx="69">
                  <c:v>63722.350000000006</c:v>
                </c:pt>
                <c:pt idx="70">
                  <c:v>59738.320000000007</c:v>
                </c:pt>
                <c:pt idx="71">
                  <c:v>53875.34</c:v>
                </c:pt>
                <c:pt idx="72">
                  <c:v>47970.930000000008</c:v>
                </c:pt>
                <c:pt idx="73">
                  <c:v>40878.530000000006</c:v>
                </c:pt>
                <c:pt idx="74">
                  <c:v>37671.9</c:v>
                </c:pt>
                <c:pt idx="75">
                  <c:v>40745.83</c:v>
                </c:pt>
                <c:pt idx="76">
                  <c:v>42656.01</c:v>
                </c:pt>
                <c:pt idx="77">
                  <c:v>42340.84</c:v>
                </c:pt>
                <c:pt idx="78">
                  <c:v>43830.21</c:v>
                </c:pt>
                <c:pt idx="79">
                  <c:v>44193.430000000008</c:v>
                </c:pt>
                <c:pt idx="80">
                  <c:v>44007.310000000012</c:v>
                </c:pt>
                <c:pt idx="81">
                  <c:v>40088.879999999997</c:v>
                </c:pt>
                <c:pt idx="82">
                  <c:v>39760.000000000007</c:v>
                </c:pt>
                <c:pt idx="83">
                  <c:v>42110.040000000008</c:v>
                </c:pt>
                <c:pt idx="84">
                  <c:v>44231.710000000006</c:v>
                </c:pt>
                <c:pt idx="85">
                  <c:v>48647.119999999995</c:v>
                </c:pt>
                <c:pt idx="86">
                  <c:v>50554.97</c:v>
                </c:pt>
                <c:pt idx="87">
                  <c:v>50208.920000000006</c:v>
                </c:pt>
                <c:pt idx="88">
                  <c:v>51283.11</c:v>
                </c:pt>
                <c:pt idx="89">
                  <c:v>50876.959999999999</c:v>
                </c:pt>
                <c:pt idx="90">
                  <c:v>51686.380000000005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F4D-4F02-8BA5-C49EE6FE65B9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sites'!$A$706:$A$802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sites'!$F$706:$F$802</c:f>
              <c:numCache>
                <c:formatCode>_-* #\ ##0\ [$€-40C]_-;\-* #\ ##0\ [$€-40C]_-;_-* "-"??\ [$€-40C]_-;_-@_-</c:formatCode>
                <c:ptCount val="97"/>
                <c:pt idx="0">
                  <c:v>567.58000000000004</c:v>
                </c:pt>
                <c:pt idx="1">
                  <c:v>833.07</c:v>
                </c:pt>
                <c:pt idx="2">
                  <c:v>831.5100000000001</c:v>
                </c:pt>
                <c:pt idx="3">
                  <c:v>965.16000000000008</c:v>
                </c:pt>
                <c:pt idx="4">
                  <c:v>965.16000000000008</c:v>
                </c:pt>
                <c:pt idx="5">
                  <c:v>1003.84</c:v>
                </c:pt>
                <c:pt idx="6">
                  <c:v>666.34999999999991</c:v>
                </c:pt>
                <c:pt idx="7">
                  <c:v>666.34999999999991</c:v>
                </c:pt>
                <c:pt idx="8">
                  <c:v>666.34999999999991</c:v>
                </c:pt>
                <c:pt idx="9">
                  <c:v>771.01</c:v>
                </c:pt>
                <c:pt idx="10">
                  <c:v>862.63</c:v>
                </c:pt>
                <c:pt idx="11">
                  <c:v>826.95</c:v>
                </c:pt>
                <c:pt idx="12">
                  <c:v>826.95</c:v>
                </c:pt>
                <c:pt idx="13">
                  <c:v>627.95000000000005</c:v>
                </c:pt>
                <c:pt idx="14">
                  <c:v>627.95000000000005</c:v>
                </c:pt>
                <c:pt idx="15">
                  <c:v>488.03</c:v>
                </c:pt>
                <c:pt idx="16">
                  <c:v>488.03</c:v>
                </c:pt>
                <c:pt idx="17">
                  <c:v>471.45</c:v>
                </c:pt>
                <c:pt idx="18">
                  <c:v>565.54999999999995</c:v>
                </c:pt>
                <c:pt idx="19">
                  <c:v>568.30999999999995</c:v>
                </c:pt>
                <c:pt idx="20">
                  <c:v>577.33999999999992</c:v>
                </c:pt>
                <c:pt idx="21">
                  <c:v>437.30999999999995</c:v>
                </c:pt>
                <c:pt idx="22">
                  <c:v>345.68999999999994</c:v>
                </c:pt>
                <c:pt idx="23">
                  <c:v>380.47</c:v>
                </c:pt>
                <c:pt idx="24">
                  <c:v>380.47</c:v>
                </c:pt>
                <c:pt idx="25">
                  <c:v>309.47000000000003</c:v>
                </c:pt>
                <c:pt idx="26">
                  <c:v>309.47000000000003</c:v>
                </c:pt>
                <c:pt idx="27">
                  <c:v>283.15999999999997</c:v>
                </c:pt>
                <c:pt idx="28">
                  <c:v>283.15999999999997</c:v>
                </c:pt>
                <c:pt idx="29">
                  <c:v>261.06</c:v>
                </c:pt>
                <c:pt idx="30">
                  <c:v>123.7</c:v>
                </c:pt>
                <c:pt idx="31">
                  <c:v>203.82</c:v>
                </c:pt>
                <c:pt idx="32">
                  <c:v>194.79</c:v>
                </c:pt>
                <c:pt idx="33">
                  <c:v>217.89999999999998</c:v>
                </c:pt>
                <c:pt idx="34">
                  <c:v>324.29999999999995</c:v>
                </c:pt>
                <c:pt idx="35">
                  <c:v>259.00000000000006</c:v>
                </c:pt>
                <c:pt idx="36">
                  <c:v>259.00000000000006</c:v>
                </c:pt>
                <c:pt idx="37">
                  <c:v>369.75000000000006</c:v>
                </c:pt>
                <c:pt idx="38">
                  <c:v>1903.0300000000002</c:v>
                </c:pt>
                <c:pt idx="39">
                  <c:v>1938.3100000000002</c:v>
                </c:pt>
                <c:pt idx="40">
                  <c:v>2618.3100000000004</c:v>
                </c:pt>
                <c:pt idx="41">
                  <c:v>3161.4000000000005</c:v>
                </c:pt>
                <c:pt idx="42">
                  <c:v>4059.6000000000004</c:v>
                </c:pt>
                <c:pt idx="43">
                  <c:v>3976.7200000000003</c:v>
                </c:pt>
                <c:pt idx="44">
                  <c:v>4007.94</c:v>
                </c:pt>
                <c:pt idx="45">
                  <c:v>4313.2700000000004</c:v>
                </c:pt>
                <c:pt idx="46">
                  <c:v>5053.4399999999996</c:v>
                </c:pt>
                <c:pt idx="47">
                  <c:v>6002.8</c:v>
                </c:pt>
                <c:pt idx="48">
                  <c:v>6002.8</c:v>
                </c:pt>
                <c:pt idx="49">
                  <c:v>6450.2</c:v>
                </c:pt>
                <c:pt idx="50">
                  <c:v>5151.3900000000003</c:v>
                </c:pt>
                <c:pt idx="51">
                  <c:v>5431.23</c:v>
                </c:pt>
                <c:pt idx="52">
                  <c:v>5042.3300000000008</c:v>
                </c:pt>
                <c:pt idx="53">
                  <c:v>5160.8000000000011</c:v>
                </c:pt>
                <c:pt idx="54">
                  <c:v>4610.7199999999993</c:v>
                </c:pt>
                <c:pt idx="55">
                  <c:v>5448.9499999999989</c:v>
                </c:pt>
                <c:pt idx="56">
                  <c:v>5700.3399999999992</c:v>
                </c:pt>
                <c:pt idx="57">
                  <c:v>5855.41</c:v>
                </c:pt>
                <c:pt idx="58">
                  <c:v>5311.53</c:v>
                </c:pt>
                <c:pt idx="59">
                  <c:v>5100.18</c:v>
                </c:pt>
                <c:pt idx="60">
                  <c:v>5428.9900000000007</c:v>
                </c:pt>
                <c:pt idx="61">
                  <c:v>5417.9700000000012</c:v>
                </c:pt>
                <c:pt idx="62">
                  <c:v>5686.9900000000007</c:v>
                </c:pt>
                <c:pt idx="63">
                  <c:v>5361.79</c:v>
                </c:pt>
                <c:pt idx="64">
                  <c:v>5070.6899999999996</c:v>
                </c:pt>
                <c:pt idx="65">
                  <c:v>4753.93</c:v>
                </c:pt>
                <c:pt idx="66">
                  <c:v>4801.93</c:v>
                </c:pt>
                <c:pt idx="67">
                  <c:v>4425.920000000001</c:v>
                </c:pt>
                <c:pt idx="68">
                  <c:v>4533.3100000000004</c:v>
                </c:pt>
                <c:pt idx="69">
                  <c:v>4179.4700000000012</c:v>
                </c:pt>
                <c:pt idx="70">
                  <c:v>3876.78</c:v>
                </c:pt>
                <c:pt idx="71">
                  <c:v>3417.0899999999997</c:v>
                </c:pt>
                <c:pt idx="72">
                  <c:v>3088.2799999999997</c:v>
                </c:pt>
                <c:pt idx="73">
                  <c:v>3157.15</c:v>
                </c:pt>
                <c:pt idx="74">
                  <c:v>2837.66</c:v>
                </c:pt>
                <c:pt idx="75">
                  <c:v>4813.78</c:v>
                </c:pt>
                <c:pt idx="76">
                  <c:v>4813.78</c:v>
                </c:pt>
                <c:pt idx="77">
                  <c:v>4612.9799999999996</c:v>
                </c:pt>
                <c:pt idx="78">
                  <c:v>4475.0599999999995</c:v>
                </c:pt>
                <c:pt idx="79">
                  <c:v>11636.33</c:v>
                </c:pt>
                <c:pt idx="80">
                  <c:v>11246.33</c:v>
                </c:pt>
                <c:pt idx="81">
                  <c:v>11134.689999999999</c:v>
                </c:pt>
                <c:pt idx="82">
                  <c:v>11557.899999999998</c:v>
                </c:pt>
                <c:pt idx="83">
                  <c:v>11865.939999999999</c:v>
                </c:pt>
                <c:pt idx="84">
                  <c:v>12290.819999999998</c:v>
                </c:pt>
                <c:pt idx="85">
                  <c:v>11737.519999999999</c:v>
                </c:pt>
                <c:pt idx="86">
                  <c:v>11581.97</c:v>
                </c:pt>
                <c:pt idx="87">
                  <c:v>9815.630000000001</c:v>
                </c:pt>
                <c:pt idx="88">
                  <c:v>9856.9500000000007</c:v>
                </c:pt>
                <c:pt idx="89">
                  <c:v>10226.130000000001</c:v>
                </c:pt>
                <c:pt idx="90">
                  <c:v>11028.260000000002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F4D-4F02-8BA5-C49EE6FE65B9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sites'!$A$706:$A$802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sites'!$G$706:$G$802</c:f>
              <c:numCache>
                <c:formatCode>_-* #\ ##0\ [$€-40C]_-;\-* #\ ##0\ [$€-40C]_-;_-* "-"??\ [$€-40C]_-;_-@_-</c:formatCode>
                <c:ptCount val="97"/>
                <c:pt idx="0">
                  <c:v>3149.33</c:v>
                </c:pt>
                <c:pt idx="1">
                  <c:v>3517.75</c:v>
                </c:pt>
                <c:pt idx="2">
                  <c:v>3865.23</c:v>
                </c:pt>
                <c:pt idx="3">
                  <c:v>3871.2800000000007</c:v>
                </c:pt>
                <c:pt idx="4">
                  <c:v>3892.2900000000009</c:v>
                </c:pt>
                <c:pt idx="5">
                  <c:v>3141.2700000000004</c:v>
                </c:pt>
                <c:pt idx="6">
                  <c:v>3310.1900000000005</c:v>
                </c:pt>
                <c:pt idx="7">
                  <c:v>2846.03</c:v>
                </c:pt>
                <c:pt idx="8">
                  <c:v>2808.1600000000003</c:v>
                </c:pt>
                <c:pt idx="9">
                  <c:v>2978.3900000000003</c:v>
                </c:pt>
                <c:pt idx="10">
                  <c:v>2619.1999999999998</c:v>
                </c:pt>
                <c:pt idx="11">
                  <c:v>2546.92</c:v>
                </c:pt>
                <c:pt idx="12">
                  <c:v>2492.2799999999997</c:v>
                </c:pt>
                <c:pt idx="13">
                  <c:v>2145.5799999999995</c:v>
                </c:pt>
                <c:pt idx="14">
                  <c:v>1522.0300000000004</c:v>
                </c:pt>
                <c:pt idx="15">
                  <c:v>1515.2300000000002</c:v>
                </c:pt>
                <c:pt idx="16">
                  <c:v>1275.55</c:v>
                </c:pt>
                <c:pt idx="17">
                  <c:v>1176.96</c:v>
                </c:pt>
                <c:pt idx="18">
                  <c:v>935.08</c:v>
                </c:pt>
                <c:pt idx="19">
                  <c:v>1534.01</c:v>
                </c:pt>
                <c:pt idx="20">
                  <c:v>1480.44</c:v>
                </c:pt>
                <c:pt idx="21">
                  <c:v>1534.2700000000002</c:v>
                </c:pt>
                <c:pt idx="22">
                  <c:v>1546.4899999999998</c:v>
                </c:pt>
                <c:pt idx="23">
                  <c:v>1530.7199999999998</c:v>
                </c:pt>
                <c:pt idx="24">
                  <c:v>1638.44</c:v>
                </c:pt>
                <c:pt idx="25">
                  <c:v>1693.8000000000002</c:v>
                </c:pt>
                <c:pt idx="26">
                  <c:v>1696.0500000000002</c:v>
                </c:pt>
                <c:pt idx="27">
                  <c:v>1692.66</c:v>
                </c:pt>
                <c:pt idx="28">
                  <c:v>1392.4099999999999</c:v>
                </c:pt>
                <c:pt idx="29">
                  <c:v>1388.61</c:v>
                </c:pt>
                <c:pt idx="30">
                  <c:v>1406.55</c:v>
                </c:pt>
                <c:pt idx="31">
                  <c:v>965.44</c:v>
                </c:pt>
                <c:pt idx="32">
                  <c:v>1696.97</c:v>
                </c:pt>
                <c:pt idx="33">
                  <c:v>1421.66</c:v>
                </c:pt>
                <c:pt idx="34">
                  <c:v>1410.03</c:v>
                </c:pt>
                <c:pt idx="35">
                  <c:v>1727.2</c:v>
                </c:pt>
                <c:pt idx="36">
                  <c:v>1591.8600000000001</c:v>
                </c:pt>
                <c:pt idx="37">
                  <c:v>1515.4600000000003</c:v>
                </c:pt>
                <c:pt idx="38">
                  <c:v>1695.9400000000003</c:v>
                </c:pt>
                <c:pt idx="39">
                  <c:v>1582.2900000000002</c:v>
                </c:pt>
                <c:pt idx="40">
                  <c:v>1621.2200000000003</c:v>
                </c:pt>
                <c:pt idx="41">
                  <c:v>1614.8600000000001</c:v>
                </c:pt>
                <c:pt idx="42">
                  <c:v>1659.0100000000002</c:v>
                </c:pt>
                <c:pt idx="43">
                  <c:v>1500.7800000000002</c:v>
                </c:pt>
                <c:pt idx="44">
                  <c:v>771.86999999999989</c:v>
                </c:pt>
                <c:pt idx="45">
                  <c:v>744.49999999999989</c:v>
                </c:pt>
                <c:pt idx="46">
                  <c:v>720.24999999999989</c:v>
                </c:pt>
                <c:pt idx="47">
                  <c:v>420.87999999999994</c:v>
                </c:pt>
                <c:pt idx="48">
                  <c:v>415.10999999999996</c:v>
                </c:pt>
                <c:pt idx="49">
                  <c:v>415.55</c:v>
                </c:pt>
                <c:pt idx="50">
                  <c:v>249.36999999999998</c:v>
                </c:pt>
                <c:pt idx="51">
                  <c:v>204.22</c:v>
                </c:pt>
                <c:pt idx="52">
                  <c:v>508.95</c:v>
                </c:pt>
                <c:pt idx="53">
                  <c:v>516.1</c:v>
                </c:pt>
                <c:pt idx="54">
                  <c:v>456.26999999999992</c:v>
                </c:pt>
                <c:pt idx="55">
                  <c:v>812.62999999999988</c:v>
                </c:pt>
                <c:pt idx="56">
                  <c:v>807.59</c:v>
                </c:pt>
                <c:pt idx="57">
                  <c:v>816.61999999999989</c:v>
                </c:pt>
                <c:pt idx="58">
                  <c:v>972.99999999999989</c:v>
                </c:pt>
                <c:pt idx="59">
                  <c:v>1084.27</c:v>
                </c:pt>
                <c:pt idx="60">
                  <c:v>1651.54</c:v>
                </c:pt>
                <c:pt idx="61">
                  <c:v>1782.1299999999999</c:v>
                </c:pt>
                <c:pt idx="62">
                  <c:v>1729.4499999999998</c:v>
                </c:pt>
                <c:pt idx="63">
                  <c:v>1729.4499999999998</c:v>
                </c:pt>
                <c:pt idx="64">
                  <c:v>1385.79</c:v>
                </c:pt>
                <c:pt idx="65">
                  <c:v>1378.6399999999999</c:v>
                </c:pt>
                <c:pt idx="66">
                  <c:v>1376.3799999999999</c:v>
                </c:pt>
                <c:pt idx="67">
                  <c:v>1018.89</c:v>
                </c:pt>
                <c:pt idx="68">
                  <c:v>1015.29</c:v>
                </c:pt>
                <c:pt idx="69">
                  <c:v>1004.5600000000001</c:v>
                </c:pt>
                <c:pt idx="70">
                  <c:v>865.28</c:v>
                </c:pt>
                <c:pt idx="71">
                  <c:v>736.21</c:v>
                </c:pt>
                <c:pt idx="72">
                  <c:v>168.93999999999997</c:v>
                </c:pt>
                <c:pt idx="73">
                  <c:v>33.090000000000003</c:v>
                </c:pt>
                <c:pt idx="74">
                  <c:v>21.05</c:v>
                </c:pt>
                <c:pt idx="75">
                  <c:v>52.730000000000004</c:v>
                </c:pt>
                <c:pt idx="76">
                  <c:v>52.730000000000004</c:v>
                </c:pt>
                <c:pt idx="77">
                  <c:v>57.77</c:v>
                </c:pt>
                <c:pt idx="78">
                  <c:v>179.18</c:v>
                </c:pt>
                <c:pt idx="79">
                  <c:v>183.70000000000002</c:v>
                </c:pt>
                <c:pt idx="80">
                  <c:v>197.50000000000003</c:v>
                </c:pt>
                <c:pt idx="81">
                  <c:v>212.27</c:v>
                </c:pt>
                <c:pt idx="82">
                  <c:v>195.17000000000002</c:v>
                </c:pt>
                <c:pt idx="83">
                  <c:v>197.22000000000003</c:v>
                </c:pt>
                <c:pt idx="84">
                  <c:v>764.49</c:v>
                </c:pt>
                <c:pt idx="85">
                  <c:v>764.83</c:v>
                </c:pt>
                <c:pt idx="86">
                  <c:v>764.83</c:v>
                </c:pt>
                <c:pt idx="87">
                  <c:v>737.47000000000014</c:v>
                </c:pt>
                <c:pt idx="88">
                  <c:v>739.36000000000013</c:v>
                </c:pt>
                <c:pt idx="89">
                  <c:v>735.83</c:v>
                </c:pt>
                <c:pt idx="90">
                  <c:v>614.80000000000007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F4D-4F02-8BA5-C49EE6FE65B9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sites'!$A$706:$A$802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sites'!$H$706:$H$802</c:f>
              <c:numCache>
                <c:formatCode>_-* #\ ##0\ [$€-40C]_-;\-* #\ ##0\ [$€-40C]_-;_-* "-"??\ [$€-40C]_-;_-@_-</c:formatCode>
                <c:ptCount val="97"/>
                <c:pt idx="0">
                  <c:v>1278.8400000000001</c:v>
                </c:pt>
                <c:pt idx="1">
                  <c:v>1174.4999999999998</c:v>
                </c:pt>
                <c:pt idx="2">
                  <c:v>1287.8200000000002</c:v>
                </c:pt>
                <c:pt idx="3">
                  <c:v>2924.37</c:v>
                </c:pt>
                <c:pt idx="4">
                  <c:v>2924.37</c:v>
                </c:pt>
                <c:pt idx="5">
                  <c:v>2756.0299999999997</c:v>
                </c:pt>
                <c:pt idx="6">
                  <c:v>2719.13</c:v>
                </c:pt>
                <c:pt idx="7">
                  <c:v>2719.13</c:v>
                </c:pt>
                <c:pt idx="8">
                  <c:v>2739.13</c:v>
                </c:pt>
                <c:pt idx="9">
                  <c:v>2819.75</c:v>
                </c:pt>
                <c:pt idx="10">
                  <c:v>2921.75</c:v>
                </c:pt>
                <c:pt idx="11">
                  <c:v>3403.2400000000002</c:v>
                </c:pt>
                <c:pt idx="12">
                  <c:v>3564.7400000000002</c:v>
                </c:pt>
                <c:pt idx="13">
                  <c:v>3573.4500000000003</c:v>
                </c:pt>
                <c:pt idx="14">
                  <c:v>3658.9100000000003</c:v>
                </c:pt>
                <c:pt idx="15">
                  <c:v>2765.4</c:v>
                </c:pt>
                <c:pt idx="16">
                  <c:v>2775.4</c:v>
                </c:pt>
                <c:pt idx="17">
                  <c:v>2548.7400000000002</c:v>
                </c:pt>
                <c:pt idx="18">
                  <c:v>2839.21</c:v>
                </c:pt>
                <c:pt idx="19">
                  <c:v>2839.21</c:v>
                </c:pt>
                <c:pt idx="20">
                  <c:v>2819.21</c:v>
                </c:pt>
                <c:pt idx="21">
                  <c:v>2763.4900000000002</c:v>
                </c:pt>
                <c:pt idx="22">
                  <c:v>2939.1400000000003</c:v>
                </c:pt>
                <c:pt idx="23">
                  <c:v>5538.72</c:v>
                </c:pt>
                <c:pt idx="24">
                  <c:v>5421.2699999999995</c:v>
                </c:pt>
                <c:pt idx="25">
                  <c:v>5379.9900000000007</c:v>
                </c:pt>
                <c:pt idx="26">
                  <c:v>6809.74</c:v>
                </c:pt>
                <c:pt idx="27">
                  <c:v>9927.3000000000011</c:v>
                </c:pt>
                <c:pt idx="28">
                  <c:v>10823.490000000002</c:v>
                </c:pt>
                <c:pt idx="29">
                  <c:v>15140.400000000001</c:v>
                </c:pt>
                <c:pt idx="30">
                  <c:v>16175.65</c:v>
                </c:pt>
                <c:pt idx="31">
                  <c:v>16762.93</c:v>
                </c:pt>
                <c:pt idx="32">
                  <c:v>17401.260000000002</c:v>
                </c:pt>
                <c:pt idx="33">
                  <c:v>18693.800000000003</c:v>
                </c:pt>
                <c:pt idx="34">
                  <c:v>19165.060000000001</c:v>
                </c:pt>
                <c:pt idx="35">
                  <c:v>16060.79</c:v>
                </c:pt>
                <c:pt idx="36">
                  <c:v>16060.789999999999</c:v>
                </c:pt>
                <c:pt idx="37">
                  <c:v>16405.52</c:v>
                </c:pt>
                <c:pt idx="38">
                  <c:v>15281.59</c:v>
                </c:pt>
                <c:pt idx="39">
                  <c:v>11619.029999999999</c:v>
                </c:pt>
                <c:pt idx="40">
                  <c:v>10757.809999999998</c:v>
                </c:pt>
                <c:pt idx="41">
                  <c:v>6610.0499999999993</c:v>
                </c:pt>
                <c:pt idx="42">
                  <c:v>5798.7399999999989</c:v>
                </c:pt>
                <c:pt idx="43">
                  <c:v>5235.46</c:v>
                </c:pt>
                <c:pt idx="44">
                  <c:v>5025.51</c:v>
                </c:pt>
                <c:pt idx="45">
                  <c:v>4388.2699999999995</c:v>
                </c:pt>
                <c:pt idx="46">
                  <c:v>3888.7000000000003</c:v>
                </c:pt>
                <c:pt idx="47">
                  <c:v>4879.84</c:v>
                </c:pt>
                <c:pt idx="48">
                  <c:v>5347.7900000000009</c:v>
                </c:pt>
                <c:pt idx="49">
                  <c:v>5155.880000000001</c:v>
                </c:pt>
                <c:pt idx="50">
                  <c:v>5094.33</c:v>
                </c:pt>
                <c:pt idx="51">
                  <c:v>5367.2899999999991</c:v>
                </c:pt>
                <c:pt idx="52">
                  <c:v>6863.96</c:v>
                </c:pt>
                <c:pt idx="53">
                  <c:v>7797.31</c:v>
                </c:pt>
                <c:pt idx="54">
                  <c:v>7846.69</c:v>
                </c:pt>
                <c:pt idx="55">
                  <c:v>7822.69</c:v>
                </c:pt>
                <c:pt idx="56">
                  <c:v>7520.31</c:v>
                </c:pt>
                <c:pt idx="57">
                  <c:v>7350.21</c:v>
                </c:pt>
                <c:pt idx="58">
                  <c:v>7248.62</c:v>
                </c:pt>
                <c:pt idx="59">
                  <c:v>6209.58</c:v>
                </c:pt>
                <c:pt idx="60">
                  <c:v>5824.58</c:v>
                </c:pt>
                <c:pt idx="61">
                  <c:v>6163.61</c:v>
                </c:pt>
                <c:pt idx="62">
                  <c:v>5594.16</c:v>
                </c:pt>
                <c:pt idx="63">
                  <c:v>5089.76</c:v>
                </c:pt>
                <c:pt idx="64">
                  <c:v>3548.12</c:v>
                </c:pt>
                <c:pt idx="65">
                  <c:v>2804.62</c:v>
                </c:pt>
                <c:pt idx="66">
                  <c:v>2046.87</c:v>
                </c:pt>
                <c:pt idx="67">
                  <c:v>2046.87</c:v>
                </c:pt>
                <c:pt idx="68">
                  <c:v>2102.87</c:v>
                </c:pt>
                <c:pt idx="69">
                  <c:v>1805.82</c:v>
                </c:pt>
                <c:pt idx="70">
                  <c:v>2966.67</c:v>
                </c:pt>
                <c:pt idx="71">
                  <c:v>2966.67</c:v>
                </c:pt>
                <c:pt idx="72">
                  <c:v>2887.67</c:v>
                </c:pt>
                <c:pt idx="73">
                  <c:v>2293.0500000000002</c:v>
                </c:pt>
                <c:pt idx="74">
                  <c:v>2349.0500000000002</c:v>
                </c:pt>
                <c:pt idx="75">
                  <c:v>2637.05</c:v>
                </c:pt>
                <c:pt idx="76">
                  <c:v>2637.05</c:v>
                </c:pt>
                <c:pt idx="77">
                  <c:v>2822.75</c:v>
                </c:pt>
                <c:pt idx="78">
                  <c:v>2822.75</c:v>
                </c:pt>
                <c:pt idx="79">
                  <c:v>2822.75</c:v>
                </c:pt>
                <c:pt idx="80">
                  <c:v>2640.75</c:v>
                </c:pt>
                <c:pt idx="81">
                  <c:v>2818.6800000000003</c:v>
                </c:pt>
                <c:pt idx="82">
                  <c:v>1854.49</c:v>
                </c:pt>
                <c:pt idx="83">
                  <c:v>2601.23</c:v>
                </c:pt>
                <c:pt idx="84">
                  <c:v>2970.83</c:v>
                </c:pt>
                <c:pt idx="85">
                  <c:v>3526.1099999999997</c:v>
                </c:pt>
                <c:pt idx="86">
                  <c:v>4191.25</c:v>
                </c:pt>
                <c:pt idx="87">
                  <c:v>4343.4299999999994</c:v>
                </c:pt>
                <c:pt idx="88">
                  <c:v>4389.7599999999993</c:v>
                </c:pt>
                <c:pt idx="89">
                  <c:v>4422.0899999999992</c:v>
                </c:pt>
                <c:pt idx="90">
                  <c:v>4869.579999999999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F4D-4F02-8BA5-C49EE6FE65B9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sites'!$A$706:$A$802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sites'!$I$706:$I$802</c:f>
              <c:numCache>
                <c:formatCode>_-* #\ ##0\ [$€-40C]_-;\-* #\ ##0\ [$€-40C]_-;_-* "-"??\ [$€-40C]_-;_-@_-</c:formatCode>
                <c:ptCount val="97"/>
                <c:pt idx="0">
                  <c:v>11915.449999999999</c:v>
                </c:pt>
                <c:pt idx="1">
                  <c:v>11808.5</c:v>
                </c:pt>
                <c:pt idx="2">
                  <c:v>13225.349999999999</c:v>
                </c:pt>
                <c:pt idx="3">
                  <c:v>14487.3</c:v>
                </c:pt>
                <c:pt idx="4">
                  <c:v>16595.75</c:v>
                </c:pt>
                <c:pt idx="5">
                  <c:v>15920.089999999998</c:v>
                </c:pt>
                <c:pt idx="6">
                  <c:v>14420.699999999999</c:v>
                </c:pt>
                <c:pt idx="7">
                  <c:v>11691.789999999999</c:v>
                </c:pt>
                <c:pt idx="8">
                  <c:v>11529.579999999998</c:v>
                </c:pt>
                <c:pt idx="9">
                  <c:v>11748.429999999998</c:v>
                </c:pt>
                <c:pt idx="10">
                  <c:v>9559.8299999999981</c:v>
                </c:pt>
                <c:pt idx="11">
                  <c:v>9563.4499999999989</c:v>
                </c:pt>
                <c:pt idx="12">
                  <c:v>9365.24</c:v>
                </c:pt>
                <c:pt idx="13">
                  <c:v>9645.16</c:v>
                </c:pt>
                <c:pt idx="14">
                  <c:v>8890.07</c:v>
                </c:pt>
                <c:pt idx="15">
                  <c:v>6696.829999999999</c:v>
                </c:pt>
                <c:pt idx="16">
                  <c:v>4292.7699999999995</c:v>
                </c:pt>
                <c:pt idx="17">
                  <c:v>6937.98</c:v>
                </c:pt>
                <c:pt idx="18">
                  <c:v>7040.8</c:v>
                </c:pt>
                <c:pt idx="19">
                  <c:v>7299.14</c:v>
                </c:pt>
                <c:pt idx="20">
                  <c:v>7777.9299999999994</c:v>
                </c:pt>
                <c:pt idx="21">
                  <c:v>7206.0099999999993</c:v>
                </c:pt>
                <c:pt idx="22">
                  <c:v>7160.0499999999993</c:v>
                </c:pt>
                <c:pt idx="23">
                  <c:v>8000</c:v>
                </c:pt>
                <c:pt idx="24">
                  <c:v>7774.1599999999989</c:v>
                </c:pt>
                <c:pt idx="25">
                  <c:v>7422.6899999999987</c:v>
                </c:pt>
                <c:pt idx="26">
                  <c:v>6469.28</c:v>
                </c:pt>
                <c:pt idx="27">
                  <c:v>6382.0300000000007</c:v>
                </c:pt>
                <c:pt idx="28">
                  <c:v>6280.77</c:v>
                </c:pt>
                <c:pt idx="29">
                  <c:v>3181.33</c:v>
                </c:pt>
                <c:pt idx="30">
                  <c:v>3054.7400000000002</c:v>
                </c:pt>
                <c:pt idx="31">
                  <c:v>2836.6499999999996</c:v>
                </c:pt>
                <c:pt idx="32">
                  <c:v>2253.9499999999998</c:v>
                </c:pt>
                <c:pt idx="33">
                  <c:v>1540.3700000000001</c:v>
                </c:pt>
                <c:pt idx="34">
                  <c:v>1599.3300000000004</c:v>
                </c:pt>
                <c:pt idx="35">
                  <c:v>856.40000000000009</c:v>
                </c:pt>
                <c:pt idx="36">
                  <c:v>804.95</c:v>
                </c:pt>
                <c:pt idx="37">
                  <c:v>820.4100000000002</c:v>
                </c:pt>
                <c:pt idx="38">
                  <c:v>780.37</c:v>
                </c:pt>
                <c:pt idx="39">
                  <c:v>862.28000000000009</c:v>
                </c:pt>
                <c:pt idx="40">
                  <c:v>874.34000000000026</c:v>
                </c:pt>
                <c:pt idx="41">
                  <c:v>868.79000000000019</c:v>
                </c:pt>
                <c:pt idx="42">
                  <c:v>844.92000000000007</c:v>
                </c:pt>
                <c:pt idx="43">
                  <c:v>855.06</c:v>
                </c:pt>
                <c:pt idx="44">
                  <c:v>808.4</c:v>
                </c:pt>
                <c:pt idx="45">
                  <c:v>955.23</c:v>
                </c:pt>
                <c:pt idx="46">
                  <c:v>890.83</c:v>
                </c:pt>
                <c:pt idx="47">
                  <c:v>3134.32</c:v>
                </c:pt>
                <c:pt idx="48">
                  <c:v>3154.79</c:v>
                </c:pt>
                <c:pt idx="49">
                  <c:v>3192.88</c:v>
                </c:pt>
                <c:pt idx="50">
                  <c:v>3274.25</c:v>
                </c:pt>
                <c:pt idx="51">
                  <c:v>3553.7799999999997</c:v>
                </c:pt>
                <c:pt idx="52">
                  <c:v>3576.8799999999997</c:v>
                </c:pt>
                <c:pt idx="53">
                  <c:v>3629.1799999999994</c:v>
                </c:pt>
                <c:pt idx="54">
                  <c:v>3607.0699999999993</c:v>
                </c:pt>
                <c:pt idx="55">
                  <c:v>3566.5499999999993</c:v>
                </c:pt>
                <c:pt idx="56">
                  <c:v>3606.4299999999994</c:v>
                </c:pt>
                <c:pt idx="57">
                  <c:v>3666.5399999999995</c:v>
                </c:pt>
                <c:pt idx="58">
                  <c:v>3824.9299999999994</c:v>
                </c:pt>
                <c:pt idx="59">
                  <c:v>1449.47</c:v>
                </c:pt>
                <c:pt idx="60">
                  <c:v>1425.33</c:v>
                </c:pt>
                <c:pt idx="61">
                  <c:v>1387.8500000000001</c:v>
                </c:pt>
                <c:pt idx="62">
                  <c:v>1307.4000000000001</c:v>
                </c:pt>
                <c:pt idx="63">
                  <c:v>904.75000000000011</c:v>
                </c:pt>
                <c:pt idx="64">
                  <c:v>833.94000000000017</c:v>
                </c:pt>
                <c:pt idx="65">
                  <c:v>918.11000000000013</c:v>
                </c:pt>
                <c:pt idx="66">
                  <c:v>870.35000000000014</c:v>
                </c:pt>
                <c:pt idx="67">
                  <c:v>885.58000000000015</c:v>
                </c:pt>
                <c:pt idx="68">
                  <c:v>995.8599999999999</c:v>
                </c:pt>
                <c:pt idx="69">
                  <c:v>826.07</c:v>
                </c:pt>
                <c:pt idx="70">
                  <c:v>834.2299999999999</c:v>
                </c:pt>
                <c:pt idx="71">
                  <c:v>835.77</c:v>
                </c:pt>
                <c:pt idx="72">
                  <c:v>823.44999999999993</c:v>
                </c:pt>
                <c:pt idx="73">
                  <c:v>769.27</c:v>
                </c:pt>
                <c:pt idx="74">
                  <c:v>14999.75</c:v>
                </c:pt>
                <c:pt idx="75">
                  <c:v>15322.789999999999</c:v>
                </c:pt>
                <c:pt idx="76">
                  <c:v>15322.789999999999</c:v>
                </c:pt>
                <c:pt idx="77">
                  <c:v>15129.96</c:v>
                </c:pt>
                <c:pt idx="78">
                  <c:v>15116.38</c:v>
                </c:pt>
                <c:pt idx="79">
                  <c:v>15088.92</c:v>
                </c:pt>
                <c:pt idx="80">
                  <c:v>15177.210000000001</c:v>
                </c:pt>
                <c:pt idx="81">
                  <c:v>15200.42</c:v>
                </c:pt>
                <c:pt idx="82">
                  <c:v>15000.550000000001</c:v>
                </c:pt>
                <c:pt idx="83">
                  <c:v>14977.93</c:v>
                </c:pt>
                <c:pt idx="84">
                  <c:v>14977.93</c:v>
                </c:pt>
                <c:pt idx="85">
                  <c:v>14977.93</c:v>
                </c:pt>
                <c:pt idx="86">
                  <c:v>1251.3600000000001</c:v>
                </c:pt>
                <c:pt idx="87">
                  <c:v>988.25</c:v>
                </c:pt>
                <c:pt idx="88">
                  <c:v>1072.94</c:v>
                </c:pt>
                <c:pt idx="89">
                  <c:v>1080.48</c:v>
                </c:pt>
                <c:pt idx="90">
                  <c:v>1060.01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F4D-4F02-8BA5-C49EE6FE65B9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sites'!$A$706:$A$802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sites'!$J$706:$J$802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116.1</c:v>
                </c:pt>
                <c:pt idx="19">
                  <c:v>116.1</c:v>
                </c:pt>
                <c:pt idx="20">
                  <c:v>116.1</c:v>
                </c:pt>
                <c:pt idx="21">
                  <c:v>116.1</c:v>
                </c:pt>
                <c:pt idx="22">
                  <c:v>116.1</c:v>
                </c:pt>
                <c:pt idx="23">
                  <c:v>116.1</c:v>
                </c:pt>
                <c:pt idx="24">
                  <c:v>116.1</c:v>
                </c:pt>
                <c:pt idx="25">
                  <c:v>116.1</c:v>
                </c:pt>
                <c:pt idx="26">
                  <c:v>3140.1</c:v>
                </c:pt>
                <c:pt idx="27">
                  <c:v>3140.1</c:v>
                </c:pt>
                <c:pt idx="28">
                  <c:v>3140.1</c:v>
                </c:pt>
                <c:pt idx="29">
                  <c:v>3140.1</c:v>
                </c:pt>
                <c:pt idx="30">
                  <c:v>3024</c:v>
                </c:pt>
                <c:pt idx="31">
                  <c:v>3024</c:v>
                </c:pt>
                <c:pt idx="32">
                  <c:v>3024</c:v>
                </c:pt>
                <c:pt idx="33">
                  <c:v>3024</c:v>
                </c:pt>
                <c:pt idx="34">
                  <c:v>3024</c:v>
                </c:pt>
                <c:pt idx="35">
                  <c:v>3024</c:v>
                </c:pt>
                <c:pt idx="36">
                  <c:v>3024</c:v>
                </c:pt>
                <c:pt idx="37">
                  <c:v>3024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F4D-4F02-8BA5-C49EE6FE65B9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sites'!$A$706:$A$802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sites'!$K$706:$K$802</c:f>
              <c:numCache>
                <c:formatCode>_-* #\ ##0\ [$€-40C]_-;\-* #\ ##0\ [$€-40C]_-;_-* "-"??\ [$€-40C]_-;_-@_-</c:formatCode>
                <c:ptCount val="97"/>
                <c:pt idx="0">
                  <c:v>198475.79</c:v>
                </c:pt>
                <c:pt idx="1">
                  <c:v>187900.83000000002</c:v>
                </c:pt>
                <c:pt idx="2">
                  <c:v>173833.52999999997</c:v>
                </c:pt>
                <c:pt idx="3">
                  <c:v>173641.81</c:v>
                </c:pt>
                <c:pt idx="4">
                  <c:v>188534.50999999998</c:v>
                </c:pt>
                <c:pt idx="5">
                  <c:v>190388.48000000001</c:v>
                </c:pt>
                <c:pt idx="6">
                  <c:v>184121.8</c:v>
                </c:pt>
                <c:pt idx="7">
                  <c:v>161165.66999999998</c:v>
                </c:pt>
                <c:pt idx="8">
                  <c:v>162645.20000000001</c:v>
                </c:pt>
                <c:pt idx="9">
                  <c:v>160812.59</c:v>
                </c:pt>
                <c:pt idx="10">
                  <c:v>149368.45000000001</c:v>
                </c:pt>
                <c:pt idx="11">
                  <c:v>147813.79</c:v>
                </c:pt>
                <c:pt idx="12">
                  <c:v>147799.79</c:v>
                </c:pt>
                <c:pt idx="13">
                  <c:v>140765.82</c:v>
                </c:pt>
                <c:pt idx="14">
                  <c:v>137090.91</c:v>
                </c:pt>
                <c:pt idx="15">
                  <c:v>141530.71</c:v>
                </c:pt>
                <c:pt idx="16">
                  <c:v>127364.68000000001</c:v>
                </c:pt>
                <c:pt idx="17">
                  <c:v>126534.79000000001</c:v>
                </c:pt>
                <c:pt idx="18">
                  <c:v>122450.37999999999</c:v>
                </c:pt>
                <c:pt idx="19">
                  <c:v>124098.50999999998</c:v>
                </c:pt>
                <c:pt idx="20">
                  <c:v>124430.37999999998</c:v>
                </c:pt>
                <c:pt idx="21">
                  <c:v>117332.29</c:v>
                </c:pt>
                <c:pt idx="22">
                  <c:v>117230.03999999998</c:v>
                </c:pt>
                <c:pt idx="23">
                  <c:v>115304.03999999998</c:v>
                </c:pt>
                <c:pt idx="24">
                  <c:v>113145.22999999998</c:v>
                </c:pt>
                <c:pt idx="25">
                  <c:v>127476.83999999998</c:v>
                </c:pt>
                <c:pt idx="26">
                  <c:v>129801.54000000001</c:v>
                </c:pt>
                <c:pt idx="27">
                  <c:v>128703.68000000001</c:v>
                </c:pt>
                <c:pt idx="28">
                  <c:v>126095.29</c:v>
                </c:pt>
                <c:pt idx="29">
                  <c:v>120158.47</c:v>
                </c:pt>
                <c:pt idx="30">
                  <c:v>118538.73000000001</c:v>
                </c:pt>
                <c:pt idx="31">
                  <c:v>122026.58</c:v>
                </c:pt>
                <c:pt idx="32">
                  <c:v>121041.48000000001</c:v>
                </c:pt>
                <c:pt idx="33">
                  <c:v>119092.58000000002</c:v>
                </c:pt>
                <c:pt idx="34">
                  <c:v>123538.73000000001</c:v>
                </c:pt>
                <c:pt idx="35">
                  <c:v>126155.32</c:v>
                </c:pt>
                <c:pt idx="36">
                  <c:v>126255.41</c:v>
                </c:pt>
                <c:pt idx="37">
                  <c:v>118051.44</c:v>
                </c:pt>
                <c:pt idx="38">
                  <c:v>115405.41</c:v>
                </c:pt>
                <c:pt idx="39">
                  <c:v>110543.39</c:v>
                </c:pt>
                <c:pt idx="40">
                  <c:v>107792.63</c:v>
                </c:pt>
                <c:pt idx="41">
                  <c:v>109337.27</c:v>
                </c:pt>
                <c:pt idx="42">
                  <c:v>117239.38</c:v>
                </c:pt>
                <c:pt idx="43">
                  <c:v>118659.68000000001</c:v>
                </c:pt>
                <c:pt idx="44">
                  <c:v>123220.12000000002</c:v>
                </c:pt>
                <c:pt idx="45">
                  <c:v>131480.53000000003</c:v>
                </c:pt>
                <c:pt idx="46">
                  <c:v>131461.74000000002</c:v>
                </c:pt>
                <c:pt idx="47">
                  <c:v>136306.07</c:v>
                </c:pt>
                <c:pt idx="48">
                  <c:v>136789.88</c:v>
                </c:pt>
                <c:pt idx="49">
                  <c:v>135520</c:v>
                </c:pt>
                <c:pt idx="50">
                  <c:v>138253.9</c:v>
                </c:pt>
                <c:pt idx="51">
                  <c:v>134840.30000000002</c:v>
                </c:pt>
                <c:pt idx="52">
                  <c:v>144388.91</c:v>
                </c:pt>
                <c:pt idx="53">
                  <c:v>147001.77999999997</c:v>
                </c:pt>
                <c:pt idx="54">
                  <c:v>146248.40000000002</c:v>
                </c:pt>
                <c:pt idx="55">
                  <c:v>160753.05000000002</c:v>
                </c:pt>
                <c:pt idx="56">
                  <c:v>159501.12</c:v>
                </c:pt>
                <c:pt idx="57">
                  <c:v>157014.26999999999</c:v>
                </c:pt>
                <c:pt idx="58">
                  <c:v>157192.97</c:v>
                </c:pt>
                <c:pt idx="59">
                  <c:v>153255.80000000002</c:v>
                </c:pt>
                <c:pt idx="60">
                  <c:v>157293.22000000003</c:v>
                </c:pt>
                <c:pt idx="61">
                  <c:v>155833.07999999999</c:v>
                </c:pt>
                <c:pt idx="62">
                  <c:v>158426.16</c:v>
                </c:pt>
                <c:pt idx="63">
                  <c:v>152499.22999999998</c:v>
                </c:pt>
                <c:pt idx="64">
                  <c:v>134077.46</c:v>
                </c:pt>
                <c:pt idx="65">
                  <c:v>135655.49</c:v>
                </c:pt>
                <c:pt idx="66">
                  <c:v>128923.09</c:v>
                </c:pt>
                <c:pt idx="67">
                  <c:v>111339.02</c:v>
                </c:pt>
                <c:pt idx="68">
                  <c:v>108488.51000000001</c:v>
                </c:pt>
                <c:pt idx="69">
                  <c:v>110859.93000000001</c:v>
                </c:pt>
                <c:pt idx="70">
                  <c:v>107801.63</c:v>
                </c:pt>
                <c:pt idx="71">
                  <c:v>100917.13</c:v>
                </c:pt>
                <c:pt idx="72">
                  <c:v>99223.87999999999</c:v>
                </c:pt>
                <c:pt idx="73">
                  <c:v>93428.989999999991</c:v>
                </c:pt>
                <c:pt idx="74">
                  <c:v>85137.48000000001</c:v>
                </c:pt>
                <c:pt idx="75">
                  <c:v>89699.260000000024</c:v>
                </c:pt>
                <c:pt idx="76">
                  <c:v>96505.36000000003</c:v>
                </c:pt>
                <c:pt idx="77">
                  <c:v>88349.700000000012</c:v>
                </c:pt>
                <c:pt idx="78">
                  <c:v>87538.1</c:v>
                </c:pt>
                <c:pt idx="79">
                  <c:v>89457.070000000022</c:v>
                </c:pt>
                <c:pt idx="80">
                  <c:v>89083.08</c:v>
                </c:pt>
                <c:pt idx="81">
                  <c:v>83291.08</c:v>
                </c:pt>
                <c:pt idx="82">
                  <c:v>90551.44</c:v>
                </c:pt>
                <c:pt idx="83">
                  <c:v>94823.9</c:v>
                </c:pt>
                <c:pt idx="84">
                  <c:v>91141.719999999987</c:v>
                </c:pt>
                <c:pt idx="85">
                  <c:v>94732.469999999987</c:v>
                </c:pt>
                <c:pt idx="86">
                  <c:v>99041.919999999984</c:v>
                </c:pt>
                <c:pt idx="87">
                  <c:v>108240.47</c:v>
                </c:pt>
                <c:pt idx="88">
                  <c:v>113747.19</c:v>
                </c:pt>
                <c:pt idx="89">
                  <c:v>116275.40999999999</c:v>
                </c:pt>
                <c:pt idx="90">
                  <c:v>118314.4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F4D-4F02-8BA5-C49EE6FE65B9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sites'!$A$706:$A$802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sites'!$L$706:$L$802</c:f>
              <c:numCache>
                <c:formatCode>_-* #\ ##0\ [$€-40C]_-;\-* #\ ##0\ [$€-40C]_-;_-* "-"??\ [$€-40C]_-;_-@_-</c:formatCode>
                <c:ptCount val="97"/>
                <c:pt idx="0">
                  <c:v>15</c:v>
                </c:pt>
                <c:pt idx="1">
                  <c:v>40</c:v>
                </c:pt>
                <c:pt idx="2">
                  <c:v>40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76.66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15</c:v>
                </c:pt>
                <c:pt idx="14">
                  <c:v>15</c:v>
                </c:pt>
                <c:pt idx="15">
                  <c:v>40</c:v>
                </c:pt>
                <c:pt idx="16">
                  <c:v>40</c:v>
                </c:pt>
                <c:pt idx="17">
                  <c:v>40</c:v>
                </c:pt>
                <c:pt idx="18">
                  <c:v>65</c:v>
                </c:pt>
                <c:pt idx="19">
                  <c:v>65</c:v>
                </c:pt>
                <c:pt idx="20">
                  <c:v>915</c:v>
                </c:pt>
                <c:pt idx="21">
                  <c:v>891.29000000000008</c:v>
                </c:pt>
                <c:pt idx="22">
                  <c:v>942.95</c:v>
                </c:pt>
                <c:pt idx="23">
                  <c:v>942.95</c:v>
                </c:pt>
                <c:pt idx="24">
                  <c:v>1792.95</c:v>
                </c:pt>
                <c:pt idx="25">
                  <c:v>1777.95</c:v>
                </c:pt>
                <c:pt idx="26">
                  <c:v>1777.95</c:v>
                </c:pt>
                <c:pt idx="27">
                  <c:v>1752.95</c:v>
                </c:pt>
                <c:pt idx="28">
                  <c:v>1752.95</c:v>
                </c:pt>
                <c:pt idx="29">
                  <c:v>1752.95</c:v>
                </c:pt>
                <c:pt idx="30">
                  <c:v>1727.95</c:v>
                </c:pt>
                <c:pt idx="31">
                  <c:v>1727.95</c:v>
                </c:pt>
                <c:pt idx="32">
                  <c:v>877.95</c:v>
                </c:pt>
                <c:pt idx="33">
                  <c:v>850</c:v>
                </c:pt>
                <c:pt idx="34">
                  <c:v>850</c:v>
                </c:pt>
                <c:pt idx="35">
                  <c:v>850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25</c:v>
                </c:pt>
                <c:pt idx="43">
                  <c:v>25</c:v>
                </c:pt>
                <c:pt idx="44">
                  <c:v>25</c:v>
                </c:pt>
                <c:pt idx="45">
                  <c:v>41.92</c:v>
                </c:pt>
                <c:pt idx="46">
                  <c:v>41.92</c:v>
                </c:pt>
                <c:pt idx="47">
                  <c:v>46.92</c:v>
                </c:pt>
                <c:pt idx="48">
                  <c:v>46.92</c:v>
                </c:pt>
                <c:pt idx="49">
                  <c:v>46.92</c:v>
                </c:pt>
                <c:pt idx="50">
                  <c:v>46.92</c:v>
                </c:pt>
                <c:pt idx="51">
                  <c:v>46.92</c:v>
                </c:pt>
                <c:pt idx="52">
                  <c:v>46.92</c:v>
                </c:pt>
                <c:pt idx="53">
                  <c:v>46.92</c:v>
                </c:pt>
                <c:pt idx="54">
                  <c:v>21.92</c:v>
                </c:pt>
                <c:pt idx="55">
                  <c:v>21.92</c:v>
                </c:pt>
                <c:pt idx="56">
                  <c:v>21.92</c:v>
                </c:pt>
                <c:pt idx="57">
                  <c:v>5</c:v>
                </c:pt>
                <c:pt idx="58">
                  <c:v>5</c:v>
                </c:pt>
                <c:pt idx="59">
                  <c:v>0</c:v>
                </c:pt>
                <c:pt idx="60">
                  <c:v>2228.4</c:v>
                </c:pt>
                <c:pt idx="61">
                  <c:v>2228.4</c:v>
                </c:pt>
                <c:pt idx="62">
                  <c:v>2228.4</c:v>
                </c:pt>
                <c:pt idx="63">
                  <c:v>2228.4</c:v>
                </c:pt>
                <c:pt idx="64">
                  <c:v>2228.4</c:v>
                </c:pt>
                <c:pt idx="65">
                  <c:v>2228.4</c:v>
                </c:pt>
                <c:pt idx="66">
                  <c:v>2228.4</c:v>
                </c:pt>
                <c:pt idx="67">
                  <c:v>2228.4</c:v>
                </c:pt>
                <c:pt idx="68">
                  <c:v>2238.4</c:v>
                </c:pt>
                <c:pt idx="69">
                  <c:v>2238.4</c:v>
                </c:pt>
                <c:pt idx="70">
                  <c:v>2238.4</c:v>
                </c:pt>
                <c:pt idx="71">
                  <c:v>2238.4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25</c:v>
                </c:pt>
                <c:pt idx="77">
                  <c:v>25</c:v>
                </c:pt>
                <c:pt idx="78">
                  <c:v>25</c:v>
                </c:pt>
                <c:pt idx="79">
                  <c:v>25</c:v>
                </c:pt>
                <c:pt idx="80">
                  <c:v>15</c:v>
                </c:pt>
                <c:pt idx="81">
                  <c:v>15</c:v>
                </c:pt>
                <c:pt idx="82">
                  <c:v>15</c:v>
                </c:pt>
                <c:pt idx="83">
                  <c:v>15</c:v>
                </c:pt>
                <c:pt idx="84">
                  <c:v>45</c:v>
                </c:pt>
                <c:pt idx="85">
                  <c:v>45</c:v>
                </c:pt>
                <c:pt idx="86">
                  <c:v>45</c:v>
                </c:pt>
                <c:pt idx="87">
                  <c:v>45</c:v>
                </c:pt>
                <c:pt idx="88">
                  <c:v>30</c:v>
                </c:pt>
                <c:pt idx="89">
                  <c:v>65.28</c:v>
                </c:pt>
                <c:pt idx="90">
                  <c:v>65.28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F4D-4F02-8BA5-C49EE6FE65B9}"/>
            </c:ext>
          </c:extLst>
        </c:ser>
        <c:ser>
          <c:idx val="12"/>
          <c:order val="11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sites'!$A$706:$A$802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sites'!$M$706:$M$802</c:f>
              <c:numCache>
                <c:formatCode>_-* #\ ##0\ [$€-40C]_-;\-* #\ ##0\ [$€-40C]_-;_-* "-"??\ [$€-40C]_-;_-@_-</c:formatCode>
                <c:ptCount val="97"/>
                <c:pt idx="0">
                  <c:v>19.64</c:v>
                </c:pt>
                <c:pt idx="1">
                  <c:v>-40.36</c:v>
                </c:pt>
                <c:pt idx="2">
                  <c:v>-34.36</c:v>
                </c:pt>
                <c:pt idx="3">
                  <c:v>-44.36</c:v>
                </c:pt>
                <c:pt idx="4">
                  <c:v>-4.4500000000000028</c:v>
                </c:pt>
                <c:pt idx="5">
                  <c:v>18.379999999999995</c:v>
                </c:pt>
                <c:pt idx="6">
                  <c:v>69</c:v>
                </c:pt>
                <c:pt idx="7">
                  <c:v>69</c:v>
                </c:pt>
                <c:pt idx="8">
                  <c:v>69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16.25</c:v>
                </c:pt>
                <c:pt idx="22">
                  <c:v>16.25</c:v>
                </c:pt>
                <c:pt idx="23">
                  <c:v>16.25</c:v>
                </c:pt>
                <c:pt idx="24">
                  <c:v>16.25</c:v>
                </c:pt>
                <c:pt idx="25">
                  <c:v>16.25</c:v>
                </c:pt>
                <c:pt idx="26">
                  <c:v>146.25</c:v>
                </c:pt>
                <c:pt idx="27">
                  <c:v>146.25</c:v>
                </c:pt>
                <c:pt idx="28">
                  <c:v>146.25</c:v>
                </c:pt>
                <c:pt idx="29">
                  <c:v>146.25</c:v>
                </c:pt>
                <c:pt idx="30">
                  <c:v>86.25</c:v>
                </c:pt>
                <c:pt idx="31">
                  <c:v>86.25</c:v>
                </c:pt>
                <c:pt idx="32">
                  <c:v>1699.55</c:v>
                </c:pt>
                <c:pt idx="33">
                  <c:v>3978.9399999999996</c:v>
                </c:pt>
                <c:pt idx="34">
                  <c:v>3978.9399999999996</c:v>
                </c:pt>
                <c:pt idx="35">
                  <c:v>3978.9399999999996</c:v>
                </c:pt>
                <c:pt idx="36">
                  <c:v>3978.9399999999996</c:v>
                </c:pt>
                <c:pt idx="37">
                  <c:v>3978.9399999999996</c:v>
                </c:pt>
                <c:pt idx="38">
                  <c:v>3848.9399999999996</c:v>
                </c:pt>
                <c:pt idx="39">
                  <c:v>3848.9399999999996</c:v>
                </c:pt>
                <c:pt idx="40">
                  <c:v>3848.9399999999996</c:v>
                </c:pt>
                <c:pt idx="41">
                  <c:v>3848.9399999999996</c:v>
                </c:pt>
                <c:pt idx="42">
                  <c:v>3848.9399999999996</c:v>
                </c:pt>
                <c:pt idx="43">
                  <c:v>3848.9399999999996</c:v>
                </c:pt>
                <c:pt idx="44">
                  <c:v>2235.64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240</c:v>
                </c:pt>
                <c:pt idx="61">
                  <c:v>240</c:v>
                </c:pt>
                <c:pt idx="62">
                  <c:v>240</c:v>
                </c:pt>
                <c:pt idx="63">
                  <c:v>240</c:v>
                </c:pt>
                <c:pt idx="64">
                  <c:v>240</c:v>
                </c:pt>
                <c:pt idx="65">
                  <c:v>240</c:v>
                </c:pt>
                <c:pt idx="66">
                  <c:v>240</c:v>
                </c:pt>
                <c:pt idx="67">
                  <c:v>240</c:v>
                </c:pt>
                <c:pt idx="68">
                  <c:v>240</c:v>
                </c:pt>
                <c:pt idx="69">
                  <c:v>240</c:v>
                </c:pt>
                <c:pt idx="70">
                  <c:v>240</c:v>
                </c:pt>
                <c:pt idx="71">
                  <c:v>240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2.65</c:v>
                </c:pt>
                <c:pt idx="81">
                  <c:v>2.65</c:v>
                </c:pt>
                <c:pt idx="82">
                  <c:v>2.65</c:v>
                </c:pt>
                <c:pt idx="83">
                  <c:v>2.65</c:v>
                </c:pt>
                <c:pt idx="84">
                  <c:v>2.65</c:v>
                </c:pt>
                <c:pt idx="85">
                  <c:v>2.65</c:v>
                </c:pt>
                <c:pt idx="86">
                  <c:v>2.65</c:v>
                </c:pt>
                <c:pt idx="87">
                  <c:v>24.65</c:v>
                </c:pt>
                <c:pt idx="88">
                  <c:v>85.65</c:v>
                </c:pt>
                <c:pt idx="89">
                  <c:v>92.65</c:v>
                </c:pt>
                <c:pt idx="90">
                  <c:v>92.65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F4D-4F02-8BA5-C49EE6FE65B9}"/>
            </c:ext>
          </c:extLst>
        </c:ser>
        <c:ser>
          <c:idx val="13"/>
          <c:order val="12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sites'!$A$706:$A$802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sites'!$N$706:$N$802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1850</c:v>
                </c:pt>
                <c:pt idx="24">
                  <c:v>1850</c:v>
                </c:pt>
                <c:pt idx="25">
                  <c:v>1850</c:v>
                </c:pt>
                <c:pt idx="26">
                  <c:v>1850</c:v>
                </c:pt>
                <c:pt idx="27">
                  <c:v>1850</c:v>
                </c:pt>
                <c:pt idx="28">
                  <c:v>1850</c:v>
                </c:pt>
                <c:pt idx="29">
                  <c:v>1850</c:v>
                </c:pt>
                <c:pt idx="30">
                  <c:v>1850</c:v>
                </c:pt>
                <c:pt idx="31">
                  <c:v>1850</c:v>
                </c:pt>
                <c:pt idx="32">
                  <c:v>1850</c:v>
                </c:pt>
                <c:pt idx="33">
                  <c:v>1850</c:v>
                </c:pt>
                <c:pt idx="34">
                  <c:v>1850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82-4B2C-9793-8B53E1CAF0E8}"/>
            </c:ext>
          </c:extLst>
        </c:ser>
        <c:ser>
          <c:idx val="14"/>
          <c:order val="13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sites'!$A$706:$A$802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sites'!$O$706:$O$802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6146.95</c:v>
                </c:pt>
                <c:pt idx="61">
                  <c:v>6146.95</c:v>
                </c:pt>
                <c:pt idx="62">
                  <c:v>6146.95</c:v>
                </c:pt>
                <c:pt idx="63">
                  <c:v>6146.95</c:v>
                </c:pt>
                <c:pt idx="64">
                  <c:v>6146.95</c:v>
                </c:pt>
                <c:pt idx="65">
                  <c:v>6146.95</c:v>
                </c:pt>
                <c:pt idx="66">
                  <c:v>6146.95</c:v>
                </c:pt>
                <c:pt idx="67">
                  <c:v>6146.95</c:v>
                </c:pt>
                <c:pt idx="68">
                  <c:v>6146.95</c:v>
                </c:pt>
                <c:pt idx="69">
                  <c:v>6146.95</c:v>
                </c:pt>
                <c:pt idx="70">
                  <c:v>6146.95</c:v>
                </c:pt>
                <c:pt idx="71">
                  <c:v>6146.95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B0-4CD8-BC70-B834A0DC6F7F}"/>
            </c:ext>
          </c:extLst>
        </c:ser>
        <c:ser>
          <c:idx val="11"/>
          <c:order val="14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sites'!$A$706:$A$802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sites'!$P$706:$P$802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30</c:v>
                </c:pt>
                <c:pt idx="42">
                  <c:v>30</c:v>
                </c:pt>
                <c:pt idx="43">
                  <c:v>30</c:v>
                </c:pt>
                <c:pt idx="44">
                  <c:v>30</c:v>
                </c:pt>
                <c:pt idx="45">
                  <c:v>30</c:v>
                </c:pt>
                <c:pt idx="46">
                  <c:v>30</c:v>
                </c:pt>
                <c:pt idx="47">
                  <c:v>40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85</c:v>
                </c:pt>
                <c:pt idx="69">
                  <c:v>170</c:v>
                </c:pt>
                <c:pt idx="70">
                  <c:v>170</c:v>
                </c:pt>
                <c:pt idx="71">
                  <c:v>170</c:v>
                </c:pt>
                <c:pt idx="72">
                  <c:v>185</c:v>
                </c:pt>
                <c:pt idx="73">
                  <c:v>185</c:v>
                </c:pt>
                <c:pt idx="74">
                  <c:v>185</c:v>
                </c:pt>
                <c:pt idx="75">
                  <c:v>185</c:v>
                </c:pt>
                <c:pt idx="76">
                  <c:v>185</c:v>
                </c:pt>
                <c:pt idx="77">
                  <c:v>185</c:v>
                </c:pt>
                <c:pt idx="78">
                  <c:v>185</c:v>
                </c:pt>
                <c:pt idx="79">
                  <c:v>185</c:v>
                </c:pt>
                <c:pt idx="80">
                  <c:v>100</c:v>
                </c:pt>
                <c:pt idx="81">
                  <c:v>15</c:v>
                </c:pt>
                <c:pt idx="82">
                  <c:v>15</c:v>
                </c:pt>
                <c:pt idx="83">
                  <c:v>15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17-4D47-9FCF-3A728C4FF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860376"/>
        <c:axId val="520860768"/>
        <c:extLst/>
      </c:lineChart>
      <c:dateAx>
        <c:axId val="520860376"/>
        <c:scaling>
          <c:orientation val="minMax"/>
        </c:scaling>
        <c:delete val="0"/>
        <c:axPos val="b"/>
        <c:numFmt formatCode="mmm\-aa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0860768"/>
        <c:crosses val="autoZero"/>
        <c:auto val="1"/>
        <c:lblOffset val="100"/>
        <c:baseTimeUnit val="months"/>
      </c:dateAx>
      <c:valAx>
        <c:axId val="52086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Standard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0860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TOTAL PAR PRODUIT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sites'!$A$806:$A$902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sites'!$B$806:$B$902</c:f>
              <c:numCache>
                <c:formatCode>Standard</c:formatCode>
                <c:ptCount val="97"/>
                <c:pt idx="0">
                  <c:v>0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A235-4EA0-805F-A609413365BF}"/>
            </c:ext>
          </c:extLst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sites'!$A$806:$A$902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sites'!$C$806:$C$902</c:f>
              <c:numCache>
                <c:formatCode>_-* #\ ##0\ [$€-40C]_-;\-* #\ ##0\ [$€-40C]_-;_-* "-"??\ [$€-40C]_-;_-@_-</c:formatCode>
                <c:ptCount val="97"/>
                <c:pt idx="0">
                  <c:v>7699511.2400000002</c:v>
                </c:pt>
                <c:pt idx="1">
                  <c:v>7209251.8400000008</c:v>
                </c:pt>
                <c:pt idx="2">
                  <c:v>7193256.7800000012</c:v>
                </c:pt>
                <c:pt idx="3">
                  <c:v>7149357.7700000005</c:v>
                </c:pt>
                <c:pt idx="4">
                  <c:v>7191414.2600000016</c:v>
                </c:pt>
                <c:pt idx="5">
                  <c:v>7120517.7800000003</c:v>
                </c:pt>
                <c:pt idx="6">
                  <c:v>7318672.5800000001</c:v>
                </c:pt>
                <c:pt idx="7">
                  <c:v>7345803.4700000016</c:v>
                </c:pt>
                <c:pt idx="8">
                  <c:v>7368516.9800000023</c:v>
                </c:pt>
                <c:pt idx="9">
                  <c:v>7436912.3800000008</c:v>
                </c:pt>
                <c:pt idx="10">
                  <c:v>7435654.1899999995</c:v>
                </c:pt>
                <c:pt idx="11">
                  <c:v>7539003.5399999991</c:v>
                </c:pt>
                <c:pt idx="12">
                  <c:v>7477607.9099999992</c:v>
                </c:pt>
                <c:pt idx="13">
                  <c:v>7533420.0900000008</c:v>
                </c:pt>
                <c:pt idx="14">
                  <c:v>7514363.7000000011</c:v>
                </c:pt>
                <c:pt idx="15">
                  <c:v>7603723.8699999992</c:v>
                </c:pt>
                <c:pt idx="16">
                  <c:v>7547469.5300000003</c:v>
                </c:pt>
                <c:pt idx="17">
                  <c:v>7689471.9600000009</c:v>
                </c:pt>
                <c:pt idx="18">
                  <c:v>7634719.9000000004</c:v>
                </c:pt>
                <c:pt idx="19">
                  <c:v>7621343.0700000012</c:v>
                </c:pt>
                <c:pt idx="20">
                  <c:v>7697345.370000001</c:v>
                </c:pt>
                <c:pt idx="21">
                  <c:v>7639508.6699999999</c:v>
                </c:pt>
                <c:pt idx="22">
                  <c:v>7564932.0200000005</c:v>
                </c:pt>
                <c:pt idx="23">
                  <c:v>7560493.9700000016</c:v>
                </c:pt>
                <c:pt idx="24">
                  <c:v>7466361.3500000006</c:v>
                </c:pt>
                <c:pt idx="25">
                  <c:v>7440666.8100000015</c:v>
                </c:pt>
                <c:pt idx="26">
                  <c:v>7423613.7700000005</c:v>
                </c:pt>
                <c:pt idx="27">
                  <c:v>7379276.6500000004</c:v>
                </c:pt>
                <c:pt idx="28">
                  <c:v>7288640.1600000001</c:v>
                </c:pt>
                <c:pt idx="29">
                  <c:v>7292514.2400000002</c:v>
                </c:pt>
                <c:pt idx="30">
                  <c:v>7237838.6499999994</c:v>
                </c:pt>
                <c:pt idx="31">
                  <c:v>7214764.6500000004</c:v>
                </c:pt>
                <c:pt idx="32">
                  <c:v>7156196.7599999998</c:v>
                </c:pt>
                <c:pt idx="33">
                  <c:v>7146307.3899999997</c:v>
                </c:pt>
                <c:pt idx="34">
                  <c:v>7261568.330000001</c:v>
                </c:pt>
                <c:pt idx="35">
                  <c:v>7395694.9399999995</c:v>
                </c:pt>
                <c:pt idx="36">
                  <c:v>7380543.3000000017</c:v>
                </c:pt>
                <c:pt idx="37">
                  <c:v>7407573.9800000014</c:v>
                </c:pt>
                <c:pt idx="38">
                  <c:v>7367258.2000000002</c:v>
                </c:pt>
                <c:pt idx="39">
                  <c:v>7420514.5499999998</c:v>
                </c:pt>
                <c:pt idx="40">
                  <c:v>7511544.2300000004</c:v>
                </c:pt>
                <c:pt idx="41">
                  <c:v>7465302.7999999998</c:v>
                </c:pt>
                <c:pt idx="42">
                  <c:v>7527745.0440000007</c:v>
                </c:pt>
                <c:pt idx="43">
                  <c:v>7624486.5940000005</c:v>
                </c:pt>
                <c:pt idx="44">
                  <c:v>7668196.1639999999</c:v>
                </c:pt>
                <c:pt idx="45">
                  <c:v>7595368.9440000001</c:v>
                </c:pt>
                <c:pt idx="46">
                  <c:v>7580647.8640000001</c:v>
                </c:pt>
                <c:pt idx="47">
                  <c:v>7485787.034</c:v>
                </c:pt>
                <c:pt idx="48">
                  <c:v>7501302.0240000002</c:v>
                </c:pt>
                <c:pt idx="49">
                  <c:v>7506909.7640000004</c:v>
                </c:pt>
                <c:pt idx="50">
                  <c:v>7565046.3339999989</c:v>
                </c:pt>
                <c:pt idx="51">
                  <c:v>7442348.074</c:v>
                </c:pt>
                <c:pt idx="52">
                  <c:v>7388836.1639999999</c:v>
                </c:pt>
                <c:pt idx="53">
                  <c:v>7386017.1840000004</c:v>
                </c:pt>
                <c:pt idx="54">
                  <c:v>7290835.6499999985</c:v>
                </c:pt>
                <c:pt idx="55">
                  <c:v>7220765.9399999995</c:v>
                </c:pt>
                <c:pt idx="56">
                  <c:v>7233282.3800000008</c:v>
                </c:pt>
                <c:pt idx="57">
                  <c:v>7327187</c:v>
                </c:pt>
                <c:pt idx="58">
                  <c:v>7256477.6599999992</c:v>
                </c:pt>
                <c:pt idx="59">
                  <c:v>7120037.7500000009</c:v>
                </c:pt>
                <c:pt idx="60">
                  <c:v>7099705.4700000016</c:v>
                </c:pt>
                <c:pt idx="61">
                  <c:v>7059035.2200000007</c:v>
                </c:pt>
                <c:pt idx="62">
                  <c:v>7052281.1599999992</c:v>
                </c:pt>
                <c:pt idx="63">
                  <c:v>6767235.2299999995</c:v>
                </c:pt>
                <c:pt idx="64">
                  <c:v>6356120.6799999988</c:v>
                </c:pt>
                <c:pt idx="65">
                  <c:v>6033215.3999999994</c:v>
                </c:pt>
                <c:pt idx="66">
                  <c:v>5814447.370000001</c:v>
                </c:pt>
                <c:pt idx="67">
                  <c:v>5706546.7899999991</c:v>
                </c:pt>
                <c:pt idx="68">
                  <c:v>5584319.2699999996</c:v>
                </c:pt>
                <c:pt idx="69">
                  <c:v>5428432.21</c:v>
                </c:pt>
                <c:pt idx="70">
                  <c:v>5218664.05</c:v>
                </c:pt>
                <c:pt idx="71">
                  <c:v>5017579.9499999993</c:v>
                </c:pt>
                <c:pt idx="72">
                  <c:v>4928919.4699999988</c:v>
                </c:pt>
                <c:pt idx="73">
                  <c:v>4776400.22</c:v>
                </c:pt>
                <c:pt idx="74">
                  <c:v>4685299.18</c:v>
                </c:pt>
                <c:pt idx="75">
                  <c:v>4839913.49</c:v>
                </c:pt>
                <c:pt idx="76">
                  <c:v>5138432.0599999996</c:v>
                </c:pt>
                <c:pt idx="77">
                  <c:v>5265249.1000000006</c:v>
                </c:pt>
                <c:pt idx="78">
                  <c:v>5329657.4799999995</c:v>
                </c:pt>
                <c:pt idx="79">
                  <c:v>5310305.09</c:v>
                </c:pt>
                <c:pt idx="80">
                  <c:v>5300045.9999999991</c:v>
                </c:pt>
                <c:pt idx="81">
                  <c:v>5292583.71</c:v>
                </c:pt>
                <c:pt idx="82">
                  <c:v>5355183.8100000005</c:v>
                </c:pt>
                <c:pt idx="83">
                  <c:v>5377208.2299999995</c:v>
                </c:pt>
                <c:pt idx="84">
                  <c:v>5423959.8699999992</c:v>
                </c:pt>
                <c:pt idx="85">
                  <c:v>5469468.8800000008</c:v>
                </c:pt>
                <c:pt idx="86">
                  <c:v>5399108.54</c:v>
                </c:pt>
                <c:pt idx="87">
                  <c:v>5357399.76</c:v>
                </c:pt>
                <c:pt idx="88">
                  <c:v>5370756.4400000004</c:v>
                </c:pt>
                <c:pt idx="89">
                  <c:v>5446238.9700000007</c:v>
                </c:pt>
                <c:pt idx="90">
                  <c:v>5402850.8899999997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235-4EA0-805F-A609413365BF}"/>
            </c:ext>
          </c:extLst>
        </c:ser>
        <c:ser>
          <c:idx val="3"/>
          <c:order val="2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sites'!$A$806:$A$902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sites'!$D$806:$D$902</c:f>
              <c:numCache>
                <c:formatCode>_-* #\ ##0\ [$€-40C]_-;\-* #\ ##0\ [$€-40C]_-;_-* "-"??\ [$€-40C]_-;_-@_-</c:formatCode>
                <c:ptCount val="97"/>
                <c:pt idx="0">
                  <c:v>2729032.3200000003</c:v>
                </c:pt>
                <c:pt idx="1">
                  <c:v>2439450.6800000006</c:v>
                </c:pt>
                <c:pt idx="2">
                  <c:v>2467684.2300000004</c:v>
                </c:pt>
                <c:pt idx="3">
                  <c:v>2450138.63</c:v>
                </c:pt>
                <c:pt idx="4">
                  <c:v>2463606</c:v>
                </c:pt>
                <c:pt idx="5">
                  <c:v>2460779.1300000004</c:v>
                </c:pt>
                <c:pt idx="6">
                  <c:v>2538783.0700000003</c:v>
                </c:pt>
                <c:pt idx="7">
                  <c:v>2583115.4700000007</c:v>
                </c:pt>
                <c:pt idx="8">
                  <c:v>2611527.1900000004</c:v>
                </c:pt>
                <c:pt idx="9">
                  <c:v>2627025.5300000003</c:v>
                </c:pt>
                <c:pt idx="10">
                  <c:v>2649106.5200000005</c:v>
                </c:pt>
                <c:pt idx="11">
                  <c:v>2737275.5900000003</c:v>
                </c:pt>
                <c:pt idx="12">
                  <c:v>2737792.3700000006</c:v>
                </c:pt>
                <c:pt idx="13">
                  <c:v>2769131.0800000005</c:v>
                </c:pt>
                <c:pt idx="14">
                  <c:v>2763393.79</c:v>
                </c:pt>
                <c:pt idx="15">
                  <c:v>2796366.2399999998</c:v>
                </c:pt>
                <c:pt idx="16">
                  <c:v>2774968.6599999997</c:v>
                </c:pt>
                <c:pt idx="17">
                  <c:v>2830421.8999999994</c:v>
                </c:pt>
                <c:pt idx="18">
                  <c:v>2812864.08</c:v>
                </c:pt>
                <c:pt idx="19">
                  <c:v>2792478.4800000004</c:v>
                </c:pt>
                <c:pt idx="20">
                  <c:v>2806945.5400000005</c:v>
                </c:pt>
                <c:pt idx="21">
                  <c:v>2842597.66</c:v>
                </c:pt>
                <c:pt idx="22">
                  <c:v>2851490.2100000004</c:v>
                </c:pt>
                <c:pt idx="23">
                  <c:v>2877293.1</c:v>
                </c:pt>
                <c:pt idx="24">
                  <c:v>2844354.88</c:v>
                </c:pt>
                <c:pt idx="25">
                  <c:v>2856294.1500000004</c:v>
                </c:pt>
                <c:pt idx="26">
                  <c:v>2852431.49</c:v>
                </c:pt>
                <c:pt idx="27">
                  <c:v>2903831.3600000003</c:v>
                </c:pt>
                <c:pt idx="28">
                  <c:v>2893226.89</c:v>
                </c:pt>
                <c:pt idx="29">
                  <c:v>2910919.48</c:v>
                </c:pt>
                <c:pt idx="30">
                  <c:v>2919500.6900000004</c:v>
                </c:pt>
                <c:pt idx="31">
                  <c:v>2944825.8400000003</c:v>
                </c:pt>
                <c:pt idx="32">
                  <c:v>2998039.3699999996</c:v>
                </c:pt>
                <c:pt idx="33">
                  <c:v>3038535.9200000004</c:v>
                </c:pt>
                <c:pt idx="34">
                  <c:v>3077633.2100000004</c:v>
                </c:pt>
                <c:pt idx="35">
                  <c:v>3097058.88</c:v>
                </c:pt>
                <c:pt idx="36">
                  <c:v>3071123.21</c:v>
                </c:pt>
                <c:pt idx="37">
                  <c:v>3085636.43</c:v>
                </c:pt>
                <c:pt idx="38">
                  <c:v>3098261.6100000003</c:v>
                </c:pt>
                <c:pt idx="39">
                  <c:v>3085538.19</c:v>
                </c:pt>
                <c:pt idx="40">
                  <c:v>3143644.8600000003</c:v>
                </c:pt>
                <c:pt idx="41">
                  <c:v>3090340.1999999997</c:v>
                </c:pt>
                <c:pt idx="42">
                  <c:v>3122166.71</c:v>
                </c:pt>
                <c:pt idx="43">
                  <c:v>3136508.2199999997</c:v>
                </c:pt>
                <c:pt idx="44">
                  <c:v>3093134.24</c:v>
                </c:pt>
                <c:pt idx="45">
                  <c:v>3011892.9800000009</c:v>
                </c:pt>
                <c:pt idx="46">
                  <c:v>2929878.5000000005</c:v>
                </c:pt>
                <c:pt idx="47">
                  <c:v>2863142.5200000005</c:v>
                </c:pt>
                <c:pt idx="48">
                  <c:v>2876105.27</c:v>
                </c:pt>
                <c:pt idx="49">
                  <c:v>2851296.48</c:v>
                </c:pt>
                <c:pt idx="50">
                  <c:v>2884689.4899999998</c:v>
                </c:pt>
                <c:pt idx="51">
                  <c:v>2860060.6999999997</c:v>
                </c:pt>
                <c:pt idx="52">
                  <c:v>2806530.5800000005</c:v>
                </c:pt>
                <c:pt idx="53">
                  <c:v>2822155.79</c:v>
                </c:pt>
                <c:pt idx="54">
                  <c:v>2758687.4700000007</c:v>
                </c:pt>
                <c:pt idx="55">
                  <c:v>2746908.2199999997</c:v>
                </c:pt>
                <c:pt idx="56">
                  <c:v>2761749.9399999995</c:v>
                </c:pt>
                <c:pt idx="57">
                  <c:v>2788862.91</c:v>
                </c:pt>
                <c:pt idx="58">
                  <c:v>2813685.93</c:v>
                </c:pt>
                <c:pt idx="59">
                  <c:v>2791879.04</c:v>
                </c:pt>
                <c:pt idx="60">
                  <c:v>2796454.8899999997</c:v>
                </c:pt>
                <c:pt idx="61">
                  <c:v>2818264.61</c:v>
                </c:pt>
                <c:pt idx="62">
                  <c:v>2777734.2199999997</c:v>
                </c:pt>
                <c:pt idx="63">
                  <c:v>2699581.8</c:v>
                </c:pt>
                <c:pt idx="64">
                  <c:v>2577611.63</c:v>
                </c:pt>
                <c:pt idx="65">
                  <c:v>2497904.5499999998</c:v>
                </c:pt>
                <c:pt idx="66">
                  <c:v>2491215.2899999996</c:v>
                </c:pt>
                <c:pt idx="67">
                  <c:v>2505204.71</c:v>
                </c:pt>
                <c:pt idx="68">
                  <c:v>2504120.6900000004</c:v>
                </c:pt>
                <c:pt idx="69">
                  <c:v>2448906.5999999996</c:v>
                </c:pt>
                <c:pt idx="70">
                  <c:v>2360995.14</c:v>
                </c:pt>
                <c:pt idx="71">
                  <c:v>2245316.02</c:v>
                </c:pt>
                <c:pt idx="72">
                  <c:v>2196376.79</c:v>
                </c:pt>
                <c:pt idx="73">
                  <c:v>2106307.1500000004</c:v>
                </c:pt>
                <c:pt idx="74">
                  <c:v>2061807.88</c:v>
                </c:pt>
                <c:pt idx="75">
                  <c:v>2055502.99</c:v>
                </c:pt>
                <c:pt idx="76">
                  <c:v>2092673.7900000005</c:v>
                </c:pt>
                <c:pt idx="77">
                  <c:v>2064341.53</c:v>
                </c:pt>
                <c:pt idx="78">
                  <c:v>1986432.5899999999</c:v>
                </c:pt>
                <c:pt idx="79">
                  <c:v>1902984.9500000002</c:v>
                </c:pt>
                <c:pt idx="80">
                  <c:v>1849974.82</c:v>
                </c:pt>
                <c:pt idx="81">
                  <c:v>1811555.05</c:v>
                </c:pt>
                <c:pt idx="82">
                  <c:v>1799016.64</c:v>
                </c:pt>
                <c:pt idx="83">
                  <c:v>1841141.26</c:v>
                </c:pt>
                <c:pt idx="84">
                  <c:v>1862846.4900000002</c:v>
                </c:pt>
                <c:pt idx="85">
                  <c:v>1883936.28</c:v>
                </c:pt>
                <c:pt idx="86">
                  <c:v>1889352.56</c:v>
                </c:pt>
                <c:pt idx="87">
                  <c:v>1885551.2200000002</c:v>
                </c:pt>
                <c:pt idx="88">
                  <c:v>1927160.4800000002</c:v>
                </c:pt>
                <c:pt idx="89">
                  <c:v>1965857.5100000002</c:v>
                </c:pt>
                <c:pt idx="90">
                  <c:v>1988040.07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A235-4EA0-805F-A609413365BF}"/>
            </c:ext>
          </c:extLst>
        </c:ser>
        <c:ser>
          <c:idx val="4"/>
          <c:order val="3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sites'!$A$806:$A$902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sites'!$E$806:$E$902</c:f>
              <c:numCache>
                <c:formatCode>_-* #\ ##0\ [$€-40C]_-;\-* #\ ##0\ [$€-40C]_-;_-* "-"??\ [$€-40C]_-;_-@_-</c:formatCode>
                <c:ptCount val="97"/>
                <c:pt idx="0">
                  <c:v>766889.12999999989</c:v>
                </c:pt>
                <c:pt idx="1">
                  <c:v>755864.55</c:v>
                </c:pt>
                <c:pt idx="2">
                  <c:v>738773.1</c:v>
                </c:pt>
                <c:pt idx="3">
                  <c:v>739738.52000000014</c:v>
                </c:pt>
                <c:pt idx="4">
                  <c:v>764142.10000000009</c:v>
                </c:pt>
                <c:pt idx="5">
                  <c:v>747687.79000000015</c:v>
                </c:pt>
                <c:pt idx="6">
                  <c:v>755212.7300000001</c:v>
                </c:pt>
                <c:pt idx="7">
                  <c:v>754306.66</c:v>
                </c:pt>
                <c:pt idx="8">
                  <c:v>765428.76000000013</c:v>
                </c:pt>
                <c:pt idx="9">
                  <c:v>800610.78999999992</c:v>
                </c:pt>
                <c:pt idx="10">
                  <c:v>798589.79</c:v>
                </c:pt>
                <c:pt idx="11">
                  <c:v>814854.54</c:v>
                </c:pt>
                <c:pt idx="12">
                  <c:v>802562.64999999991</c:v>
                </c:pt>
                <c:pt idx="13">
                  <c:v>788612.10000000009</c:v>
                </c:pt>
                <c:pt idx="14">
                  <c:v>799885.03000000014</c:v>
                </c:pt>
                <c:pt idx="15">
                  <c:v>806806.52</c:v>
                </c:pt>
                <c:pt idx="16">
                  <c:v>787700.14000000013</c:v>
                </c:pt>
                <c:pt idx="17">
                  <c:v>799050.01</c:v>
                </c:pt>
                <c:pt idx="18">
                  <c:v>769597.25</c:v>
                </c:pt>
                <c:pt idx="19">
                  <c:v>784126.49</c:v>
                </c:pt>
                <c:pt idx="20">
                  <c:v>790071.29999999993</c:v>
                </c:pt>
                <c:pt idx="21">
                  <c:v>768322.65999999992</c:v>
                </c:pt>
                <c:pt idx="22">
                  <c:v>739021.54</c:v>
                </c:pt>
                <c:pt idx="23">
                  <c:v>717954.48</c:v>
                </c:pt>
                <c:pt idx="24">
                  <c:v>720262.52</c:v>
                </c:pt>
                <c:pt idx="25">
                  <c:v>717261.82000000018</c:v>
                </c:pt>
                <c:pt idx="26">
                  <c:v>714678.79999999993</c:v>
                </c:pt>
                <c:pt idx="27">
                  <c:v>696065.49</c:v>
                </c:pt>
                <c:pt idx="28">
                  <c:v>678877.76</c:v>
                </c:pt>
                <c:pt idx="29">
                  <c:v>669145.9800000001</c:v>
                </c:pt>
                <c:pt idx="30">
                  <c:v>645159.56000000006</c:v>
                </c:pt>
                <c:pt idx="31">
                  <c:v>639716.69999999995</c:v>
                </c:pt>
                <c:pt idx="32">
                  <c:v>612446.2699999999</c:v>
                </c:pt>
                <c:pt idx="33">
                  <c:v>588858.69999999995</c:v>
                </c:pt>
                <c:pt idx="34">
                  <c:v>597240.15</c:v>
                </c:pt>
                <c:pt idx="35">
                  <c:v>587482.52</c:v>
                </c:pt>
                <c:pt idx="36">
                  <c:v>573526.1</c:v>
                </c:pt>
                <c:pt idx="37">
                  <c:v>572220.23</c:v>
                </c:pt>
                <c:pt idx="38">
                  <c:v>545502.92000000004</c:v>
                </c:pt>
                <c:pt idx="39">
                  <c:v>539796.51</c:v>
                </c:pt>
                <c:pt idx="40">
                  <c:v>527542.90999999992</c:v>
                </c:pt>
                <c:pt idx="41">
                  <c:v>535531.24</c:v>
                </c:pt>
                <c:pt idx="42">
                  <c:v>562301.1100000001</c:v>
                </c:pt>
                <c:pt idx="43">
                  <c:v>539494.01</c:v>
                </c:pt>
                <c:pt idx="44">
                  <c:v>563069.11</c:v>
                </c:pt>
                <c:pt idx="45">
                  <c:v>561697.79</c:v>
                </c:pt>
                <c:pt idx="46">
                  <c:v>551334.61</c:v>
                </c:pt>
                <c:pt idx="47">
                  <c:v>564663.29</c:v>
                </c:pt>
                <c:pt idx="48">
                  <c:v>553769.21</c:v>
                </c:pt>
                <c:pt idx="49">
                  <c:v>557339.37</c:v>
                </c:pt>
                <c:pt idx="50">
                  <c:v>555526.89999999991</c:v>
                </c:pt>
                <c:pt idx="51">
                  <c:v>552637.87</c:v>
                </c:pt>
                <c:pt idx="52">
                  <c:v>572046.65999999992</c:v>
                </c:pt>
                <c:pt idx="53">
                  <c:v>545390.6399999999</c:v>
                </c:pt>
                <c:pt idx="54">
                  <c:v>500862.55000000005</c:v>
                </c:pt>
                <c:pt idx="55">
                  <c:v>485587.89999999997</c:v>
                </c:pt>
                <c:pt idx="56">
                  <c:v>464244.74999999994</c:v>
                </c:pt>
                <c:pt idx="57">
                  <c:v>460891.89</c:v>
                </c:pt>
                <c:pt idx="58">
                  <c:v>481019.88999999996</c:v>
                </c:pt>
                <c:pt idx="59">
                  <c:v>454757.32000000007</c:v>
                </c:pt>
                <c:pt idx="60">
                  <c:v>494934.24</c:v>
                </c:pt>
                <c:pt idx="61">
                  <c:v>467389.06</c:v>
                </c:pt>
                <c:pt idx="62">
                  <c:v>458555.66000000009</c:v>
                </c:pt>
                <c:pt idx="63">
                  <c:v>418570.06999999995</c:v>
                </c:pt>
                <c:pt idx="64">
                  <c:v>367781.97</c:v>
                </c:pt>
                <c:pt idx="65">
                  <c:v>354779.77</c:v>
                </c:pt>
                <c:pt idx="66">
                  <c:v>329565.55999999994</c:v>
                </c:pt>
                <c:pt idx="67">
                  <c:v>317658.45</c:v>
                </c:pt>
                <c:pt idx="68">
                  <c:v>305384.99</c:v>
                </c:pt>
                <c:pt idx="69">
                  <c:v>291043.62</c:v>
                </c:pt>
                <c:pt idx="70">
                  <c:v>254601.63</c:v>
                </c:pt>
                <c:pt idx="71">
                  <c:v>235744.17</c:v>
                </c:pt>
                <c:pt idx="72">
                  <c:v>188581.2</c:v>
                </c:pt>
                <c:pt idx="73">
                  <c:v>173291.93</c:v>
                </c:pt>
                <c:pt idx="74">
                  <c:v>164608.71</c:v>
                </c:pt>
                <c:pt idx="75">
                  <c:v>174492.89</c:v>
                </c:pt>
                <c:pt idx="76">
                  <c:v>193676.09000000003</c:v>
                </c:pt>
                <c:pt idx="77">
                  <c:v>208201.18000000002</c:v>
                </c:pt>
                <c:pt idx="78">
                  <c:v>223444.69</c:v>
                </c:pt>
                <c:pt idx="79">
                  <c:v>225332.41999999998</c:v>
                </c:pt>
                <c:pt idx="80">
                  <c:v>227755.58000000002</c:v>
                </c:pt>
                <c:pt idx="81">
                  <c:v>236520.28</c:v>
                </c:pt>
                <c:pt idx="82">
                  <c:v>246338.93</c:v>
                </c:pt>
                <c:pt idx="83">
                  <c:v>264840.28000000003</c:v>
                </c:pt>
                <c:pt idx="84">
                  <c:v>272166.92</c:v>
                </c:pt>
                <c:pt idx="85">
                  <c:v>280520.33999999997</c:v>
                </c:pt>
                <c:pt idx="86">
                  <c:v>278088.07999999996</c:v>
                </c:pt>
                <c:pt idx="87">
                  <c:v>274553.40999999997</c:v>
                </c:pt>
                <c:pt idx="88">
                  <c:v>265292.02</c:v>
                </c:pt>
                <c:pt idx="89">
                  <c:v>246860.07</c:v>
                </c:pt>
                <c:pt idx="90">
                  <c:v>243766.14000000004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A235-4EA0-805F-A609413365BF}"/>
            </c:ext>
          </c:extLst>
        </c:ser>
        <c:ser>
          <c:idx val="5"/>
          <c:order val="4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sites'!$A$806:$A$902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sites'!$F$806:$F$902</c:f>
              <c:numCache>
                <c:formatCode>_-* #\ ##0\ [$€-40C]_-;\-* #\ ##0\ [$€-40C]_-;_-* "-"??\ [$€-40C]_-;_-@_-</c:formatCode>
                <c:ptCount val="97"/>
                <c:pt idx="0">
                  <c:v>840142.03</c:v>
                </c:pt>
                <c:pt idx="1">
                  <c:v>820285.44000000006</c:v>
                </c:pt>
                <c:pt idx="2">
                  <c:v>809671.61</c:v>
                </c:pt>
                <c:pt idx="3">
                  <c:v>802259.7100000002</c:v>
                </c:pt>
                <c:pt idx="4">
                  <c:v>790162.51000000013</c:v>
                </c:pt>
                <c:pt idx="5">
                  <c:v>776305.4</c:v>
                </c:pt>
                <c:pt idx="6">
                  <c:v>803773.01</c:v>
                </c:pt>
                <c:pt idx="7">
                  <c:v>809355.96999999986</c:v>
                </c:pt>
                <c:pt idx="8">
                  <c:v>827902.46</c:v>
                </c:pt>
                <c:pt idx="9">
                  <c:v>840968.39999999991</c:v>
                </c:pt>
                <c:pt idx="10">
                  <c:v>825369.47</c:v>
                </c:pt>
                <c:pt idx="11">
                  <c:v>849222.58</c:v>
                </c:pt>
                <c:pt idx="12">
                  <c:v>872934.69999999984</c:v>
                </c:pt>
                <c:pt idx="13">
                  <c:v>869687.61999999976</c:v>
                </c:pt>
                <c:pt idx="14">
                  <c:v>872249.61999999988</c:v>
                </c:pt>
                <c:pt idx="15">
                  <c:v>865082.05</c:v>
                </c:pt>
                <c:pt idx="16">
                  <c:v>866939.66999999993</c:v>
                </c:pt>
                <c:pt idx="17">
                  <c:v>900393.2699999999</c:v>
                </c:pt>
                <c:pt idx="18">
                  <c:v>901585.31</c:v>
                </c:pt>
                <c:pt idx="19">
                  <c:v>908524.64000000013</c:v>
                </c:pt>
                <c:pt idx="20">
                  <c:v>896864.92999999993</c:v>
                </c:pt>
                <c:pt idx="21">
                  <c:v>875950.18</c:v>
                </c:pt>
                <c:pt idx="22">
                  <c:v>887709.72</c:v>
                </c:pt>
                <c:pt idx="23">
                  <c:v>876210.93</c:v>
                </c:pt>
                <c:pt idx="24">
                  <c:v>854688.60000000009</c:v>
                </c:pt>
                <c:pt idx="25">
                  <c:v>874634.96</c:v>
                </c:pt>
                <c:pt idx="26">
                  <c:v>858853.53999999992</c:v>
                </c:pt>
                <c:pt idx="27">
                  <c:v>890946.38000000012</c:v>
                </c:pt>
                <c:pt idx="28">
                  <c:v>881263.35000000009</c:v>
                </c:pt>
                <c:pt idx="29">
                  <c:v>865613.15000000014</c:v>
                </c:pt>
                <c:pt idx="30">
                  <c:v>838952.34000000008</c:v>
                </c:pt>
                <c:pt idx="31">
                  <c:v>841052.77999999991</c:v>
                </c:pt>
                <c:pt idx="32">
                  <c:v>827793.10000000009</c:v>
                </c:pt>
                <c:pt idx="33">
                  <c:v>809547.45</c:v>
                </c:pt>
                <c:pt idx="34">
                  <c:v>814316.8400000002</c:v>
                </c:pt>
                <c:pt idx="35">
                  <c:v>804008.89</c:v>
                </c:pt>
                <c:pt idx="36">
                  <c:v>829688.54</c:v>
                </c:pt>
                <c:pt idx="37">
                  <c:v>815392.92999999993</c:v>
                </c:pt>
                <c:pt idx="38">
                  <c:v>822936.58999999985</c:v>
                </c:pt>
                <c:pt idx="39">
                  <c:v>800465.65</c:v>
                </c:pt>
                <c:pt idx="40">
                  <c:v>816757.54</c:v>
                </c:pt>
                <c:pt idx="41">
                  <c:v>814145.21</c:v>
                </c:pt>
                <c:pt idx="42">
                  <c:v>814745.0639999999</c:v>
                </c:pt>
                <c:pt idx="43">
                  <c:v>811928.924</c:v>
                </c:pt>
                <c:pt idx="44">
                  <c:v>812963.66399999999</c:v>
                </c:pt>
                <c:pt idx="45">
                  <c:v>828251.48399999994</c:v>
                </c:pt>
                <c:pt idx="46">
                  <c:v>814159.70400000003</c:v>
                </c:pt>
                <c:pt idx="47">
                  <c:v>799602.37400000019</c:v>
                </c:pt>
                <c:pt idx="48">
                  <c:v>761579.47400000005</c:v>
                </c:pt>
                <c:pt idx="49">
                  <c:v>757446.08399999992</c:v>
                </c:pt>
                <c:pt idx="50">
                  <c:v>756882.66399999999</c:v>
                </c:pt>
                <c:pt idx="51">
                  <c:v>738437.174</c:v>
                </c:pt>
                <c:pt idx="52">
                  <c:v>719008.32399999991</c:v>
                </c:pt>
                <c:pt idx="53">
                  <c:v>697470.93400000001</c:v>
                </c:pt>
                <c:pt idx="54">
                  <c:v>695058.7899999998</c:v>
                </c:pt>
                <c:pt idx="55">
                  <c:v>704039.58999999985</c:v>
                </c:pt>
                <c:pt idx="56">
                  <c:v>703600.33</c:v>
                </c:pt>
                <c:pt idx="57">
                  <c:v>711164.62000000023</c:v>
                </c:pt>
                <c:pt idx="58">
                  <c:v>709202.94000000006</c:v>
                </c:pt>
                <c:pt idx="59">
                  <c:v>704575.98000000021</c:v>
                </c:pt>
                <c:pt idx="60">
                  <c:v>707355.6100000001</c:v>
                </c:pt>
                <c:pt idx="61">
                  <c:v>685061.6100000001</c:v>
                </c:pt>
                <c:pt idx="62">
                  <c:v>696935.14</c:v>
                </c:pt>
                <c:pt idx="63">
                  <c:v>683368.9800000001</c:v>
                </c:pt>
                <c:pt idx="64">
                  <c:v>633139.26</c:v>
                </c:pt>
                <c:pt idx="65">
                  <c:v>601644.80000000005</c:v>
                </c:pt>
                <c:pt idx="66">
                  <c:v>569599.86</c:v>
                </c:pt>
                <c:pt idx="67">
                  <c:v>519059.4800000001</c:v>
                </c:pt>
                <c:pt idx="68">
                  <c:v>499558.43000000005</c:v>
                </c:pt>
                <c:pt idx="69">
                  <c:v>489225.19999999995</c:v>
                </c:pt>
                <c:pt idx="70">
                  <c:v>471434.29</c:v>
                </c:pt>
                <c:pt idx="71">
                  <c:v>468211.71000000008</c:v>
                </c:pt>
                <c:pt idx="72">
                  <c:v>457627.45</c:v>
                </c:pt>
                <c:pt idx="73">
                  <c:v>460271.10000000003</c:v>
                </c:pt>
                <c:pt idx="74">
                  <c:v>423142.82999999996</c:v>
                </c:pt>
                <c:pt idx="75">
                  <c:v>446531.21999999991</c:v>
                </c:pt>
                <c:pt idx="76">
                  <c:v>481260.49999999994</c:v>
                </c:pt>
                <c:pt idx="77">
                  <c:v>493307.90999999992</c:v>
                </c:pt>
                <c:pt idx="78">
                  <c:v>505734.29</c:v>
                </c:pt>
                <c:pt idx="79">
                  <c:v>526034.54999999993</c:v>
                </c:pt>
                <c:pt idx="80">
                  <c:v>516761.87</c:v>
                </c:pt>
                <c:pt idx="81">
                  <c:v>503343.16000000003</c:v>
                </c:pt>
                <c:pt idx="82">
                  <c:v>508185.03</c:v>
                </c:pt>
                <c:pt idx="83">
                  <c:v>501453.58</c:v>
                </c:pt>
                <c:pt idx="84">
                  <c:v>492134.43</c:v>
                </c:pt>
                <c:pt idx="85">
                  <c:v>484714.56000000006</c:v>
                </c:pt>
                <c:pt idx="86">
                  <c:v>480391.81</c:v>
                </c:pt>
                <c:pt idx="87">
                  <c:v>458416.84</c:v>
                </c:pt>
                <c:pt idx="88">
                  <c:v>475461.56</c:v>
                </c:pt>
                <c:pt idx="89">
                  <c:v>496180.16000000003</c:v>
                </c:pt>
                <c:pt idx="90">
                  <c:v>487968.82000000007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A235-4EA0-805F-A609413365BF}"/>
            </c:ext>
          </c:extLst>
        </c:ser>
        <c:ser>
          <c:idx val="6"/>
          <c:order val="5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sites'!$A$806:$A$902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sites'!$G$806:$G$902</c:f>
              <c:numCache>
                <c:formatCode>_-* #\ ##0\ [$€-40C]_-;\-* #\ ##0\ [$€-40C]_-;_-* "-"??\ [$€-40C]_-;_-@_-</c:formatCode>
                <c:ptCount val="97"/>
                <c:pt idx="0">
                  <c:v>245561.35999999996</c:v>
                </c:pt>
                <c:pt idx="1">
                  <c:v>242033.25999999995</c:v>
                </c:pt>
                <c:pt idx="2">
                  <c:v>244355.65000000002</c:v>
                </c:pt>
                <c:pt idx="3">
                  <c:v>249027.27999999994</c:v>
                </c:pt>
                <c:pt idx="4">
                  <c:v>249107.36999999997</c:v>
                </c:pt>
                <c:pt idx="5">
                  <c:v>243181.16999999995</c:v>
                </c:pt>
                <c:pt idx="6">
                  <c:v>243829.76999999996</c:v>
                </c:pt>
                <c:pt idx="7">
                  <c:v>235160.26999999996</c:v>
                </c:pt>
                <c:pt idx="8">
                  <c:v>226660.05000000002</c:v>
                </c:pt>
                <c:pt idx="9">
                  <c:v>218259.49000000005</c:v>
                </c:pt>
                <c:pt idx="10">
                  <c:v>215267.99000000005</c:v>
                </c:pt>
                <c:pt idx="11">
                  <c:v>217050.01000000004</c:v>
                </c:pt>
                <c:pt idx="12">
                  <c:v>214511.57000000004</c:v>
                </c:pt>
                <c:pt idx="13">
                  <c:v>207317.56</c:v>
                </c:pt>
                <c:pt idx="14">
                  <c:v>195368.58000000005</c:v>
                </c:pt>
                <c:pt idx="15">
                  <c:v>194002.07</c:v>
                </c:pt>
                <c:pt idx="16">
                  <c:v>197776.26</c:v>
                </c:pt>
                <c:pt idx="17">
                  <c:v>211573.76000000001</c:v>
                </c:pt>
                <c:pt idx="18">
                  <c:v>213581.25</c:v>
                </c:pt>
                <c:pt idx="19">
                  <c:v>213794.66999999998</c:v>
                </c:pt>
                <c:pt idx="20">
                  <c:v>214426.31</c:v>
                </c:pt>
                <c:pt idx="21">
                  <c:v>213898.80000000002</c:v>
                </c:pt>
                <c:pt idx="22">
                  <c:v>203351.88</c:v>
                </c:pt>
                <c:pt idx="23">
                  <c:v>208679.24000000002</c:v>
                </c:pt>
                <c:pt idx="24">
                  <c:v>203406.05000000002</c:v>
                </c:pt>
                <c:pt idx="25">
                  <c:v>201149.75999999998</c:v>
                </c:pt>
                <c:pt idx="26">
                  <c:v>199390.09</c:v>
                </c:pt>
                <c:pt idx="27">
                  <c:v>189296.81000000003</c:v>
                </c:pt>
                <c:pt idx="28">
                  <c:v>174113.87000000002</c:v>
                </c:pt>
                <c:pt idx="29">
                  <c:v>159977.49</c:v>
                </c:pt>
                <c:pt idx="30">
                  <c:v>149771.88999999998</c:v>
                </c:pt>
                <c:pt idx="31">
                  <c:v>144724.09</c:v>
                </c:pt>
                <c:pt idx="32">
                  <c:v>144049.31999999998</c:v>
                </c:pt>
                <c:pt idx="33">
                  <c:v>140126.34</c:v>
                </c:pt>
                <c:pt idx="34">
                  <c:v>143905.88999999998</c:v>
                </c:pt>
                <c:pt idx="35">
                  <c:v>150308.29</c:v>
                </c:pt>
                <c:pt idx="36">
                  <c:v>150841.44999999998</c:v>
                </c:pt>
                <c:pt idx="37">
                  <c:v>150895.03000000003</c:v>
                </c:pt>
                <c:pt idx="38">
                  <c:v>154927.66</c:v>
                </c:pt>
                <c:pt idx="39">
                  <c:v>153988.74</c:v>
                </c:pt>
                <c:pt idx="40">
                  <c:v>164031.25999999998</c:v>
                </c:pt>
                <c:pt idx="41">
                  <c:v>165568.5</c:v>
                </c:pt>
                <c:pt idx="42">
                  <c:v>176687.44000000003</c:v>
                </c:pt>
                <c:pt idx="43">
                  <c:v>184987.02</c:v>
                </c:pt>
                <c:pt idx="44">
                  <c:v>188108.02</c:v>
                </c:pt>
                <c:pt idx="45">
                  <c:v>192183.3</c:v>
                </c:pt>
                <c:pt idx="46">
                  <c:v>194910.74000000002</c:v>
                </c:pt>
                <c:pt idx="47">
                  <c:v>175324.78000000003</c:v>
                </c:pt>
                <c:pt idx="48">
                  <c:v>180785.93999999997</c:v>
                </c:pt>
                <c:pt idx="49">
                  <c:v>181196.62000000002</c:v>
                </c:pt>
                <c:pt idx="50">
                  <c:v>174511.07</c:v>
                </c:pt>
                <c:pt idx="51">
                  <c:v>172845.26</c:v>
                </c:pt>
                <c:pt idx="52">
                  <c:v>162691.54000000004</c:v>
                </c:pt>
                <c:pt idx="53">
                  <c:v>156774.07</c:v>
                </c:pt>
                <c:pt idx="54">
                  <c:v>141405.41999999998</c:v>
                </c:pt>
                <c:pt idx="55">
                  <c:v>132931.32</c:v>
                </c:pt>
                <c:pt idx="56">
                  <c:v>125932.22</c:v>
                </c:pt>
                <c:pt idx="57">
                  <c:v>116097.77</c:v>
                </c:pt>
                <c:pt idx="58">
                  <c:v>107737.67000000001</c:v>
                </c:pt>
                <c:pt idx="59">
                  <c:v>108930.18000000002</c:v>
                </c:pt>
                <c:pt idx="60">
                  <c:v>99755.039999999979</c:v>
                </c:pt>
                <c:pt idx="61">
                  <c:v>95216.51999999999</c:v>
                </c:pt>
                <c:pt idx="62">
                  <c:v>91657.62</c:v>
                </c:pt>
                <c:pt idx="63">
                  <c:v>79215.739999999991</c:v>
                </c:pt>
                <c:pt idx="64">
                  <c:v>70536.989999999991</c:v>
                </c:pt>
                <c:pt idx="65">
                  <c:v>66312.17</c:v>
                </c:pt>
                <c:pt idx="66">
                  <c:v>58130.1</c:v>
                </c:pt>
                <c:pt idx="67">
                  <c:v>51838.7</c:v>
                </c:pt>
                <c:pt idx="68">
                  <c:v>49670.64</c:v>
                </c:pt>
                <c:pt idx="69">
                  <c:v>52456.469999999994</c:v>
                </c:pt>
                <c:pt idx="70">
                  <c:v>49351.950000000004</c:v>
                </c:pt>
                <c:pt idx="71">
                  <c:v>43847.98</c:v>
                </c:pt>
                <c:pt idx="72">
                  <c:v>42015.37</c:v>
                </c:pt>
                <c:pt idx="73">
                  <c:v>40938.310000000005</c:v>
                </c:pt>
                <c:pt idx="74">
                  <c:v>41870.060000000012</c:v>
                </c:pt>
                <c:pt idx="75">
                  <c:v>45074.049999999996</c:v>
                </c:pt>
                <c:pt idx="76">
                  <c:v>50267.17</c:v>
                </c:pt>
                <c:pt idx="77">
                  <c:v>51711.319999999992</c:v>
                </c:pt>
                <c:pt idx="78">
                  <c:v>56387.39</c:v>
                </c:pt>
                <c:pt idx="79">
                  <c:v>60669.71</c:v>
                </c:pt>
                <c:pt idx="80">
                  <c:v>85147.01999999999</c:v>
                </c:pt>
                <c:pt idx="81">
                  <c:v>90034.240000000005</c:v>
                </c:pt>
                <c:pt idx="82">
                  <c:v>89780.04</c:v>
                </c:pt>
                <c:pt idx="83">
                  <c:v>87250.01999999999</c:v>
                </c:pt>
                <c:pt idx="84">
                  <c:v>87110.85</c:v>
                </c:pt>
                <c:pt idx="85">
                  <c:v>86822.940000000017</c:v>
                </c:pt>
                <c:pt idx="86">
                  <c:v>86046.190000000017</c:v>
                </c:pt>
                <c:pt idx="87">
                  <c:v>84713.22</c:v>
                </c:pt>
                <c:pt idx="88">
                  <c:v>83185.240000000005</c:v>
                </c:pt>
                <c:pt idx="89">
                  <c:v>82664.330000000016</c:v>
                </c:pt>
                <c:pt idx="90">
                  <c:v>79951.41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6-A235-4EA0-805F-A609413365BF}"/>
            </c:ext>
          </c:extLst>
        </c:ser>
        <c:ser>
          <c:idx val="7"/>
          <c:order val="6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sites'!$A$806:$A$902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sites'!$H$806:$H$902</c:f>
              <c:numCache>
                <c:formatCode>_-* #\ ##0\ [$€-40C]_-;\-* #\ ##0\ [$€-40C]_-;_-* "-"??\ [$€-40C]_-;_-@_-</c:formatCode>
                <c:ptCount val="97"/>
                <c:pt idx="0">
                  <c:v>189264.69</c:v>
                </c:pt>
                <c:pt idx="1">
                  <c:v>175896.56</c:v>
                </c:pt>
                <c:pt idx="2">
                  <c:v>180079.08000000005</c:v>
                </c:pt>
                <c:pt idx="3">
                  <c:v>184145.22000000003</c:v>
                </c:pt>
                <c:pt idx="4">
                  <c:v>187864.49000000002</c:v>
                </c:pt>
                <c:pt idx="5">
                  <c:v>190208.64000000004</c:v>
                </c:pt>
                <c:pt idx="6">
                  <c:v>179738.62</c:v>
                </c:pt>
                <c:pt idx="7">
                  <c:v>185726.01</c:v>
                </c:pt>
                <c:pt idx="8">
                  <c:v>191602.32</c:v>
                </c:pt>
                <c:pt idx="9">
                  <c:v>199945.64999999997</c:v>
                </c:pt>
                <c:pt idx="10">
                  <c:v>212100.84</c:v>
                </c:pt>
                <c:pt idx="11">
                  <c:v>218715.18</c:v>
                </c:pt>
                <c:pt idx="12">
                  <c:v>218478.28</c:v>
                </c:pt>
                <c:pt idx="13">
                  <c:v>222135.12999999998</c:v>
                </c:pt>
                <c:pt idx="14">
                  <c:v>222470.60000000003</c:v>
                </c:pt>
                <c:pt idx="15">
                  <c:v>215561.59</c:v>
                </c:pt>
                <c:pt idx="16">
                  <c:v>206265.89</c:v>
                </c:pt>
                <c:pt idx="17">
                  <c:v>203835</c:v>
                </c:pt>
                <c:pt idx="18">
                  <c:v>220865.87000000002</c:v>
                </c:pt>
                <c:pt idx="19">
                  <c:v>218393.99999999997</c:v>
                </c:pt>
                <c:pt idx="20">
                  <c:v>211497.58999999994</c:v>
                </c:pt>
                <c:pt idx="21">
                  <c:v>195525.33</c:v>
                </c:pt>
                <c:pt idx="22">
                  <c:v>184969.19999999998</c:v>
                </c:pt>
                <c:pt idx="23">
                  <c:v>191753.28</c:v>
                </c:pt>
                <c:pt idx="24">
                  <c:v>201137.15</c:v>
                </c:pt>
                <c:pt idx="25">
                  <c:v>208715.47</c:v>
                </c:pt>
                <c:pt idx="26">
                  <c:v>206296.86000000002</c:v>
                </c:pt>
                <c:pt idx="27">
                  <c:v>214960.41999999998</c:v>
                </c:pt>
                <c:pt idx="28">
                  <c:v>217532.13999999998</c:v>
                </c:pt>
                <c:pt idx="29">
                  <c:v>241532.86000000002</c:v>
                </c:pt>
                <c:pt idx="30">
                  <c:v>235557.1</c:v>
                </c:pt>
                <c:pt idx="31">
                  <c:v>234436.44999999998</c:v>
                </c:pt>
                <c:pt idx="32">
                  <c:v>234885.24</c:v>
                </c:pt>
                <c:pt idx="33">
                  <c:v>242605.38</c:v>
                </c:pt>
                <c:pt idx="34">
                  <c:v>233720.03</c:v>
                </c:pt>
                <c:pt idx="35">
                  <c:v>224963.86000000004</c:v>
                </c:pt>
                <c:pt idx="36">
                  <c:v>230332.86000000002</c:v>
                </c:pt>
                <c:pt idx="37">
                  <c:v>239802.63</c:v>
                </c:pt>
                <c:pt idx="38">
                  <c:v>258320.71</c:v>
                </c:pt>
                <c:pt idx="39">
                  <c:v>275060.41999999993</c:v>
                </c:pt>
                <c:pt idx="40">
                  <c:v>279353.51999999996</c:v>
                </c:pt>
                <c:pt idx="41">
                  <c:v>272020.3</c:v>
                </c:pt>
                <c:pt idx="42">
                  <c:v>292174.52999999997</c:v>
                </c:pt>
                <c:pt idx="43">
                  <c:v>330901.44</c:v>
                </c:pt>
                <c:pt idx="44">
                  <c:v>335326.31</c:v>
                </c:pt>
                <c:pt idx="45">
                  <c:v>344820.7</c:v>
                </c:pt>
                <c:pt idx="46">
                  <c:v>372889.88999999996</c:v>
                </c:pt>
                <c:pt idx="47">
                  <c:v>376075.92999999993</c:v>
                </c:pt>
                <c:pt idx="48">
                  <c:v>368654.41999999993</c:v>
                </c:pt>
                <c:pt idx="49">
                  <c:v>365496.87999999995</c:v>
                </c:pt>
                <c:pt idx="50">
                  <c:v>355781.62</c:v>
                </c:pt>
                <c:pt idx="51">
                  <c:v>335712.82999999996</c:v>
                </c:pt>
                <c:pt idx="52">
                  <c:v>337945.61000000004</c:v>
                </c:pt>
                <c:pt idx="53">
                  <c:v>333843.86</c:v>
                </c:pt>
                <c:pt idx="54">
                  <c:v>319424.57000000007</c:v>
                </c:pt>
                <c:pt idx="55">
                  <c:v>302526.76999999996</c:v>
                </c:pt>
                <c:pt idx="56">
                  <c:v>315998.37</c:v>
                </c:pt>
                <c:pt idx="57">
                  <c:v>325280.08999999997</c:v>
                </c:pt>
                <c:pt idx="58">
                  <c:v>327608.27</c:v>
                </c:pt>
                <c:pt idx="59">
                  <c:v>340297.28</c:v>
                </c:pt>
                <c:pt idx="60">
                  <c:v>349564.88000000012</c:v>
                </c:pt>
                <c:pt idx="61">
                  <c:v>354164.35</c:v>
                </c:pt>
                <c:pt idx="62">
                  <c:v>351621.42</c:v>
                </c:pt>
                <c:pt idx="63">
                  <c:v>339149.33000000007</c:v>
                </c:pt>
                <c:pt idx="64">
                  <c:v>322035.28999999998</c:v>
                </c:pt>
                <c:pt idx="65">
                  <c:v>307822.34000000003</c:v>
                </c:pt>
                <c:pt idx="66">
                  <c:v>279498.01</c:v>
                </c:pt>
                <c:pt idx="67">
                  <c:v>268405.12000000005</c:v>
                </c:pt>
                <c:pt idx="68">
                  <c:v>251787.5</c:v>
                </c:pt>
                <c:pt idx="69">
                  <c:v>243270.84</c:v>
                </c:pt>
                <c:pt idx="70">
                  <c:v>222126.52000000002</c:v>
                </c:pt>
                <c:pt idx="71">
                  <c:v>223369.65000000005</c:v>
                </c:pt>
                <c:pt idx="72">
                  <c:v>208888.31</c:v>
                </c:pt>
                <c:pt idx="73">
                  <c:v>214206.35</c:v>
                </c:pt>
                <c:pt idx="74">
                  <c:v>226478.55999999994</c:v>
                </c:pt>
                <c:pt idx="75">
                  <c:v>229145.59999999998</c:v>
                </c:pt>
                <c:pt idx="76">
                  <c:v>237758.22</c:v>
                </c:pt>
                <c:pt idx="77">
                  <c:v>263286.12</c:v>
                </c:pt>
                <c:pt idx="78">
                  <c:v>286657.48</c:v>
                </c:pt>
                <c:pt idx="79">
                  <c:v>283022.36</c:v>
                </c:pt>
                <c:pt idx="80">
                  <c:v>302132.95999999996</c:v>
                </c:pt>
                <c:pt idx="81">
                  <c:v>299831.77999999997</c:v>
                </c:pt>
                <c:pt idx="82">
                  <c:v>347706.57999999996</c:v>
                </c:pt>
                <c:pt idx="83">
                  <c:v>341153.24</c:v>
                </c:pt>
                <c:pt idx="84">
                  <c:v>346733.01999999996</c:v>
                </c:pt>
                <c:pt idx="85">
                  <c:v>341093.74000000005</c:v>
                </c:pt>
                <c:pt idx="86">
                  <c:v>318288.17</c:v>
                </c:pt>
                <c:pt idx="87">
                  <c:v>331626.14</c:v>
                </c:pt>
                <c:pt idx="88">
                  <c:v>335864.37000000005</c:v>
                </c:pt>
                <c:pt idx="89">
                  <c:v>332815.34000000008</c:v>
                </c:pt>
                <c:pt idx="90">
                  <c:v>341877.62000000005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A235-4EA0-805F-A609413365BF}"/>
            </c:ext>
          </c:extLst>
        </c:ser>
        <c:ser>
          <c:idx val="0"/>
          <c:order val="7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sites'!$A$806:$A$902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sites'!$I$806:$I$902</c:f>
              <c:numCache>
                <c:formatCode>_-* #\ ##0\ [$€-40C]_-;\-* #\ ##0\ [$€-40C]_-;_-* "-"??\ [$€-40C]_-;_-@_-</c:formatCode>
                <c:ptCount val="97"/>
                <c:pt idx="0">
                  <c:v>196316.38</c:v>
                </c:pt>
                <c:pt idx="1">
                  <c:v>191911.06000000006</c:v>
                </c:pt>
                <c:pt idx="2">
                  <c:v>188584.88</c:v>
                </c:pt>
                <c:pt idx="3">
                  <c:v>195357.46</c:v>
                </c:pt>
                <c:pt idx="4">
                  <c:v>182023.02000000002</c:v>
                </c:pt>
                <c:pt idx="5">
                  <c:v>161585.08000000002</c:v>
                </c:pt>
                <c:pt idx="6">
                  <c:v>155188.18</c:v>
                </c:pt>
                <c:pt idx="7">
                  <c:v>157367.48000000001</c:v>
                </c:pt>
                <c:pt idx="8">
                  <c:v>166572.37999999998</c:v>
                </c:pt>
                <c:pt idx="9">
                  <c:v>165280.87999999998</c:v>
                </c:pt>
                <c:pt idx="10">
                  <c:v>169370.72999999998</c:v>
                </c:pt>
                <c:pt idx="11">
                  <c:v>174716.07</c:v>
                </c:pt>
                <c:pt idx="12">
                  <c:v>166977.22</c:v>
                </c:pt>
                <c:pt idx="13">
                  <c:v>169871.18</c:v>
                </c:pt>
                <c:pt idx="14">
                  <c:v>165315.6</c:v>
                </c:pt>
                <c:pt idx="15">
                  <c:v>163679.07999999999</c:v>
                </c:pt>
                <c:pt idx="16">
                  <c:v>157910.76999999999</c:v>
                </c:pt>
                <c:pt idx="17">
                  <c:v>163299.15</c:v>
                </c:pt>
                <c:pt idx="18">
                  <c:v>161966.16999999998</c:v>
                </c:pt>
                <c:pt idx="19">
                  <c:v>162243.08000000005</c:v>
                </c:pt>
                <c:pt idx="20">
                  <c:v>149771.09</c:v>
                </c:pt>
                <c:pt idx="21">
                  <c:v>149410.89000000001</c:v>
                </c:pt>
                <c:pt idx="22">
                  <c:v>137373.16</c:v>
                </c:pt>
                <c:pt idx="23">
                  <c:v>133470.16000000003</c:v>
                </c:pt>
                <c:pt idx="24">
                  <c:v>137875.56000000003</c:v>
                </c:pt>
                <c:pt idx="25">
                  <c:v>134504.79999999999</c:v>
                </c:pt>
                <c:pt idx="26">
                  <c:v>133529.37000000002</c:v>
                </c:pt>
                <c:pt idx="27">
                  <c:v>136782.76999999999</c:v>
                </c:pt>
                <c:pt idx="28">
                  <c:v>140829.97999999998</c:v>
                </c:pt>
                <c:pt idx="29">
                  <c:v>136024.37999999998</c:v>
                </c:pt>
                <c:pt idx="30">
                  <c:v>138449.97999999998</c:v>
                </c:pt>
                <c:pt idx="31">
                  <c:v>131384.13</c:v>
                </c:pt>
                <c:pt idx="32">
                  <c:v>141632.96000000002</c:v>
                </c:pt>
                <c:pt idx="33">
                  <c:v>142033.03</c:v>
                </c:pt>
                <c:pt idx="34">
                  <c:v>160844.40999999997</c:v>
                </c:pt>
                <c:pt idx="35">
                  <c:v>165097.94</c:v>
                </c:pt>
                <c:pt idx="36">
                  <c:v>173063.16</c:v>
                </c:pt>
                <c:pt idx="37">
                  <c:v>177317.78</c:v>
                </c:pt>
                <c:pt idx="38">
                  <c:v>179481.12</c:v>
                </c:pt>
                <c:pt idx="39">
                  <c:v>169961.49</c:v>
                </c:pt>
                <c:pt idx="40">
                  <c:v>170847.44</c:v>
                </c:pt>
                <c:pt idx="41">
                  <c:v>164928.61999999997</c:v>
                </c:pt>
                <c:pt idx="42">
                  <c:v>171522.61000000002</c:v>
                </c:pt>
                <c:pt idx="43">
                  <c:v>174130.00999999998</c:v>
                </c:pt>
                <c:pt idx="44">
                  <c:v>170795.51</c:v>
                </c:pt>
                <c:pt idx="45">
                  <c:v>167870.74000000002</c:v>
                </c:pt>
                <c:pt idx="46">
                  <c:v>171055.06</c:v>
                </c:pt>
                <c:pt idx="47">
                  <c:v>242158.06000000003</c:v>
                </c:pt>
                <c:pt idx="48">
                  <c:v>233251.32000000004</c:v>
                </c:pt>
                <c:pt idx="49">
                  <c:v>233037.82</c:v>
                </c:pt>
                <c:pt idx="50">
                  <c:v>234386.84000000003</c:v>
                </c:pt>
                <c:pt idx="51">
                  <c:v>227850.33</c:v>
                </c:pt>
                <c:pt idx="52">
                  <c:v>233547.56000000006</c:v>
                </c:pt>
                <c:pt idx="53">
                  <c:v>247310.73</c:v>
                </c:pt>
                <c:pt idx="54">
                  <c:v>245938.50000000006</c:v>
                </c:pt>
                <c:pt idx="55">
                  <c:v>239899.32</c:v>
                </c:pt>
                <c:pt idx="56">
                  <c:v>248324.82</c:v>
                </c:pt>
                <c:pt idx="57">
                  <c:v>252206.62999999998</c:v>
                </c:pt>
                <c:pt idx="58">
                  <c:v>231071.25000000003</c:v>
                </c:pt>
                <c:pt idx="59">
                  <c:v>161759.78</c:v>
                </c:pt>
                <c:pt idx="60">
                  <c:v>163025.78</c:v>
                </c:pt>
                <c:pt idx="61">
                  <c:v>160292.28000000003</c:v>
                </c:pt>
                <c:pt idx="62">
                  <c:v>155592.01999999999</c:v>
                </c:pt>
                <c:pt idx="63">
                  <c:v>168280.88</c:v>
                </c:pt>
                <c:pt idx="64">
                  <c:v>173148.71000000002</c:v>
                </c:pt>
                <c:pt idx="65">
                  <c:v>168336.69999999998</c:v>
                </c:pt>
                <c:pt idx="66">
                  <c:v>194356.15000000002</c:v>
                </c:pt>
                <c:pt idx="67">
                  <c:v>221969.62</c:v>
                </c:pt>
                <c:pt idx="68">
                  <c:v>223599.42999999996</c:v>
                </c:pt>
                <c:pt idx="69">
                  <c:v>250528.36000000002</c:v>
                </c:pt>
                <c:pt idx="70">
                  <c:v>273094.77999999997</c:v>
                </c:pt>
                <c:pt idx="71">
                  <c:v>285083.19000000006</c:v>
                </c:pt>
                <c:pt idx="72">
                  <c:v>297099.79000000004</c:v>
                </c:pt>
                <c:pt idx="73">
                  <c:v>315855.18000000005</c:v>
                </c:pt>
                <c:pt idx="74">
                  <c:v>336833.45999999996</c:v>
                </c:pt>
                <c:pt idx="75">
                  <c:v>347194.79</c:v>
                </c:pt>
                <c:pt idx="76">
                  <c:v>376100.68999999994</c:v>
                </c:pt>
                <c:pt idx="77">
                  <c:v>389978.56</c:v>
                </c:pt>
                <c:pt idx="78">
                  <c:v>384702.5</c:v>
                </c:pt>
                <c:pt idx="79">
                  <c:v>365370.11</c:v>
                </c:pt>
                <c:pt idx="80">
                  <c:v>373912.74</c:v>
                </c:pt>
                <c:pt idx="81">
                  <c:v>369945.99000000005</c:v>
                </c:pt>
                <c:pt idx="82">
                  <c:v>361905.01999999996</c:v>
                </c:pt>
                <c:pt idx="83">
                  <c:v>359823.96999999991</c:v>
                </c:pt>
                <c:pt idx="84">
                  <c:v>379022.44</c:v>
                </c:pt>
                <c:pt idx="85">
                  <c:v>388063.07</c:v>
                </c:pt>
                <c:pt idx="86">
                  <c:v>394852.18000000005</c:v>
                </c:pt>
                <c:pt idx="87">
                  <c:v>392239.32</c:v>
                </c:pt>
                <c:pt idx="88">
                  <c:v>381479.63</c:v>
                </c:pt>
                <c:pt idx="89">
                  <c:v>386065.22</c:v>
                </c:pt>
                <c:pt idx="90">
                  <c:v>356558.48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24-4027-ACE0-B829B427E336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sites'!$A$806:$A$902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sites'!$J$806:$J$902</c:f>
              <c:numCache>
                <c:formatCode>_-* #\ ##0\ [$€-40C]_-;\-* #\ ##0\ [$€-40C]_-;_-* "-"??\ [$€-40C]_-;_-@_-</c:formatCode>
                <c:ptCount val="97"/>
                <c:pt idx="0">
                  <c:v>878718.05</c:v>
                </c:pt>
                <c:pt idx="1">
                  <c:v>902936.6100000001</c:v>
                </c:pt>
                <c:pt idx="2">
                  <c:v>910517.81</c:v>
                </c:pt>
                <c:pt idx="3">
                  <c:v>924574.89</c:v>
                </c:pt>
                <c:pt idx="4">
                  <c:v>931901.32000000018</c:v>
                </c:pt>
                <c:pt idx="5">
                  <c:v>946031.5900000002</c:v>
                </c:pt>
                <c:pt idx="6">
                  <c:v>1007947.8700000002</c:v>
                </c:pt>
                <c:pt idx="7">
                  <c:v>1011420.9600000001</c:v>
                </c:pt>
                <c:pt idx="8">
                  <c:v>991271.36</c:v>
                </c:pt>
                <c:pt idx="9">
                  <c:v>1003220.7500000001</c:v>
                </c:pt>
                <c:pt idx="10">
                  <c:v>964981.6100000001</c:v>
                </c:pt>
                <c:pt idx="11">
                  <c:v>942083.07000000007</c:v>
                </c:pt>
                <c:pt idx="12">
                  <c:v>940368.99</c:v>
                </c:pt>
                <c:pt idx="13">
                  <c:v>960970.73999999987</c:v>
                </c:pt>
                <c:pt idx="14">
                  <c:v>931460.7100000002</c:v>
                </c:pt>
                <c:pt idx="15">
                  <c:v>983170.27</c:v>
                </c:pt>
                <c:pt idx="16">
                  <c:v>976649.31</c:v>
                </c:pt>
                <c:pt idx="17">
                  <c:v>973260.35000000009</c:v>
                </c:pt>
                <c:pt idx="18">
                  <c:v>960009.41999999993</c:v>
                </c:pt>
                <c:pt idx="19">
                  <c:v>960703.85000000021</c:v>
                </c:pt>
                <c:pt idx="20">
                  <c:v>1025769.13</c:v>
                </c:pt>
                <c:pt idx="21">
                  <c:v>1000822.0999999999</c:v>
                </c:pt>
                <c:pt idx="22">
                  <c:v>987543.58</c:v>
                </c:pt>
                <c:pt idx="23">
                  <c:v>995308.32</c:v>
                </c:pt>
                <c:pt idx="24">
                  <c:v>939984.14</c:v>
                </c:pt>
                <c:pt idx="25">
                  <c:v>875862.52999999991</c:v>
                </c:pt>
                <c:pt idx="26">
                  <c:v>920375.64</c:v>
                </c:pt>
                <c:pt idx="27">
                  <c:v>823674.69000000006</c:v>
                </c:pt>
                <c:pt idx="28">
                  <c:v>810077.32</c:v>
                </c:pt>
                <c:pt idx="29">
                  <c:v>804196.58</c:v>
                </c:pt>
                <c:pt idx="30">
                  <c:v>811670.99</c:v>
                </c:pt>
                <c:pt idx="31">
                  <c:v>762132.21</c:v>
                </c:pt>
                <c:pt idx="32">
                  <c:v>680204.36</c:v>
                </c:pt>
                <c:pt idx="33">
                  <c:v>651600.65</c:v>
                </c:pt>
                <c:pt idx="34">
                  <c:v>683637.63</c:v>
                </c:pt>
                <c:pt idx="35">
                  <c:v>820278.17999999993</c:v>
                </c:pt>
                <c:pt idx="36">
                  <c:v>813033.64999999991</c:v>
                </c:pt>
                <c:pt idx="37">
                  <c:v>806604.93</c:v>
                </c:pt>
                <c:pt idx="38">
                  <c:v>748513.07000000007</c:v>
                </c:pt>
                <c:pt idx="39">
                  <c:v>811352.72</c:v>
                </c:pt>
                <c:pt idx="40">
                  <c:v>794340.72</c:v>
                </c:pt>
                <c:pt idx="41">
                  <c:v>821086.46</c:v>
                </c:pt>
                <c:pt idx="42">
                  <c:v>773124.53</c:v>
                </c:pt>
                <c:pt idx="43">
                  <c:v>795121.05</c:v>
                </c:pt>
                <c:pt idx="44">
                  <c:v>814874.31</c:v>
                </c:pt>
                <c:pt idx="45">
                  <c:v>802469.48</c:v>
                </c:pt>
                <c:pt idx="46">
                  <c:v>823455.2</c:v>
                </c:pt>
                <c:pt idx="47">
                  <c:v>673322.73</c:v>
                </c:pt>
                <c:pt idx="48">
                  <c:v>696975.78</c:v>
                </c:pt>
                <c:pt idx="49">
                  <c:v>716160.87</c:v>
                </c:pt>
                <c:pt idx="50">
                  <c:v>709846.19</c:v>
                </c:pt>
                <c:pt idx="51">
                  <c:v>661754.3600000001</c:v>
                </c:pt>
                <c:pt idx="52">
                  <c:v>641534.05000000005</c:v>
                </c:pt>
                <c:pt idx="53">
                  <c:v>640602.52</c:v>
                </c:pt>
                <c:pt idx="54">
                  <c:v>661019.77</c:v>
                </c:pt>
                <c:pt idx="55">
                  <c:v>658590.42999999993</c:v>
                </c:pt>
                <c:pt idx="56">
                  <c:v>653733.44999999995</c:v>
                </c:pt>
                <c:pt idx="57">
                  <c:v>663031.10000000009</c:v>
                </c:pt>
                <c:pt idx="58">
                  <c:v>620875.75</c:v>
                </c:pt>
                <c:pt idx="59">
                  <c:v>606980.05999999994</c:v>
                </c:pt>
                <c:pt idx="60">
                  <c:v>556989.12</c:v>
                </c:pt>
                <c:pt idx="61">
                  <c:v>556683.71</c:v>
                </c:pt>
                <c:pt idx="62">
                  <c:v>576769.86</c:v>
                </c:pt>
                <c:pt idx="63">
                  <c:v>532466.80000000005</c:v>
                </c:pt>
                <c:pt idx="64">
                  <c:v>522862.14999999997</c:v>
                </c:pt>
                <c:pt idx="65">
                  <c:v>463133.81</c:v>
                </c:pt>
                <c:pt idx="66">
                  <c:v>410901.06</c:v>
                </c:pt>
                <c:pt idx="67">
                  <c:v>385528.82</c:v>
                </c:pt>
                <c:pt idx="68">
                  <c:v>369227.2</c:v>
                </c:pt>
                <c:pt idx="69">
                  <c:v>337112.27</c:v>
                </c:pt>
                <c:pt idx="70">
                  <c:v>291156.56</c:v>
                </c:pt>
                <c:pt idx="71">
                  <c:v>268207.7</c:v>
                </c:pt>
                <c:pt idx="72">
                  <c:v>296553.57</c:v>
                </c:pt>
                <c:pt idx="73">
                  <c:v>276158.90000000002</c:v>
                </c:pt>
                <c:pt idx="74">
                  <c:v>293244.90000000002</c:v>
                </c:pt>
                <c:pt idx="75">
                  <c:v>327082.40000000002</c:v>
                </c:pt>
                <c:pt idx="76">
                  <c:v>336022.4</c:v>
                </c:pt>
                <c:pt idx="77">
                  <c:v>354910.70999999996</c:v>
                </c:pt>
                <c:pt idx="78">
                  <c:v>389030.02</c:v>
                </c:pt>
                <c:pt idx="79">
                  <c:v>409299.22000000003</c:v>
                </c:pt>
                <c:pt idx="80">
                  <c:v>388513.22000000003</c:v>
                </c:pt>
                <c:pt idx="81">
                  <c:v>406560.35</c:v>
                </c:pt>
                <c:pt idx="82">
                  <c:v>401513.91000000003</c:v>
                </c:pt>
                <c:pt idx="83">
                  <c:v>404983.12</c:v>
                </c:pt>
                <c:pt idx="84">
                  <c:v>400558.44000000006</c:v>
                </c:pt>
                <c:pt idx="85">
                  <c:v>413863.65</c:v>
                </c:pt>
                <c:pt idx="86">
                  <c:v>379793.11</c:v>
                </c:pt>
                <c:pt idx="87">
                  <c:v>351669.13</c:v>
                </c:pt>
                <c:pt idx="88">
                  <c:v>365371.01</c:v>
                </c:pt>
                <c:pt idx="89">
                  <c:v>388997.19000000006</c:v>
                </c:pt>
                <c:pt idx="90">
                  <c:v>358040.43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24-4027-ACE0-B829B427E336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sites'!$A$806:$A$902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sites'!$K$806:$K$902</c:f>
              <c:numCache>
                <c:formatCode>_-* #\ ##0\ [$€-40C]_-;\-* #\ ##0\ [$€-40C]_-;_-* "-"??\ [$€-40C]_-;_-@_-</c:formatCode>
                <c:ptCount val="97"/>
                <c:pt idx="0">
                  <c:v>1376851.81</c:v>
                </c:pt>
                <c:pt idx="1">
                  <c:v>1240730.53</c:v>
                </c:pt>
                <c:pt idx="2">
                  <c:v>1218899.5799999998</c:v>
                </c:pt>
                <c:pt idx="3">
                  <c:v>1192117.5199999998</c:v>
                </c:pt>
                <c:pt idx="4">
                  <c:v>1218438.19</c:v>
                </c:pt>
                <c:pt idx="5">
                  <c:v>1194632.8800000001</c:v>
                </c:pt>
                <c:pt idx="6">
                  <c:v>1219560.0599999998</c:v>
                </c:pt>
                <c:pt idx="7">
                  <c:v>1195380.3099999998</c:v>
                </c:pt>
                <c:pt idx="8">
                  <c:v>1170283.43</c:v>
                </c:pt>
                <c:pt idx="9">
                  <c:v>1165145.1600000001</c:v>
                </c:pt>
                <c:pt idx="10">
                  <c:v>1178564.6200000001</c:v>
                </c:pt>
                <c:pt idx="11">
                  <c:v>1163660.9400000002</c:v>
                </c:pt>
                <c:pt idx="12">
                  <c:v>1111684.4000000001</c:v>
                </c:pt>
                <c:pt idx="13">
                  <c:v>1135909.1200000003</c:v>
                </c:pt>
                <c:pt idx="14">
                  <c:v>1144950.6100000003</c:v>
                </c:pt>
                <c:pt idx="15">
                  <c:v>1148286.9500000002</c:v>
                </c:pt>
                <c:pt idx="16">
                  <c:v>1124879.9100000004</c:v>
                </c:pt>
                <c:pt idx="17">
                  <c:v>1132460.0900000003</c:v>
                </c:pt>
                <c:pt idx="18">
                  <c:v>1114944.6700000002</c:v>
                </c:pt>
                <c:pt idx="19">
                  <c:v>1100027.0500000005</c:v>
                </c:pt>
                <c:pt idx="20">
                  <c:v>1107366.1200000003</c:v>
                </c:pt>
                <c:pt idx="21">
                  <c:v>1086394.0000000005</c:v>
                </c:pt>
                <c:pt idx="22">
                  <c:v>1072784.1300000001</c:v>
                </c:pt>
                <c:pt idx="23">
                  <c:v>1040443.6600000004</c:v>
                </c:pt>
                <c:pt idx="24">
                  <c:v>1032930.04</c:v>
                </c:pt>
                <c:pt idx="25">
                  <c:v>1022647.39</c:v>
                </c:pt>
                <c:pt idx="26">
                  <c:v>992124.67000000016</c:v>
                </c:pt>
                <c:pt idx="27">
                  <c:v>985906.52000000025</c:v>
                </c:pt>
                <c:pt idx="28">
                  <c:v>971905.77999999991</c:v>
                </c:pt>
                <c:pt idx="29">
                  <c:v>982999.09</c:v>
                </c:pt>
                <c:pt idx="30">
                  <c:v>987046.04999999993</c:v>
                </c:pt>
                <c:pt idx="31">
                  <c:v>1004723.5800000001</c:v>
                </c:pt>
                <c:pt idx="32">
                  <c:v>1007812.8999999999</c:v>
                </c:pt>
                <c:pt idx="33">
                  <c:v>1015843.8300000001</c:v>
                </c:pt>
                <c:pt idx="34">
                  <c:v>1026697.1500000001</c:v>
                </c:pt>
                <c:pt idx="35">
                  <c:v>1032011.77</c:v>
                </c:pt>
                <c:pt idx="36">
                  <c:v>1026415.2999999999</c:v>
                </c:pt>
                <c:pt idx="37">
                  <c:v>1055232.3999999999</c:v>
                </c:pt>
                <c:pt idx="38">
                  <c:v>1059063.02</c:v>
                </c:pt>
                <c:pt idx="39">
                  <c:v>1066587.43</c:v>
                </c:pt>
                <c:pt idx="40">
                  <c:v>1070749.5100000002</c:v>
                </c:pt>
                <c:pt idx="41">
                  <c:v>1049771.76</c:v>
                </c:pt>
                <c:pt idx="42">
                  <c:v>1047087.42</c:v>
                </c:pt>
                <c:pt idx="43">
                  <c:v>1057210.05</c:v>
                </c:pt>
                <c:pt idx="44">
                  <c:v>1073220.1100000001</c:v>
                </c:pt>
                <c:pt idx="45">
                  <c:v>1074734.58</c:v>
                </c:pt>
                <c:pt idx="46">
                  <c:v>1081178.9400000002</c:v>
                </c:pt>
                <c:pt idx="47">
                  <c:v>1108388.2600000002</c:v>
                </c:pt>
                <c:pt idx="48">
                  <c:v>1106677.33</c:v>
                </c:pt>
                <c:pt idx="49">
                  <c:v>1098858</c:v>
                </c:pt>
                <c:pt idx="50">
                  <c:v>1122776.06</c:v>
                </c:pt>
                <c:pt idx="51">
                  <c:v>1120174.81</c:v>
                </c:pt>
                <c:pt idx="52">
                  <c:v>1134764.5599999998</c:v>
                </c:pt>
                <c:pt idx="53">
                  <c:v>1137105.3199999998</c:v>
                </c:pt>
                <c:pt idx="54">
                  <c:v>1143942.67</c:v>
                </c:pt>
                <c:pt idx="55">
                  <c:v>1136380.58</c:v>
                </c:pt>
                <c:pt idx="56">
                  <c:v>1123980.94</c:v>
                </c:pt>
                <c:pt idx="57">
                  <c:v>1142210.79</c:v>
                </c:pt>
                <c:pt idx="58">
                  <c:v>1117240.3899999999</c:v>
                </c:pt>
                <c:pt idx="59">
                  <c:v>1092551.5999999999</c:v>
                </c:pt>
                <c:pt idx="60">
                  <c:v>1094380.9300000002</c:v>
                </c:pt>
                <c:pt idx="61">
                  <c:v>1064148.7400000002</c:v>
                </c:pt>
                <c:pt idx="62">
                  <c:v>1060404.3800000001</c:v>
                </c:pt>
                <c:pt idx="63">
                  <c:v>994425.66999999993</c:v>
                </c:pt>
                <c:pt idx="64">
                  <c:v>905040.19000000018</c:v>
                </c:pt>
                <c:pt idx="65">
                  <c:v>854328.98</c:v>
                </c:pt>
                <c:pt idx="66">
                  <c:v>776339.14000000025</c:v>
                </c:pt>
                <c:pt idx="67">
                  <c:v>729860.74</c:v>
                </c:pt>
                <c:pt idx="68">
                  <c:v>702126.29</c:v>
                </c:pt>
                <c:pt idx="69">
                  <c:v>674753.93</c:v>
                </c:pt>
                <c:pt idx="70">
                  <c:v>656140.47</c:v>
                </c:pt>
                <c:pt idx="71">
                  <c:v>641221.99</c:v>
                </c:pt>
                <c:pt idx="72">
                  <c:v>650396.9</c:v>
                </c:pt>
                <c:pt idx="73">
                  <c:v>648572.85000000009</c:v>
                </c:pt>
                <c:pt idx="74">
                  <c:v>616068</c:v>
                </c:pt>
                <c:pt idx="75">
                  <c:v>653908.38</c:v>
                </c:pt>
                <c:pt idx="76">
                  <c:v>727847.33</c:v>
                </c:pt>
                <c:pt idx="77">
                  <c:v>752227.35000000009</c:v>
                </c:pt>
                <c:pt idx="78">
                  <c:v>806639.09</c:v>
                </c:pt>
                <c:pt idx="79">
                  <c:v>840937.58000000007</c:v>
                </c:pt>
                <c:pt idx="80">
                  <c:v>852226.33999999985</c:v>
                </c:pt>
                <c:pt idx="81">
                  <c:v>855956.95</c:v>
                </c:pt>
                <c:pt idx="82">
                  <c:v>883941.03</c:v>
                </c:pt>
                <c:pt idx="83">
                  <c:v>882314.10000000009</c:v>
                </c:pt>
                <c:pt idx="84">
                  <c:v>869294.62999999989</c:v>
                </c:pt>
                <c:pt idx="85">
                  <c:v>867265.00999999989</c:v>
                </c:pt>
                <c:pt idx="86">
                  <c:v>879192.3899999999</c:v>
                </c:pt>
                <c:pt idx="87">
                  <c:v>897400.66999999993</c:v>
                </c:pt>
                <c:pt idx="88">
                  <c:v>893085.49</c:v>
                </c:pt>
                <c:pt idx="89">
                  <c:v>899575.76</c:v>
                </c:pt>
                <c:pt idx="90">
                  <c:v>895244.80000000005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24-4027-ACE0-B829B427E336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sites'!$A$806:$A$902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sites'!$L$806:$L$902</c:f>
              <c:numCache>
                <c:formatCode>_-* #\ ##0\ [$€-40C]_-;\-* #\ ##0\ [$€-40C]_-;_-* "-"??\ [$€-40C]_-;_-@_-</c:formatCode>
                <c:ptCount val="97"/>
                <c:pt idx="0">
                  <c:v>245676.60000000006</c:v>
                </c:pt>
                <c:pt idx="1">
                  <c:v>226770.9500000001</c:v>
                </c:pt>
                <c:pt idx="2">
                  <c:v>221791.95000000007</c:v>
                </c:pt>
                <c:pt idx="3">
                  <c:v>225377.81000000006</c:v>
                </c:pt>
                <c:pt idx="4">
                  <c:v>219478.01000000004</c:v>
                </c:pt>
                <c:pt idx="5">
                  <c:v>222090.76</c:v>
                </c:pt>
                <c:pt idx="6">
                  <c:v>238125.53000000003</c:v>
                </c:pt>
                <c:pt idx="7">
                  <c:v>239562.08000000007</c:v>
                </c:pt>
                <c:pt idx="8">
                  <c:v>239877.83000000005</c:v>
                </c:pt>
                <c:pt idx="9">
                  <c:v>243692.62000000008</c:v>
                </c:pt>
                <c:pt idx="10">
                  <c:v>252655.70000000004</c:v>
                </c:pt>
                <c:pt idx="11">
                  <c:v>252144.07000000007</c:v>
                </c:pt>
                <c:pt idx="12">
                  <c:v>256334.76</c:v>
                </c:pt>
                <c:pt idx="13">
                  <c:v>251409.97999999995</c:v>
                </c:pt>
                <c:pt idx="14">
                  <c:v>257903.51999999996</c:v>
                </c:pt>
                <c:pt idx="15">
                  <c:v>258919.97999999998</c:v>
                </c:pt>
                <c:pt idx="16">
                  <c:v>272175.19</c:v>
                </c:pt>
                <c:pt idx="17">
                  <c:v>275364.46000000002</c:v>
                </c:pt>
                <c:pt idx="18">
                  <c:v>272122.36000000004</c:v>
                </c:pt>
                <c:pt idx="19">
                  <c:v>266587.70999999996</c:v>
                </c:pt>
                <c:pt idx="20">
                  <c:v>276591.39999999997</c:v>
                </c:pt>
                <c:pt idx="21">
                  <c:v>282054.06</c:v>
                </c:pt>
                <c:pt idx="22">
                  <c:v>264623.71000000002</c:v>
                </c:pt>
                <c:pt idx="23">
                  <c:v>270798.83000000007</c:v>
                </c:pt>
                <c:pt idx="24">
                  <c:v>257958.46</c:v>
                </c:pt>
                <c:pt idx="25">
                  <c:v>252842.03</c:v>
                </c:pt>
                <c:pt idx="26">
                  <c:v>250998.25000000006</c:v>
                </c:pt>
                <c:pt idx="27">
                  <c:v>244180.66</c:v>
                </c:pt>
                <c:pt idx="28">
                  <c:v>229118.00000000006</c:v>
                </c:pt>
                <c:pt idx="29">
                  <c:v>227452.92</c:v>
                </c:pt>
                <c:pt idx="30">
                  <c:v>220913.90000000002</c:v>
                </c:pt>
                <c:pt idx="31">
                  <c:v>223297.34000000003</c:v>
                </c:pt>
                <c:pt idx="32">
                  <c:v>221823.27000000002</c:v>
                </c:pt>
                <c:pt idx="33">
                  <c:v>218622.19999999998</c:v>
                </c:pt>
                <c:pt idx="34">
                  <c:v>225174.86000000004</c:v>
                </c:pt>
                <c:pt idx="35">
                  <c:v>215931.51</c:v>
                </c:pt>
                <c:pt idx="36">
                  <c:v>219296.73000000004</c:v>
                </c:pt>
                <c:pt idx="37">
                  <c:v>226133.25000000003</c:v>
                </c:pt>
                <c:pt idx="38">
                  <c:v>222905.13999999998</c:v>
                </c:pt>
                <c:pt idx="39">
                  <c:v>230175.86000000002</c:v>
                </c:pt>
                <c:pt idx="40">
                  <c:v>252074.98</c:v>
                </c:pt>
                <c:pt idx="41">
                  <c:v>262108.04</c:v>
                </c:pt>
                <c:pt idx="42">
                  <c:v>269427.12</c:v>
                </c:pt>
                <c:pt idx="43">
                  <c:v>280247.67</c:v>
                </c:pt>
                <c:pt idx="44">
                  <c:v>291498.58</c:v>
                </c:pt>
                <c:pt idx="45">
                  <c:v>290812.71000000002</c:v>
                </c:pt>
                <c:pt idx="46">
                  <c:v>297936.21000000002</c:v>
                </c:pt>
                <c:pt idx="47">
                  <c:v>324912.08</c:v>
                </c:pt>
                <c:pt idx="48">
                  <c:v>346598.85999999993</c:v>
                </c:pt>
                <c:pt idx="49">
                  <c:v>359959.98</c:v>
                </c:pt>
                <c:pt idx="50">
                  <c:v>371506.29999999993</c:v>
                </c:pt>
                <c:pt idx="51">
                  <c:v>366212.25</c:v>
                </c:pt>
                <c:pt idx="52">
                  <c:v>359432.08</c:v>
                </c:pt>
                <c:pt idx="53">
                  <c:v>356967.04</c:v>
                </c:pt>
                <c:pt idx="54">
                  <c:v>366214.47</c:v>
                </c:pt>
                <c:pt idx="55">
                  <c:v>359988.97</c:v>
                </c:pt>
                <c:pt idx="56">
                  <c:v>378024.84999999992</c:v>
                </c:pt>
                <c:pt idx="57">
                  <c:v>402595.94999999995</c:v>
                </c:pt>
                <c:pt idx="58">
                  <c:v>402410</c:v>
                </c:pt>
                <c:pt idx="59">
                  <c:v>400643.12</c:v>
                </c:pt>
                <c:pt idx="60">
                  <c:v>384707.93</c:v>
                </c:pt>
                <c:pt idx="61">
                  <c:v>407605.82999999996</c:v>
                </c:pt>
                <c:pt idx="62">
                  <c:v>401087.68</c:v>
                </c:pt>
                <c:pt idx="63">
                  <c:v>393365.50999999989</c:v>
                </c:pt>
                <c:pt idx="64">
                  <c:v>368813.88</c:v>
                </c:pt>
                <c:pt idx="65">
                  <c:v>349799.57</c:v>
                </c:pt>
                <c:pt idx="66">
                  <c:v>321862.7</c:v>
                </c:pt>
                <c:pt idx="67">
                  <c:v>323319.74000000005</c:v>
                </c:pt>
                <c:pt idx="68">
                  <c:v>291524.33000000007</c:v>
                </c:pt>
                <c:pt idx="69">
                  <c:v>264726.62</c:v>
                </c:pt>
                <c:pt idx="70">
                  <c:v>263207.63</c:v>
                </c:pt>
                <c:pt idx="71">
                  <c:v>241434.82000000004</c:v>
                </c:pt>
                <c:pt idx="72">
                  <c:v>245472.6</c:v>
                </c:pt>
                <c:pt idx="73">
                  <c:v>213863.09000000003</c:v>
                </c:pt>
                <c:pt idx="74">
                  <c:v>224798.79000000004</c:v>
                </c:pt>
                <c:pt idx="75">
                  <c:v>237917.11000000002</c:v>
                </c:pt>
                <c:pt idx="76">
                  <c:v>255576.99</c:v>
                </c:pt>
                <c:pt idx="77">
                  <c:v>267512.64999999997</c:v>
                </c:pt>
                <c:pt idx="78">
                  <c:v>282483.40999999997</c:v>
                </c:pt>
                <c:pt idx="79">
                  <c:v>274383.44</c:v>
                </c:pt>
                <c:pt idx="80">
                  <c:v>275416.14999999997</c:v>
                </c:pt>
                <c:pt idx="81">
                  <c:v>274001.48</c:v>
                </c:pt>
                <c:pt idx="82">
                  <c:v>273887.82999999996</c:v>
                </c:pt>
                <c:pt idx="83">
                  <c:v>270553.74</c:v>
                </c:pt>
                <c:pt idx="84">
                  <c:v>269938.8</c:v>
                </c:pt>
                <c:pt idx="85">
                  <c:v>265587</c:v>
                </c:pt>
                <c:pt idx="86">
                  <c:v>251005.70000000004</c:v>
                </c:pt>
                <c:pt idx="87">
                  <c:v>249905.38</c:v>
                </c:pt>
                <c:pt idx="88">
                  <c:v>250516.25999999998</c:v>
                </c:pt>
                <c:pt idx="89">
                  <c:v>257603.44</c:v>
                </c:pt>
                <c:pt idx="90">
                  <c:v>255190.64999999994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124-4027-ACE0-B829B427E336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sites'!$A$806:$A$902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sites'!$M$806:$M$902</c:f>
              <c:numCache>
                <c:formatCode>_-* #\ ##0\ [$€-40C]_-;\-* #\ ##0\ [$€-40C]_-;_-* "-"??\ [$€-40C]_-;_-@_-</c:formatCode>
                <c:ptCount val="97"/>
                <c:pt idx="0">
                  <c:v>231058.86999999997</c:v>
                </c:pt>
                <c:pt idx="1">
                  <c:v>213372.19999999998</c:v>
                </c:pt>
                <c:pt idx="2">
                  <c:v>212898.89</c:v>
                </c:pt>
                <c:pt idx="3">
                  <c:v>186620.73000000004</c:v>
                </c:pt>
                <c:pt idx="4">
                  <c:v>184691.24999999997</c:v>
                </c:pt>
                <c:pt idx="5">
                  <c:v>178015.34</c:v>
                </c:pt>
                <c:pt idx="6">
                  <c:v>176513.74000000002</c:v>
                </c:pt>
                <c:pt idx="7">
                  <c:v>174408.26</c:v>
                </c:pt>
                <c:pt idx="8">
                  <c:v>177391.2</c:v>
                </c:pt>
                <c:pt idx="9">
                  <c:v>172763.11000000002</c:v>
                </c:pt>
                <c:pt idx="10">
                  <c:v>169646.92000000004</c:v>
                </c:pt>
                <c:pt idx="11">
                  <c:v>168809.80000000005</c:v>
                </c:pt>
                <c:pt idx="12">
                  <c:v>155245.61000000002</c:v>
                </c:pt>
                <c:pt idx="13">
                  <c:v>157285.29</c:v>
                </c:pt>
                <c:pt idx="14">
                  <c:v>155094.55000000002</c:v>
                </c:pt>
                <c:pt idx="15">
                  <c:v>163532.06000000003</c:v>
                </c:pt>
                <c:pt idx="16">
                  <c:v>167386.29</c:v>
                </c:pt>
                <c:pt idx="17">
                  <c:v>180901.2</c:v>
                </c:pt>
                <c:pt idx="18">
                  <c:v>184452.49000000005</c:v>
                </c:pt>
                <c:pt idx="19">
                  <c:v>191732.07000000004</c:v>
                </c:pt>
                <c:pt idx="20">
                  <c:v>195310.93</c:v>
                </c:pt>
                <c:pt idx="21">
                  <c:v>199870.41999999998</c:v>
                </c:pt>
                <c:pt idx="22">
                  <c:v>206615.16</c:v>
                </c:pt>
                <c:pt idx="23">
                  <c:v>215137.69999999998</c:v>
                </c:pt>
                <c:pt idx="24">
                  <c:v>235361.97999999998</c:v>
                </c:pt>
                <c:pt idx="25">
                  <c:v>246372.61999999997</c:v>
                </c:pt>
                <c:pt idx="26">
                  <c:v>249497.75000000003</c:v>
                </c:pt>
                <c:pt idx="27">
                  <c:v>246222.87999999998</c:v>
                </c:pt>
                <c:pt idx="28">
                  <c:v>246315.93000000002</c:v>
                </c:pt>
                <c:pt idx="29">
                  <c:v>245136.82000000004</c:v>
                </c:pt>
                <c:pt idx="30">
                  <c:v>240662.24</c:v>
                </c:pt>
                <c:pt idx="31">
                  <c:v>237718.24999999997</c:v>
                </c:pt>
                <c:pt idx="32">
                  <c:v>236320.54999999996</c:v>
                </c:pt>
                <c:pt idx="33">
                  <c:v>245789.47</c:v>
                </c:pt>
                <c:pt idx="34">
                  <c:v>246944.52999999997</c:v>
                </c:pt>
                <c:pt idx="35">
                  <c:v>245575.72999999998</c:v>
                </c:pt>
                <c:pt idx="36">
                  <c:v>239947.88000000003</c:v>
                </c:pt>
                <c:pt idx="37">
                  <c:v>230967.22000000003</c:v>
                </c:pt>
                <c:pt idx="38">
                  <c:v>222880.66000000003</c:v>
                </c:pt>
                <c:pt idx="39">
                  <c:v>220212.29</c:v>
                </c:pt>
                <c:pt idx="40">
                  <c:v>218878.83000000002</c:v>
                </c:pt>
                <c:pt idx="41">
                  <c:v>212811.52000000005</c:v>
                </c:pt>
                <c:pt idx="42">
                  <c:v>209668.17</c:v>
                </c:pt>
                <c:pt idx="43">
                  <c:v>202856.82</c:v>
                </c:pt>
                <c:pt idx="44">
                  <c:v>208022.47</c:v>
                </c:pt>
                <c:pt idx="45">
                  <c:v>197109.80000000002</c:v>
                </c:pt>
                <c:pt idx="46">
                  <c:v>203643.09999999998</c:v>
                </c:pt>
                <c:pt idx="47">
                  <c:v>208316.71</c:v>
                </c:pt>
                <c:pt idx="48">
                  <c:v>210033.48</c:v>
                </c:pt>
                <c:pt idx="49">
                  <c:v>214944.28999999995</c:v>
                </c:pt>
                <c:pt idx="50">
                  <c:v>227017.44</c:v>
                </c:pt>
                <c:pt idx="51">
                  <c:v>232803.57999999996</c:v>
                </c:pt>
                <c:pt idx="52">
                  <c:v>241182.71</c:v>
                </c:pt>
                <c:pt idx="53">
                  <c:v>255237.86</c:v>
                </c:pt>
                <c:pt idx="54">
                  <c:v>268430.46999999991</c:v>
                </c:pt>
                <c:pt idx="55">
                  <c:v>278163.84999999998</c:v>
                </c:pt>
                <c:pt idx="56">
                  <c:v>276194.11</c:v>
                </c:pt>
                <c:pt idx="57">
                  <c:v>280418.12999999995</c:v>
                </c:pt>
                <c:pt idx="58">
                  <c:v>271566.22000000003</c:v>
                </c:pt>
                <c:pt idx="59">
                  <c:v>267402.94000000006</c:v>
                </c:pt>
                <c:pt idx="60">
                  <c:v>257723.74</c:v>
                </c:pt>
                <c:pt idx="61">
                  <c:v>250583.48</c:v>
                </c:pt>
                <c:pt idx="62">
                  <c:v>234756.39999999997</c:v>
                </c:pt>
                <c:pt idx="63">
                  <c:v>216608.65</c:v>
                </c:pt>
                <c:pt idx="64">
                  <c:v>188750.75000000003</c:v>
                </c:pt>
                <c:pt idx="65">
                  <c:v>163551.51000000004</c:v>
                </c:pt>
                <c:pt idx="66">
                  <c:v>141610.89000000004</c:v>
                </c:pt>
                <c:pt idx="67">
                  <c:v>132142.93999999997</c:v>
                </c:pt>
                <c:pt idx="68">
                  <c:v>135712.31999999998</c:v>
                </c:pt>
                <c:pt idx="69">
                  <c:v>130731.00999999998</c:v>
                </c:pt>
                <c:pt idx="70">
                  <c:v>125572.24999999999</c:v>
                </c:pt>
                <c:pt idx="71">
                  <c:v>118184.44</c:v>
                </c:pt>
                <c:pt idx="72">
                  <c:v>110722.32</c:v>
                </c:pt>
                <c:pt idx="73">
                  <c:v>100535.02000000002</c:v>
                </c:pt>
                <c:pt idx="74">
                  <c:v>101377.51000000001</c:v>
                </c:pt>
                <c:pt idx="75">
                  <c:v>120102.92000000003</c:v>
                </c:pt>
                <c:pt idx="76">
                  <c:v>161418.03</c:v>
                </c:pt>
                <c:pt idx="77">
                  <c:v>169508.94000000003</c:v>
                </c:pt>
                <c:pt idx="78">
                  <c:v>180315.82000000004</c:v>
                </c:pt>
                <c:pt idx="79">
                  <c:v>192650.35</c:v>
                </c:pt>
                <c:pt idx="80">
                  <c:v>192758.93</c:v>
                </c:pt>
                <c:pt idx="81">
                  <c:v>199466.34000000003</c:v>
                </c:pt>
                <c:pt idx="82">
                  <c:v>195976.24000000002</c:v>
                </c:pt>
                <c:pt idx="83">
                  <c:v>196553.53</c:v>
                </c:pt>
                <c:pt idx="84">
                  <c:v>211477.15000000002</c:v>
                </c:pt>
                <c:pt idx="85">
                  <c:v>208520.28</c:v>
                </c:pt>
                <c:pt idx="86">
                  <c:v>204937.85</c:v>
                </c:pt>
                <c:pt idx="87">
                  <c:v>192905.34999999998</c:v>
                </c:pt>
                <c:pt idx="88">
                  <c:v>164292.19999999995</c:v>
                </c:pt>
                <c:pt idx="89">
                  <c:v>166145.74999999997</c:v>
                </c:pt>
                <c:pt idx="90">
                  <c:v>165986.14999999997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124-4027-ACE0-B829B427E336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sites'!$A$806:$A$902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sites'!$N$806:$N$902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471.69000000000005</c:v>
                </c:pt>
                <c:pt idx="12">
                  <c:v>717.36000000000013</c:v>
                </c:pt>
                <c:pt idx="13">
                  <c:v>1090.2900000000002</c:v>
                </c:pt>
                <c:pt idx="14">
                  <c:v>6271.09</c:v>
                </c:pt>
                <c:pt idx="15">
                  <c:v>8317.06</c:v>
                </c:pt>
                <c:pt idx="16">
                  <c:v>14817.439999999999</c:v>
                </c:pt>
                <c:pt idx="17">
                  <c:v>18912.769999999997</c:v>
                </c:pt>
                <c:pt idx="18">
                  <c:v>22731.03</c:v>
                </c:pt>
                <c:pt idx="19">
                  <c:v>22731.03</c:v>
                </c:pt>
                <c:pt idx="20">
                  <c:v>22731.03</c:v>
                </c:pt>
                <c:pt idx="21">
                  <c:v>24662.57</c:v>
                </c:pt>
                <c:pt idx="22">
                  <c:v>29449.73</c:v>
                </c:pt>
                <c:pt idx="23">
                  <c:v>33444.269999999997</c:v>
                </c:pt>
                <c:pt idx="24">
                  <c:v>38401.97</c:v>
                </c:pt>
                <c:pt idx="25">
                  <c:v>50381.280000000006</c:v>
                </c:pt>
                <c:pt idx="26">
                  <c:v>45437.31</c:v>
                </c:pt>
                <c:pt idx="27">
                  <c:v>47408.670000000006</c:v>
                </c:pt>
                <c:pt idx="28">
                  <c:v>45379.140000000007</c:v>
                </c:pt>
                <c:pt idx="29">
                  <c:v>49515.49</c:v>
                </c:pt>
                <c:pt idx="30">
                  <c:v>50153.91</c:v>
                </c:pt>
                <c:pt idx="31">
                  <c:v>50753.279999999999</c:v>
                </c:pt>
                <c:pt idx="32">
                  <c:v>51189.42</c:v>
                </c:pt>
                <c:pt idx="33">
                  <c:v>52744.420000000013</c:v>
                </c:pt>
                <c:pt idx="34">
                  <c:v>51453.630000000005</c:v>
                </c:pt>
                <c:pt idx="35">
                  <c:v>52977.37000000001</c:v>
                </c:pt>
                <c:pt idx="36">
                  <c:v>53274.420000000006</c:v>
                </c:pt>
                <c:pt idx="37">
                  <c:v>44768.62</c:v>
                </c:pt>
                <c:pt idx="38">
                  <c:v>46974.729999999996</c:v>
                </c:pt>
                <c:pt idx="39">
                  <c:v>51991.81</c:v>
                </c:pt>
                <c:pt idx="40">
                  <c:v>52035.999999999993</c:v>
                </c:pt>
                <c:pt idx="41">
                  <c:v>49797.119999999995</c:v>
                </c:pt>
                <c:pt idx="42">
                  <c:v>54732.79</c:v>
                </c:pt>
                <c:pt idx="43">
                  <c:v>65530.64</c:v>
                </c:pt>
                <c:pt idx="44">
                  <c:v>69010.34</c:v>
                </c:pt>
                <c:pt idx="45">
                  <c:v>71059.680000000008</c:v>
                </c:pt>
                <c:pt idx="46">
                  <c:v>70374.27</c:v>
                </c:pt>
                <c:pt idx="47">
                  <c:v>71149.439999999988</c:v>
                </c:pt>
                <c:pt idx="48">
                  <c:v>69355.649999999994</c:v>
                </c:pt>
                <c:pt idx="49">
                  <c:v>70492.03</c:v>
                </c:pt>
                <c:pt idx="50">
                  <c:v>69713.73000000001</c:v>
                </c:pt>
                <c:pt idx="51">
                  <c:v>65777.89</c:v>
                </c:pt>
                <c:pt idx="52">
                  <c:v>66635.42</c:v>
                </c:pt>
                <c:pt idx="53">
                  <c:v>61946.39</c:v>
                </c:pt>
                <c:pt idx="54">
                  <c:v>54035.64</c:v>
                </c:pt>
                <c:pt idx="55">
                  <c:v>45210.26999999999</c:v>
                </c:pt>
                <c:pt idx="56">
                  <c:v>42064.429999999993</c:v>
                </c:pt>
                <c:pt idx="57">
                  <c:v>37868.549999999996</c:v>
                </c:pt>
                <c:pt idx="58">
                  <c:v>35447.589999999997</c:v>
                </c:pt>
                <c:pt idx="59">
                  <c:v>29372.449999999997</c:v>
                </c:pt>
                <c:pt idx="60">
                  <c:v>27756.089999999997</c:v>
                </c:pt>
                <c:pt idx="61">
                  <c:v>23508.269999999997</c:v>
                </c:pt>
                <c:pt idx="62">
                  <c:v>22198.63</c:v>
                </c:pt>
                <c:pt idx="63">
                  <c:v>17100.060000000001</c:v>
                </c:pt>
                <c:pt idx="64">
                  <c:v>11947.24</c:v>
                </c:pt>
                <c:pt idx="65">
                  <c:v>10643.470000000001</c:v>
                </c:pt>
                <c:pt idx="66">
                  <c:v>53977.619999999995</c:v>
                </c:pt>
                <c:pt idx="67">
                  <c:v>57303.67</c:v>
                </c:pt>
                <c:pt idx="68">
                  <c:v>56533.67</c:v>
                </c:pt>
                <c:pt idx="69">
                  <c:v>55633.67</c:v>
                </c:pt>
                <c:pt idx="70">
                  <c:v>58656.03</c:v>
                </c:pt>
                <c:pt idx="71">
                  <c:v>57966.03</c:v>
                </c:pt>
                <c:pt idx="72">
                  <c:v>57200.170000000006</c:v>
                </c:pt>
                <c:pt idx="73">
                  <c:v>56945.200000000004</c:v>
                </c:pt>
                <c:pt idx="74">
                  <c:v>58168.680000000008</c:v>
                </c:pt>
                <c:pt idx="75">
                  <c:v>60769.390000000007</c:v>
                </c:pt>
                <c:pt idx="76">
                  <c:v>61325.460000000006</c:v>
                </c:pt>
                <c:pt idx="77">
                  <c:v>64437.200000000004</c:v>
                </c:pt>
                <c:pt idx="78">
                  <c:v>20634.72</c:v>
                </c:pt>
                <c:pt idx="79">
                  <c:v>15188.53</c:v>
                </c:pt>
                <c:pt idx="80">
                  <c:v>16391.53</c:v>
                </c:pt>
                <c:pt idx="81">
                  <c:v>17469.050000000003</c:v>
                </c:pt>
                <c:pt idx="82">
                  <c:v>16986.93</c:v>
                </c:pt>
                <c:pt idx="83">
                  <c:v>18662.14</c:v>
                </c:pt>
                <c:pt idx="84">
                  <c:v>17725.21</c:v>
                </c:pt>
                <c:pt idx="85">
                  <c:v>17495.050000000003</c:v>
                </c:pt>
                <c:pt idx="86">
                  <c:v>16521.57</c:v>
                </c:pt>
                <c:pt idx="87">
                  <c:v>14215.859999999999</c:v>
                </c:pt>
                <c:pt idx="88">
                  <c:v>13440.039999999999</c:v>
                </c:pt>
                <c:pt idx="89">
                  <c:v>11444.3</c:v>
                </c:pt>
                <c:pt idx="90">
                  <c:v>12578.93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124-4027-ACE0-B829B427E336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sites'!$A$806:$A$902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sites'!$O$806:$O$902</c:f>
              <c:numCache>
                <c:formatCode>_-* #\ ##0\ [$€-40C]_-;\-* #\ ##0\ [$€-40C]_-;_-* "-"??\ [$€-40C]_-;_-@_-</c:formatCode>
                <c:ptCount val="97"/>
                <c:pt idx="0">
                  <c:v>36460.600000000006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2129.2799999999997</c:v>
                </c:pt>
                <c:pt idx="50">
                  <c:v>5719.57</c:v>
                </c:pt>
                <c:pt idx="51">
                  <c:v>12191.480000000001</c:v>
                </c:pt>
                <c:pt idx="52">
                  <c:v>17906.120000000003</c:v>
                </c:pt>
                <c:pt idx="53">
                  <c:v>28679.91</c:v>
                </c:pt>
                <c:pt idx="54">
                  <c:v>31224.530000000002</c:v>
                </c:pt>
                <c:pt idx="55">
                  <c:v>34247.58</c:v>
                </c:pt>
                <c:pt idx="56">
                  <c:v>42643.9</c:v>
                </c:pt>
                <c:pt idx="57">
                  <c:v>48232.97</c:v>
                </c:pt>
                <c:pt idx="58">
                  <c:v>51199.1</c:v>
                </c:pt>
                <c:pt idx="59">
                  <c:v>74705.260000000009</c:v>
                </c:pt>
                <c:pt idx="60">
                  <c:v>88442.170000000013</c:v>
                </c:pt>
                <c:pt idx="61">
                  <c:v>95410.87000000001</c:v>
                </c:pt>
                <c:pt idx="62">
                  <c:v>141823.43000000002</c:v>
                </c:pt>
                <c:pt idx="63">
                  <c:v>147676.84</c:v>
                </c:pt>
                <c:pt idx="64">
                  <c:v>142562.35</c:v>
                </c:pt>
                <c:pt idx="65">
                  <c:v>134098.29999999999</c:v>
                </c:pt>
                <c:pt idx="66">
                  <c:v>132418.96</c:v>
                </c:pt>
                <c:pt idx="67">
                  <c:v>135061.29999999999</c:v>
                </c:pt>
                <c:pt idx="68">
                  <c:v>134564.66999999998</c:v>
                </c:pt>
                <c:pt idx="69">
                  <c:v>134107.54</c:v>
                </c:pt>
                <c:pt idx="70">
                  <c:v>140507.72</c:v>
                </c:pt>
                <c:pt idx="71">
                  <c:v>150043.5</c:v>
                </c:pt>
                <c:pt idx="72">
                  <c:v>146320.92000000001</c:v>
                </c:pt>
                <c:pt idx="73">
                  <c:v>140680.03</c:v>
                </c:pt>
                <c:pt idx="74">
                  <c:v>108089.18000000001</c:v>
                </c:pt>
                <c:pt idx="75">
                  <c:v>112658.87000000001</c:v>
                </c:pt>
                <c:pt idx="76">
                  <c:v>133430.52000000002</c:v>
                </c:pt>
                <c:pt idx="77">
                  <c:v>149071.35</c:v>
                </c:pt>
                <c:pt idx="78">
                  <c:v>171482.81</c:v>
                </c:pt>
                <c:pt idx="79">
                  <c:v>183373.79</c:v>
                </c:pt>
                <c:pt idx="80">
                  <c:v>191125.59999999998</c:v>
                </c:pt>
                <c:pt idx="81">
                  <c:v>196100.44000000003</c:v>
                </c:pt>
                <c:pt idx="82">
                  <c:v>195728.04000000004</c:v>
                </c:pt>
                <c:pt idx="83">
                  <c:v>165868.05000000002</c:v>
                </c:pt>
                <c:pt idx="84">
                  <c:v>162038.87</c:v>
                </c:pt>
                <c:pt idx="85">
                  <c:v>178218.68000000002</c:v>
                </c:pt>
                <c:pt idx="86">
                  <c:v>166559.73000000001</c:v>
                </c:pt>
                <c:pt idx="87">
                  <c:v>167952.03</c:v>
                </c:pt>
                <c:pt idx="88">
                  <c:v>155922.39000000001</c:v>
                </c:pt>
                <c:pt idx="89">
                  <c:v>156086.31</c:v>
                </c:pt>
                <c:pt idx="90">
                  <c:v>152265.46000000002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124-4027-ACE0-B829B427E336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sites'!$A$806:$A$902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sites'!$P$806:$P$902</c:f>
              <c:numCache>
                <c:formatCode>_-* #\ ##0\ [$€-40C]_-;\-* #\ ##0\ [$€-40C]_-;_-* "-"??\ [$€-40C]_-;_-@_-</c:formatCode>
                <c:ptCount val="97"/>
                <c:pt idx="0">
                  <c:v>3002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2602.5299999999997</c:v>
                </c:pt>
                <c:pt idx="38">
                  <c:v>7490.9699999999993</c:v>
                </c:pt>
                <c:pt idx="39">
                  <c:v>15383.439999999999</c:v>
                </c:pt>
                <c:pt idx="40">
                  <c:v>21286.660000000003</c:v>
                </c:pt>
                <c:pt idx="41">
                  <c:v>27193.829999999998</c:v>
                </c:pt>
                <c:pt idx="42">
                  <c:v>34107.550000000003</c:v>
                </c:pt>
                <c:pt idx="43">
                  <c:v>45570.74</c:v>
                </c:pt>
                <c:pt idx="44">
                  <c:v>48173.5</c:v>
                </c:pt>
                <c:pt idx="45">
                  <c:v>52465.700000000004</c:v>
                </c:pt>
                <c:pt idx="46">
                  <c:v>69831.64</c:v>
                </c:pt>
                <c:pt idx="47">
                  <c:v>78730.86</c:v>
                </c:pt>
                <c:pt idx="48">
                  <c:v>97515.290000000008</c:v>
                </c:pt>
                <c:pt idx="49">
                  <c:v>98552.06</c:v>
                </c:pt>
                <c:pt idx="50">
                  <c:v>96688.459999999992</c:v>
                </c:pt>
                <c:pt idx="51">
                  <c:v>95889.54</c:v>
                </c:pt>
                <c:pt idx="52">
                  <c:v>95610.95</c:v>
                </c:pt>
                <c:pt idx="53">
                  <c:v>102532.12000000001</c:v>
                </c:pt>
                <c:pt idx="54">
                  <c:v>104590.8</c:v>
                </c:pt>
                <c:pt idx="55">
                  <c:v>96291.14</c:v>
                </c:pt>
                <c:pt idx="56">
                  <c:v>96790.26999999999</c:v>
                </c:pt>
                <c:pt idx="57">
                  <c:v>98325.599999999991</c:v>
                </c:pt>
                <c:pt idx="58">
                  <c:v>87412.66</c:v>
                </c:pt>
                <c:pt idx="59">
                  <c:v>86182.739999999991</c:v>
                </c:pt>
                <c:pt idx="60">
                  <c:v>78615.049999999988</c:v>
                </c:pt>
                <c:pt idx="61">
                  <c:v>80705.89</c:v>
                </c:pt>
                <c:pt idx="62">
                  <c:v>83144.7</c:v>
                </c:pt>
                <c:pt idx="63">
                  <c:v>77424.899999999994</c:v>
                </c:pt>
                <c:pt idx="64">
                  <c:v>71890.27</c:v>
                </c:pt>
                <c:pt idx="65">
                  <c:v>60859.43</c:v>
                </c:pt>
                <c:pt idx="66">
                  <c:v>54972.03</c:v>
                </c:pt>
                <c:pt idx="67">
                  <c:v>59193.500000000007</c:v>
                </c:pt>
                <c:pt idx="68">
                  <c:v>60509.110000000008</c:v>
                </c:pt>
                <c:pt idx="69">
                  <c:v>55936.080000000009</c:v>
                </c:pt>
                <c:pt idx="70">
                  <c:v>51819.08</c:v>
                </c:pt>
                <c:pt idx="71">
                  <c:v>38948.75</c:v>
                </c:pt>
                <c:pt idx="72">
                  <c:v>31664.080000000002</c:v>
                </c:pt>
                <c:pt idx="73">
                  <c:v>28775.11</c:v>
                </c:pt>
                <c:pt idx="74">
                  <c:v>28810.620000000003</c:v>
                </c:pt>
                <c:pt idx="75">
                  <c:v>29532.880000000001</c:v>
                </c:pt>
                <c:pt idx="76">
                  <c:v>31074.870000000003</c:v>
                </c:pt>
                <c:pt idx="77">
                  <c:v>36754.28</c:v>
                </c:pt>
                <c:pt idx="78">
                  <c:v>35712.67</c:v>
                </c:pt>
                <c:pt idx="79">
                  <c:v>31058.080000000002</c:v>
                </c:pt>
                <c:pt idx="80">
                  <c:v>27929.24</c:v>
                </c:pt>
                <c:pt idx="81">
                  <c:v>31798.600000000002</c:v>
                </c:pt>
                <c:pt idx="82">
                  <c:v>34217.589999999997</c:v>
                </c:pt>
                <c:pt idx="83">
                  <c:v>42611.199999999997</c:v>
                </c:pt>
                <c:pt idx="84">
                  <c:v>52912.619999999995</c:v>
                </c:pt>
                <c:pt idx="85">
                  <c:v>53368.28</c:v>
                </c:pt>
                <c:pt idx="86">
                  <c:v>54079.199999999997</c:v>
                </c:pt>
                <c:pt idx="87">
                  <c:v>56251.19</c:v>
                </c:pt>
                <c:pt idx="88">
                  <c:v>59685.75</c:v>
                </c:pt>
                <c:pt idx="89">
                  <c:v>55943.590000000004</c:v>
                </c:pt>
                <c:pt idx="90">
                  <c:v>65381.93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124-4027-ACE0-B829B427E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858808"/>
        <c:axId val="520861552"/>
        <c:extLst/>
      </c:lineChart>
      <c:dateAx>
        <c:axId val="520858808"/>
        <c:scaling>
          <c:orientation val="minMax"/>
        </c:scaling>
        <c:delete val="0"/>
        <c:axPos val="b"/>
        <c:numFmt formatCode="mmm\-aa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0861552"/>
        <c:crosses val="autoZero"/>
        <c:auto val="1"/>
        <c:lblOffset val="100"/>
        <c:baseTimeUnit val="months"/>
      </c:dateAx>
      <c:valAx>
        <c:axId val="520861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Standard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0858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FACILITY MANAGEMENT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2752670670397774E-2"/>
          <c:y val="7.3589629882677546E-2"/>
          <c:w val="0.90666627983641634"/>
          <c:h val="0.72541882485312181"/>
        </c:manualLayout>
      </c:layout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sites'!$A$605:$A$701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sites'!$B$605:$B$701</c:f>
              <c:numCache>
                <c:formatCode>Standard</c:formatCode>
                <c:ptCount val="97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D2D-4322-BDF7-03FBCA678412}"/>
            </c:ext>
          </c:extLst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sites'!$A$605:$A$701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sites'!$C$605:$C$701</c:f>
              <c:numCache>
                <c:formatCode>_-* #\ ##0\ [$€-40C]_-;\-* #\ ##0\ [$€-40C]_-;_-* "-"??\ [$€-40C]_-;_-@_-</c:formatCode>
                <c:ptCount val="97"/>
                <c:pt idx="0">
                  <c:v>370220.41000000003</c:v>
                </c:pt>
                <c:pt idx="1">
                  <c:v>358508.16000000003</c:v>
                </c:pt>
                <c:pt idx="2">
                  <c:v>346482.17</c:v>
                </c:pt>
                <c:pt idx="3">
                  <c:v>344597.03</c:v>
                </c:pt>
                <c:pt idx="4">
                  <c:v>369882.33999999997</c:v>
                </c:pt>
                <c:pt idx="5">
                  <c:v>365874.93999999994</c:v>
                </c:pt>
                <c:pt idx="6">
                  <c:v>358298.74</c:v>
                </c:pt>
                <c:pt idx="7">
                  <c:v>326516.41000000003</c:v>
                </c:pt>
                <c:pt idx="8">
                  <c:v>329471.62</c:v>
                </c:pt>
                <c:pt idx="9">
                  <c:v>332060.11</c:v>
                </c:pt>
                <c:pt idx="10">
                  <c:v>311131.49999999994</c:v>
                </c:pt>
                <c:pt idx="11">
                  <c:v>307105.09000000003</c:v>
                </c:pt>
                <c:pt idx="12">
                  <c:v>306539.28999999998</c:v>
                </c:pt>
                <c:pt idx="13">
                  <c:v>288175.78000000003</c:v>
                </c:pt>
                <c:pt idx="14">
                  <c:v>283069.74</c:v>
                </c:pt>
                <c:pt idx="15">
                  <c:v>281210.95999999996</c:v>
                </c:pt>
                <c:pt idx="16">
                  <c:v>248794.5</c:v>
                </c:pt>
                <c:pt idx="17">
                  <c:v>250348.50999999998</c:v>
                </c:pt>
                <c:pt idx="18">
                  <c:v>241540.90000000002</c:v>
                </c:pt>
                <c:pt idx="19">
                  <c:v>244164.21999999997</c:v>
                </c:pt>
                <c:pt idx="20">
                  <c:v>245074.49</c:v>
                </c:pt>
                <c:pt idx="21">
                  <c:v>233786.73000000004</c:v>
                </c:pt>
                <c:pt idx="22">
                  <c:v>232893.00999999995</c:v>
                </c:pt>
                <c:pt idx="23">
                  <c:v>230848.28999999998</c:v>
                </c:pt>
                <c:pt idx="24">
                  <c:v>228769.77999999997</c:v>
                </c:pt>
                <c:pt idx="25">
                  <c:v>243501.66999999998</c:v>
                </c:pt>
                <c:pt idx="26">
                  <c:v>249958.52000000002</c:v>
                </c:pt>
                <c:pt idx="27">
                  <c:v>253921.95999999996</c:v>
                </c:pt>
                <c:pt idx="28">
                  <c:v>253279.04999999996</c:v>
                </c:pt>
                <c:pt idx="29">
                  <c:v>246528.39999999997</c:v>
                </c:pt>
                <c:pt idx="30">
                  <c:v>244754.41999999998</c:v>
                </c:pt>
                <c:pt idx="31">
                  <c:v>255424.81</c:v>
                </c:pt>
                <c:pt idx="32">
                  <c:v>255643.64</c:v>
                </c:pt>
                <c:pt idx="33">
                  <c:v>253994.53000000003</c:v>
                </c:pt>
                <c:pt idx="34">
                  <c:v>259610.96</c:v>
                </c:pt>
                <c:pt idx="35">
                  <c:v>266738.14</c:v>
                </c:pt>
                <c:pt idx="36">
                  <c:v>264194.85000000003</c:v>
                </c:pt>
                <c:pt idx="37">
                  <c:v>253842.78</c:v>
                </c:pt>
                <c:pt idx="38">
                  <c:v>248915.78999999998</c:v>
                </c:pt>
                <c:pt idx="39">
                  <c:v>238438.49</c:v>
                </c:pt>
                <c:pt idx="40">
                  <c:v>231221.56</c:v>
                </c:pt>
                <c:pt idx="41">
                  <c:v>234885.3</c:v>
                </c:pt>
                <c:pt idx="42">
                  <c:v>242797.93000000002</c:v>
                </c:pt>
                <c:pt idx="43">
                  <c:v>237528.10000000003</c:v>
                </c:pt>
                <c:pt idx="44">
                  <c:v>233435.96999999997</c:v>
                </c:pt>
                <c:pt idx="45">
                  <c:v>239219.74000000002</c:v>
                </c:pt>
                <c:pt idx="46">
                  <c:v>237422.39999999997</c:v>
                </c:pt>
                <c:pt idx="47">
                  <c:v>239893.13</c:v>
                </c:pt>
                <c:pt idx="48">
                  <c:v>237652.41999999998</c:v>
                </c:pt>
                <c:pt idx="49">
                  <c:v>234964.5</c:v>
                </c:pt>
                <c:pt idx="50">
                  <c:v>231328.53999999998</c:v>
                </c:pt>
                <c:pt idx="51">
                  <c:v>223903.18</c:v>
                </c:pt>
                <c:pt idx="52">
                  <c:v>238920.68</c:v>
                </c:pt>
                <c:pt idx="53">
                  <c:v>237418.12</c:v>
                </c:pt>
                <c:pt idx="54">
                  <c:v>236264.56</c:v>
                </c:pt>
                <c:pt idx="55">
                  <c:v>283012.25</c:v>
                </c:pt>
                <c:pt idx="56">
                  <c:v>282447.86</c:v>
                </c:pt>
                <c:pt idx="57">
                  <c:v>281537.07999999996</c:v>
                </c:pt>
                <c:pt idx="58">
                  <c:v>284222.39999999997</c:v>
                </c:pt>
                <c:pt idx="59">
                  <c:v>278431.24999999994</c:v>
                </c:pt>
                <c:pt idx="60">
                  <c:v>294881.23</c:v>
                </c:pt>
                <c:pt idx="61">
                  <c:v>301609.90000000002</c:v>
                </c:pt>
                <c:pt idx="62">
                  <c:v>304232.15999999997</c:v>
                </c:pt>
                <c:pt idx="63">
                  <c:v>301217.57</c:v>
                </c:pt>
                <c:pt idx="64">
                  <c:v>269506.06</c:v>
                </c:pt>
                <c:pt idx="65">
                  <c:v>260666.69999999995</c:v>
                </c:pt>
                <c:pt idx="66">
                  <c:v>248224.46</c:v>
                </c:pt>
                <c:pt idx="67">
                  <c:v>196556.63</c:v>
                </c:pt>
                <c:pt idx="68">
                  <c:v>194112.08000000002</c:v>
                </c:pt>
                <c:pt idx="69">
                  <c:v>188246.75</c:v>
                </c:pt>
                <c:pt idx="70">
                  <c:v>178172.83000000002</c:v>
                </c:pt>
                <c:pt idx="71">
                  <c:v>160855.20999999996</c:v>
                </c:pt>
                <c:pt idx="72">
                  <c:v>141192.74</c:v>
                </c:pt>
                <c:pt idx="73">
                  <c:v>126502.18999999997</c:v>
                </c:pt>
                <c:pt idx="74">
                  <c:v>125986.32</c:v>
                </c:pt>
                <c:pt idx="75">
                  <c:v>127793.59999999998</c:v>
                </c:pt>
                <c:pt idx="76">
                  <c:v>137344.35999999999</c:v>
                </c:pt>
                <c:pt idx="77">
                  <c:v>129215.45999999999</c:v>
                </c:pt>
                <c:pt idx="78">
                  <c:v>127785.39000000001</c:v>
                </c:pt>
                <c:pt idx="79">
                  <c:v>138439.42000000001</c:v>
                </c:pt>
                <c:pt idx="80">
                  <c:v>135837.75999999998</c:v>
                </c:pt>
                <c:pt idx="81">
                  <c:v>131528.09</c:v>
                </c:pt>
                <c:pt idx="82">
                  <c:v>134949.22</c:v>
                </c:pt>
                <c:pt idx="83">
                  <c:v>140403.34</c:v>
                </c:pt>
                <c:pt idx="84">
                  <c:v>142890.92000000001</c:v>
                </c:pt>
                <c:pt idx="85">
                  <c:v>144322.91</c:v>
                </c:pt>
                <c:pt idx="86">
                  <c:v>134186.52000000002</c:v>
                </c:pt>
                <c:pt idx="87">
                  <c:v>138986.18</c:v>
                </c:pt>
                <c:pt idx="88">
                  <c:v>146155.19</c:v>
                </c:pt>
                <c:pt idx="89">
                  <c:v>149340.40999999997</c:v>
                </c:pt>
                <c:pt idx="90">
                  <c:v>153370.46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2D-4322-BDF7-03FBCA678412}"/>
            </c:ext>
          </c:extLst>
        </c:ser>
        <c:ser>
          <c:idx val="3"/>
          <c:order val="2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sites'!$A$605:$A$701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sites'!$D$605:$D$701</c:f>
              <c:numCache>
                <c:formatCode>_-* #\ ##0\ [$€-40C]_-;\-* #\ ##0\ [$€-40C]_-;_-* "-"??\ [$€-40C]_-;_-@_-</c:formatCode>
                <c:ptCount val="97"/>
                <c:pt idx="0">
                  <c:v>150980.07</c:v>
                </c:pt>
                <c:pt idx="1">
                  <c:v>152282.79</c:v>
                </c:pt>
                <c:pt idx="2">
                  <c:v>152673.56</c:v>
                </c:pt>
                <c:pt idx="3">
                  <c:v>152478.34</c:v>
                </c:pt>
                <c:pt idx="4">
                  <c:v>153795.25</c:v>
                </c:pt>
                <c:pt idx="5">
                  <c:v>151001.03999999998</c:v>
                </c:pt>
                <c:pt idx="6">
                  <c:v>152136.9</c:v>
                </c:pt>
                <c:pt idx="7">
                  <c:v>148223.44</c:v>
                </c:pt>
                <c:pt idx="8">
                  <c:v>150626.63999999998</c:v>
                </c:pt>
                <c:pt idx="9">
                  <c:v>154931.08999999997</c:v>
                </c:pt>
                <c:pt idx="10">
                  <c:v>148625.50999999995</c:v>
                </c:pt>
                <c:pt idx="11">
                  <c:v>146679.43</c:v>
                </c:pt>
                <c:pt idx="12">
                  <c:v>147071.63</c:v>
                </c:pt>
                <c:pt idx="13">
                  <c:v>138074.68999999997</c:v>
                </c:pt>
                <c:pt idx="14">
                  <c:v>140974.15999999997</c:v>
                </c:pt>
                <c:pt idx="15">
                  <c:v>135625.68999999997</c:v>
                </c:pt>
                <c:pt idx="16">
                  <c:v>126647.61999999998</c:v>
                </c:pt>
                <c:pt idx="17">
                  <c:v>128019.79999999999</c:v>
                </c:pt>
                <c:pt idx="18">
                  <c:v>124816.94999999998</c:v>
                </c:pt>
                <c:pt idx="19">
                  <c:v>124066.64999999998</c:v>
                </c:pt>
                <c:pt idx="20">
                  <c:v>122757.29999999999</c:v>
                </c:pt>
                <c:pt idx="21">
                  <c:v>120651.66999999998</c:v>
                </c:pt>
                <c:pt idx="22">
                  <c:v>120122.40999999997</c:v>
                </c:pt>
                <c:pt idx="23">
                  <c:v>116125.98999999999</c:v>
                </c:pt>
                <c:pt idx="24">
                  <c:v>115464.03999999998</c:v>
                </c:pt>
                <c:pt idx="25">
                  <c:v>116527.95999999999</c:v>
                </c:pt>
                <c:pt idx="26">
                  <c:v>116215.34999999999</c:v>
                </c:pt>
                <c:pt idx="27">
                  <c:v>115571.91999999998</c:v>
                </c:pt>
                <c:pt idx="28">
                  <c:v>118850.70999999998</c:v>
                </c:pt>
                <c:pt idx="29">
                  <c:v>118409.41999999998</c:v>
                </c:pt>
                <c:pt idx="30">
                  <c:v>116718.87999999999</c:v>
                </c:pt>
                <c:pt idx="31">
                  <c:v>124453.15</c:v>
                </c:pt>
                <c:pt idx="32">
                  <c:v>124293.56</c:v>
                </c:pt>
                <c:pt idx="33">
                  <c:v>122077.95000000001</c:v>
                </c:pt>
                <c:pt idx="34">
                  <c:v>123874.88</c:v>
                </c:pt>
                <c:pt idx="35">
                  <c:v>129066</c:v>
                </c:pt>
                <c:pt idx="36">
                  <c:v>128471.27</c:v>
                </c:pt>
                <c:pt idx="37">
                  <c:v>128406.88</c:v>
                </c:pt>
                <c:pt idx="38">
                  <c:v>128016.38999999998</c:v>
                </c:pt>
                <c:pt idx="39">
                  <c:v>128106</c:v>
                </c:pt>
                <c:pt idx="40">
                  <c:v>124241.91999999998</c:v>
                </c:pt>
                <c:pt idx="41">
                  <c:v>128482.60999999999</c:v>
                </c:pt>
                <c:pt idx="42">
                  <c:v>129562.13</c:v>
                </c:pt>
                <c:pt idx="43">
                  <c:v>123961.87999999999</c:v>
                </c:pt>
                <c:pt idx="44">
                  <c:v>119901.13999999998</c:v>
                </c:pt>
                <c:pt idx="45">
                  <c:v>120590.53000000001</c:v>
                </c:pt>
                <c:pt idx="46">
                  <c:v>119458.66999999998</c:v>
                </c:pt>
                <c:pt idx="47">
                  <c:v>116406.71000000002</c:v>
                </c:pt>
                <c:pt idx="48">
                  <c:v>113235.65000000001</c:v>
                </c:pt>
                <c:pt idx="49">
                  <c:v>111035.83000000002</c:v>
                </c:pt>
                <c:pt idx="50">
                  <c:v>107073.92000000001</c:v>
                </c:pt>
                <c:pt idx="51">
                  <c:v>102484.68000000002</c:v>
                </c:pt>
                <c:pt idx="52">
                  <c:v>106749.08</c:v>
                </c:pt>
                <c:pt idx="53">
                  <c:v>102762.03</c:v>
                </c:pt>
                <c:pt idx="54">
                  <c:v>102155.6</c:v>
                </c:pt>
                <c:pt idx="55">
                  <c:v>130716.48000000001</c:v>
                </c:pt>
                <c:pt idx="56">
                  <c:v>131206.24</c:v>
                </c:pt>
                <c:pt idx="57">
                  <c:v>132238.06</c:v>
                </c:pt>
                <c:pt idx="58">
                  <c:v>130839.40999999999</c:v>
                </c:pt>
                <c:pt idx="59">
                  <c:v>129381.65999999999</c:v>
                </c:pt>
                <c:pt idx="60">
                  <c:v>133559.07</c:v>
                </c:pt>
                <c:pt idx="61">
                  <c:v>138884.91</c:v>
                </c:pt>
                <c:pt idx="62">
                  <c:v>137978.68</c:v>
                </c:pt>
                <c:pt idx="63">
                  <c:v>140155.25</c:v>
                </c:pt>
                <c:pt idx="64">
                  <c:v>127745.87999999999</c:v>
                </c:pt>
                <c:pt idx="65">
                  <c:v>117167.21999999999</c:v>
                </c:pt>
                <c:pt idx="66">
                  <c:v>110555.64</c:v>
                </c:pt>
                <c:pt idx="67">
                  <c:v>79571.670000000013</c:v>
                </c:pt>
                <c:pt idx="68">
                  <c:v>79314.86</c:v>
                </c:pt>
                <c:pt idx="69">
                  <c:v>71934.700000000012</c:v>
                </c:pt>
                <c:pt idx="70">
                  <c:v>68045.530000000013</c:v>
                </c:pt>
                <c:pt idx="71">
                  <c:v>58235.19</c:v>
                </c:pt>
                <c:pt idx="72">
                  <c:v>51974.220000000008</c:v>
                </c:pt>
                <c:pt idx="73">
                  <c:v>40601.22</c:v>
                </c:pt>
                <c:pt idx="74">
                  <c:v>34467.82</c:v>
                </c:pt>
                <c:pt idx="75">
                  <c:v>29554.690000000002</c:v>
                </c:pt>
                <c:pt idx="76">
                  <c:v>32944.639999999999</c:v>
                </c:pt>
                <c:pt idx="77">
                  <c:v>33125.949999999997</c:v>
                </c:pt>
                <c:pt idx="78">
                  <c:v>33018.020000000004</c:v>
                </c:pt>
                <c:pt idx="79">
                  <c:v>34251.53</c:v>
                </c:pt>
                <c:pt idx="80">
                  <c:v>32404.13</c:v>
                </c:pt>
                <c:pt idx="81">
                  <c:v>32017.3</c:v>
                </c:pt>
                <c:pt idx="82">
                  <c:v>31896.240000000002</c:v>
                </c:pt>
                <c:pt idx="83">
                  <c:v>33723.22</c:v>
                </c:pt>
                <c:pt idx="84">
                  <c:v>34072.85</c:v>
                </c:pt>
                <c:pt idx="85">
                  <c:v>32879.51</c:v>
                </c:pt>
                <c:pt idx="86">
                  <c:v>32647.740000000005</c:v>
                </c:pt>
                <c:pt idx="87">
                  <c:v>31190.75</c:v>
                </c:pt>
                <c:pt idx="88">
                  <c:v>33086.480000000003</c:v>
                </c:pt>
                <c:pt idx="89">
                  <c:v>33613.160000000003</c:v>
                </c:pt>
                <c:pt idx="90">
                  <c:v>35119.500000000007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2D-4322-BDF7-03FBCA678412}"/>
            </c:ext>
          </c:extLst>
        </c:ser>
        <c:ser>
          <c:idx val="4"/>
          <c:order val="3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sites'!$A$605:$A$701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sites'!$E$605:$E$701</c:f>
              <c:numCache>
                <c:formatCode>_-* #\ ##0\ [$€-40C]_-;\-* #\ ##0\ [$€-40C]_-;_-* "-"??\ [$€-40C]_-;_-@_-</c:formatCode>
                <c:ptCount val="97"/>
                <c:pt idx="0">
                  <c:v>31456.449999999997</c:v>
                </c:pt>
                <c:pt idx="1">
                  <c:v>28954.260000000002</c:v>
                </c:pt>
                <c:pt idx="2">
                  <c:v>26611.81</c:v>
                </c:pt>
                <c:pt idx="3">
                  <c:v>24888.930000000008</c:v>
                </c:pt>
                <c:pt idx="4">
                  <c:v>31598.780000000002</c:v>
                </c:pt>
                <c:pt idx="5">
                  <c:v>30225.160000000003</c:v>
                </c:pt>
                <c:pt idx="6">
                  <c:v>28672.2</c:v>
                </c:pt>
                <c:pt idx="7">
                  <c:v>24879.13</c:v>
                </c:pt>
                <c:pt idx="8">
                  <c:v>24642.690000000002</c:v>
                </c:pt>
                <c:pt idx="9">
                  <c:v>25489.470000000005</c:v>
                </c:pt>
                <c:pt idx="10">
                  <c:v>22627.740000000005</c:v>
                </c:pt>
                <c:pt idx="11">
                  <c:v>21294.250000000007</c:v>
                </c:pt>
                <c:pt idx="12">
                  <c:v>20279.100000000006</c:v>
                </c:pt>
                <c:pt idx="13">
                  <c:v>18750.920000000006</c:v>
                </c:pt>
                <c:pt idx="14">
                  <c:v>16926.03</c:v>
                </c:pt>
                <c:pt idx="15">
                  <c:v>17509.270000000004</c:v>
                </c:pt>
                <c:pt idx="16">
                  <c:v>11068.5</c:v>
                </c:pt>
                <c:pt idx="17">
                  <c:v>10644.910000000002</c:v>
                </c:pt>
                <c:pt idx="18">
                  <c:v>10512.44</c:v>
                </c:pt>
                <c:pt idx="19">
                  <c:v>11377.9</c:v>
                </c:pt>
                <c:pt idx="20">
                  <c:v>12022.529999999999</c:v>
                </c:pt>
                <c:pt idx="21">
                  <c:v>10341.710000000001</c:v>
                </c:pt>
                <c:pt idx="22">
                  <c:v>9941.8000000000011</c:v>
                </c:pt>
                <c:pt idx="23">
                  <c:v>11827.69</c:v>
                </c:pt>
                <c:pt idx="24">
                  <c:v>12118.01</c:v>
                </c:pt>
                <c:pt idx="25">
                  <c:v>12346.73</c:v>
                </c:pt>
                <c:pt idx="26">
                  <c:v>12733.18</c:v>
                </c:pt>
                <c:pt idx="27">
                  <c:v>13562.449999999999</c:v>
                </c:pt>
                <c:pt idx="28">
                  <c:v>11969.95</c:v>
                </c:pt>
                <c:pt idx="29">
                  <c:v>10966.710000000001</c:v>
                </c:pt>
                <c:pt idx="30">
                  <c:v>11161.35</c:v>
                </c:pt>
                <c:pt idx="31">
                  <c:v>10601.42</c:v>
                </c:pt>
                <c:pt idx="32">
                  <c:v>11520.19</c:v>
                </c:pt>
                <c:pt idx="33">
                  <c:v>11488.26</c:v>
                </c:pt>
                <c:pt idx="34">
                  <c:v>12562.65</c:v>
                </c:pt>
                <c:pt idx="35">
                  <c:v>12676.159999999998</c:v>
                </c:pt>
                <c:pt idx="36">
                  <c:v>11664.3</c:v>
                </c:pt>
                <c:pt idx="37">
                  <c:v>11034.789999999997</c:v>
                </c:pt>
                <c:pt idx="38">
                  <c:v>11363.14</c:v>
                </c:pt>
                <c:pt idx="39">
                  <c:v>9575.14</c:v>
                </c:pt>
                <c:pt idx="40">
                  <c:v>9419.2099999999991</c:v>
                </c:pt>
                <c:pt idx="41">
                  <c:v>9388.74</c:v>
                </c:pt>
                <c:pt idx="42">
                  <c:v>8710.2000000000025</c:v>
                </c:pt>
                <c:pt idx="43">
                  <c:v>8414.5700000000015</c:v>
                </c:pt>
                <c:pt idx="44">
                  <c:v>6327.43</c:v>
                </c:pt>
                <c:pt idx="45">
                  <c:v>6204.97</c:v>
                </c:pt>
                <c:pt idx="46">
                  <c:v>4976.68</c:v>
                </c:pt>
                <c:pt idx="47">
                  <c:v>3084.8900000000003</c:v>
                </c:pt>
                <c:pt idx="48">
                  <c:v>3048.78</c:v>
                </c:pt>
                <c:pt idx="49">
                  <c:v>3141.5500000000006</c:v>
                </c:pt>
                <c:pt idx="50">
                  <c:v>2317.17</c:v>
                </c:pt>
                <c:pt idx="51">
                  <c:v>1982.2</c:v>
                </c:pt>
                <c:pt idx="52">
                  <c:v>3458.5899999999997</c:v>
                </c:pt>
                <c:pt idx="53">
                  <c:v>3399.0099999999998</c:v>
                </c:pt>
                <c:pt idx="54">
                  <c:v>3095.8599999999997</c:v>
                </c:pt>
                <c:pt idx="55">
                  <c:v>5647.9499999999989</c:v>
                </c:pt>
                <c:pt idx="56">
                  <c:v>6041.8999999999987</c:v>
                </c:pt>
                <c:pt idx="57">
                  <c:v>5887.0099999999993</c:v>
                </c:pt>
                <c:pt idx="58">
                  <c:v>8880.739999999998</c:v>
                </c:pt>
                <c:pt idx="59">
                  <c:v>10477.299999999999</c:v>
                </c:pt>
                <c:pt idx="60">
                  <c:v>14092.89</c:v>
                </c:pt>
                <c:pt idx="61">
                  <c:v>14673.3</c:v>
                </c:pt>
                <c:pt idx="62">
                  <c:v>14831.5</c:v>
                </c:pt>
                <c:pt idx="63">
                  <c:v>14823.91</c:v>
                </c:pt>
                <c:pt idx="64">
                  <c:v>13278.630000000001</c:v>
                </c:pt>
                <c:pt idx="65">
                  <c:v>13333.2</c:v>
                </c:pt>
                <c:pt idx="66">
                  <c:v>13316.73</c:v>
                </c:pt>
                <c:pt idx="67">
                  <c:v>10935.209999999997</c:v>
                </c:pt>
                <c:pt idx="68">
                  <c:v>10561.31</c:v>
                </c:pt>
                <c:pt idx="69">
                  <c:v>11417.289999999997</c:v>
                </c:pt>
                <c:pt idx="70">
                  <c:v>8716.86</c:v>
                </c:pt>
                <c:pt idx="71">
                  <c:v>7102.67</c:v>
                </c:pt>
                <c:pt idx="72">
                  <c:v>3442.55</c:v>
                </c:pt>
                <c:pt idx="73">
                  <c:v>2787.3399999999997</c:v>
                </c:pt>
                <c:pt idx="74">
                  <c:v>2246.34</c:v>
                </c:pt>
                <c:pt idx="75">
                  <c:v>2946.12</c:v>
                </c:pt>
                <c:pt idx="76">
                  <c:v>3111.87</c:v>
                </c:pt>
                <c:pt idx="77">
                  <c:v>3186.1199999999994</c:v>
                </c:pt>
                <c:pt idx="78">
                  <c:v>3229.1799999999994</c:v>
                </c:pt>
                <c:pt idx="79">
                  <c:v>3592.3999999999996</c:v>
                </c:pt>
                <c:pt idx="80">
                  <c:v>3582.04</c:v>
                </c:pt>
                <c:pt idx="81">
                  <c:v>2392.81</c:v>
                </c:pt>
                <c:pt idx="82">
                  <c:v>2088.64</c:v>
                </c:pt>
                <c:pt idx="83">
                  <c:v>1880.02</c:v>
                </c:pt>
                <c:pt idx="84">
                  <c:v>4914</c:v>
                </c:pt>
                <c:pt idx="85">
                  <c:v>4765.26</c:v>
                </c:pt>
                <c:pt idx="86">
                  <c:v>4777.0700000000006</c:v>
                </c:pt>
                <c:pt idx="87">
                  <c:v>4090.2700000000004</c:v>
                </c:pt>
                <c:pt idx="88">
                  <c:v>3964.2300000000005</c:v>
                </c:pt>
                <c:pt idx="89">
                  <c:v>3810.4300000000003</c:v>
                </c:pt>
                <c:pt idx="90">
                  <c:v>3695.8100000000004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D2D-4322-BDF7-03FBCA678412}"/>
            </c:ext>
          </c:extLst>
        </c:ser>
        <c:ser>
          <c:idx val="5"/>
          <c:order val="4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sites'!$A$605:$A$701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sites'!$F$605:$F$701</c:f>
              <c:numCache>
                <c:formatCode>_-* #\ ##0\ [$€-40C]_-;\-* #\ ##0\ [$€-40C]_-;_-* "-"??\ [$€-40C]_-;_-@_-</c:formatCode>
                <c:ptCount val="97"/>
                <c:pt idx="0">
                  <c:v>18.049999999999997</c:v>
                </c:pt>
                <c:pt idx="1">
                  <c:v>13.54</c:v>
                </c:pt>
                <c:pt idx="2">
                  <c:v>13.54</c:v>
                </c:pt>
                <c:pt idx="3">
                  <c:v>13.54</c:v>
                </c:pt>
                <c:pt idx="4">
                  <c:v>13.54</c:v>
                </c:pt>
                <c:pt idx="5">
                  <c:v>52.22</c:v>
                </c:pt>
                <c:pt idx="6">
                  <c:v>98.94</c:v>
                </c:pt>
                <c:pt idx="7">
                  <c:v>98.94</c:v>
                </c:pt>
                <c:pt idx="8">
                  <c:v>98.94</c:v>
                </c:pt>
                <c:pt idx="9">
                  <c:v>98.94</c:v>
                </c:pt>
                <c:pt idx="10">
                  <c:v>190.56</c:v>
                </c:pt>
                <c:pt idx="11">
                  <c:v>202.96</c:v>
                </c:pt>
                <c:pt idx="12">
                  <c:v>202.96</c:v>
                </c:pt>
                <c:pt idx="13">
                  <c:v>256.28000000000003</c:v>
                </c:pt>
                <c:pt idx="14">
                  <c:v>256.28000000000003</c:v>
                </c:pt>
                <c:pt idx="15">
                  <c:v>256.28000000000003</c:v>
                </c:pt>
                <c:pt idx="16">
                  <c:v>256.28000000000003</c:v>
                </c:pt>
                <c:pt idx="17">
                  <c:v>239.7</c:v>
                </c:pt>
                <c:pt idx="18">
                  <c:v>207.07</c:v>
                </c:pt>
                <c:pt idx="19">
                  <c:v>209.82999999999998</c:v>
                </c:pt>
                <c:pt idx="20">
                  <c:v>218.85999999999999</c:v>
                </c:pt>
                <c:pt idx="21">
                  <c:v>232.39999999999998</c:v>
                </c:pt>
                <c:pt idx="22">
                  <c:v>140.78</c:v>
                </c:pt>
                <c:pt idx="23">
                  <c:v>195.36</c:v>
                </c:pt>
                <c:pt idx="24">
                  <c:v>195.36</c:v>
                </c:pt>
                <c:pt idx="25">
                  <c:v>142.04000000000002</c:v>
                </c:pt>
                <c:pt idx="26">
                  <c:v>142.04000000000002</c:v>
                </c:pt>
                <c:pt idx="27">
                  <c:v>142.04000000000002</c:v>
                </c:pt>
                <c:pt idx="28">
                  <c:v>142.04000000000002</c:v>
                </c:pt>
                <c:pt idx="29">
                  <c:v>119.94</c:v>
                </c:pt>
                <c:pt idx="30">
                  <c:v>92.31</c:v>
                </c:pt>
                <c:pt idx="31">
                  <c:v>172.43</c:v>
                </c:pt>
                <c:pt idx="32">
                  <c:v>163.4</c:v>
                </c:pt>
                <c:pt idx="33">
                  <c:v>149.86000000000001</c:v>
                </c:pt>
                <c:pt idx="34">
                  <c:v>149.86000000000001</c:v>
                </c:pt>
                <c:pt idx="35">
                  <c:v>82.88</c:v>
                </c:pt>
                <c:pt idx="36">
                  <c:v>82.88</c:v>
                </c:pt>
                <c:pt idx="37">
                  <c:v>110.47</c:v>
                </c:pt>
                <c:pt idx="38">
                  <c:v>1502.63</c:v>
                </c:pt>
                <c:pt idx="39">
                  <c:v>1502.63</c:v>
                </c:pt>
                <c:pt idx="40">
                  <c:v>2182.63</c:v>
                </c:pt>
                <c:pt idx="41">
                  <c:v>2680.36</c:v>
                </c:pt>
                <c:pt idx="42">
                  <c:v>3560.36</c:v>
                </c:pt>
                <c:pt idx="43">
                  <c:v>3477.48</c:v>
                </c:pt>
                <c:pt idx="44">
                  <c:v>3477.48</c:v>
                </c:pt>
                <c:pt idx="45">
                  <c:v>3816.69</c:v>
                </c:pt>
                <c:pt idx="46">
                  <c:v>4614.05</c:v>
                </c:pt>
                <c:pt idx="47">
                  <c:v>5518.05</c:v>
                </c:pt>
                <c:pt idx="48">
                  <c:v>5518.05</c:v>
                </c:pt>
                <c:pt idx="49">
                  <c:v>5898.46</c:v>
                </c:pt>
                <c:pt idx="50">
                  <c:v>4690.3</c:v>
                </c:pt>
                <c:pt idx="51">
                  <c:v>4906.3</c:v>
                </c:pt>
                <c:pt idx="52">
                  <c:v>4466.3</c:v>
                </c:pt>
                <c:pt idx="53">
                  <c:v>4599.82</c:v>
                </c:pt>
                <c:pt idx="54">
                  <c:v>4087.8199999999997</c:v>
                </c:pt>
                <c:pt idx="55">
                  <c:v>4926.0499999999993</c:v>
                </c:pt>
                <c:pt idx="56">
                  <c:v>5180.0999999999995</c:v>
                </c:pt>
                <c:pt idx="57">
                  <c:v>5301.5</c:v>
                </c:pt>
                <c:pt idx="58">
                  <c:v>4792.55</c:v>
                </c:pt>
                <c:pt idx="59">
                  <c:v>4597.4000000000005</c:v>
                </c:pt>
                <c:pt idx="60">
                  <c:v>4926.2100000000009</c:v>
                </c:pt>
                <c:pt idx="61">
                  <c:v>5008.920000000001</c:v>
                </c:pt>
                <c:pt idx="62">
                  <c:v>5241.97</c:v>
                </c:pt>
                <c:pt idx="63">
                  <c:v>5025.97</c:v>
                </c:pt>
                <c:pt idx="64">
                  <c:v>4785.97</c:v>
                </c:pt>
                <c:pt idx="65">
                  <c:v>4482.7199999999993</c:v>
                </c:pt>
                <c:pt idx="66">
                  <c:v>4530.72</c:v>
                </c:pt>
                <c:pt idx="67">
                  <c:v>4154.71</c:v>
                </c:pt>
                <c:pt idx="68">
                  <c:v>4140.66</c:v>
                </c:pt>
                <c:pt idx="69">
                  <c:v>3800.05</c:v>
                </c:pt>
                <c:pt idx="70">
                  <c:v>3511.6400000000003</c:v>
                </c:pt>
                <c:pt idx="71">
                  <c:v>3082.79</c:v>
                </c:pt>
                <c:pt idx="72">
                  <c:v>2753.98</c:v>
                </c:pt>
                <c:pt idx="73">
                  <c:v>2879.27</c:v>
                </c:pt>
                <c:pt idx="74">
                  <c:v>2646.2200000000003</c:v>
                </c:pt>
                <c:pt idx="75">
                  <c:v>4614.22</c:v>
                </c:pt>
                <c:pt idx="76">
                  <c:v>4614.22</c:v>
                </c:pt>
                <c:pt idx="77">
                  <c:v>4430.22</c:v>
                </c:pt>
                <c:pt idx="78">
                  <c:v>4292.3</c:v>
                </c:pt>
                <c:pt idx="79">
                  <c:v>11453.57</c:v>
                </c:pt>
                <c:pt idx="80">
                  <c:v>11213.57</c:v>
                </c:pt>
                <c:pt idx="81">
                  <c:v>11093.57</c:v>
                </c:pt>
                <c:pt idx="82">
                  <c:v>11516.779999999999</c:v>
                </c:pt>
                <c:pt idx="83">
                  <c:v>11824.82</c:v>
                </c:pt>
                <c:pt idx="84">
                  <c:v>12249.699999999999</c:v>
                </c:pt>
                <c:pt idx="85">
                  <c:v>11696.4</c:v>
                </c:pt>
                <c:pt idx="86">
                  <c:v>11540.85</c:v>
                </c:pt>
                <c:pt idx="87">
                  <c:v>9744.25</c:v>
                </c:pt>
                <c:pt idx="88">
                  <c:v>9785.57</c:v>
                </c:pt>
                <c:pt idx="89">
                  <c:v>10135.549999999999</c:v>
                </c:pt>
                <c:pt idx="90">
                  <c:v>10935.43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D2D-4322-BDF7-03FBCA678412}"/>
            </c:ext>
          </c:extLst>
        </c:ser>
        <c:ser>
          <c:idx val="6"/>
          <c:order val="5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sites'!$A$605:$A$701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sites'!$G$605:$G$701</c:f>
              <c:numCache>
                <c:formatCode>_-* #\ ##0\ [$€-40C]_-;\-* #\ ##0\ [$€-40C]_-;_-* "-"??\ [$€-40C]_-;_-@_-</c:formatCode>
                <c:ptCount val="97"/>
                <c:pt idx="0">
                  <c:v>3132.87</c:v>
                </c:pt>
                <c:pt idx="1">
                  <c:v>3501.29</c:v>
                </c:pt>
                <c:pt idx="2">
                  <c:v>3848.77</c:v>
                </c:pt>
                <c:pt idx="3">
                  <c:v>3854.8200000000006</c:v>
                </c:pt>
                <c:pt idx="4">
                  <c:v>3875.83</c:v>
                </c:pt>
                <c:pt idx="5">
                  <c:v>3124.8100000000004</c:v>
                </c:pt>
                <c:pt idx="6">
                  <c:v>3293.7300000000005</c:v>
                </c:pt>
                <c:pt idx="7">
                  <c:v>2829.57</c:v>
                </c:pt>
                <c:pt idx="8">
                  <c:v>2791.7000000000003</c:v>
                </c:pt>
                <c:pt idx="9">
                  <c:v>2951.51</c:v>
                </c:pt>
                <c:pt idx="10">
                  <c:v>2592.3199999999997</c:v>
                </c:pt>
                <c:pt idx="11">
                  <c:v>2520.0400000000004</c:v>
                </c:pt>
                <c:pt idx="12">
                  <c:v>2465.3999999999996</c:v>
                </c:pt>
                <c:pt idx="13">
                  <c:v>2118.6999999999998</c:v>
                </c:pt>
                <c:pt idx="14">
                  <c:v>1495.1500000000003</c:v>
                </c:pt>
                <c:pt idx="15">
                  <c:v>1488.3500000000004</c:v>
                </c:pt>
                <c:pt idx="16">
                  <c:v>1248.6699999999998</c:v>
                </c:pt>
                <c:pt idx="17">
                  <c:v>1150.08</c:v>
                </c:pt>
                <c:pt idx="18">
                  <c:v>908.19999999999993</c:v>
                </c:pt>
                <c:pt idx="19">
                  <c:v>1507.13</c:v>
                </c:pt>
                <c:pt idx="20">
                  <c:v>1453.56</c:v>
                </c:pt>
                <c:pt idx="21">
                  <c:v>1517.9500000000003</c:v>
                </c:pt>
                <c:pt idx="22">
                  <c:v>1530.17</c:v>
                </c:pt>
                <c:pt idx="23">
                  <c:v>1514.4</c:v>
                </c:pt>
                <c:pt idx="24">
                  <c:v>1622.1200000000003</c:v>
                </c:pt>
                <c:pt idx="25">
                  <c:v>1677.48</c:v>
                </c:pt>
                <c:pt idx="26">
                  <c:v>1679.7300000000005</c:v>
                </c:pt>
                <c:pt idx="27">
                  <c:v>1676.3400000000004</c:v>
                </c:pt>
                <c:pt idx="28">
                  <c:v>1376.09</c:v>
                </c:pt>
                <c:pt idx="29">
                  <c:v>1365.93</c:v>
                </c:pt>
                <c:pt idx="30">
                  <c:v>1365.93</c:v>
                </c:pt>
                <c:pt idx="31">
                  <c:v>924.82</c:v>
                </c:pt>
                <c:pt idx="32">
                  <c:v>1656.35</c:v>
                </c:pt>
                <c:pt idx="33">
                  <c:v>1364.72</c:v>
                </c:pt>
                <c:pt idx="34">
                  <c:v>1353.09</c:v>
                </c:pt>
                <c:pt idx="35">
                  <c:v>1654.51</c:v>
                </c:pt>
                <c:pt idx="36">
                  <c:v>1519.17</c:v>
                </c:pt>
                <c:pt idx="37">
                  <c:v>1442.7700000000002</c:v>
                </c:pt>
                <c:pt idx="38">
                  <c:v>1616.6200000000001</c:v>
                </c:pt>
                <c:pt idx="39">
                  <c:v>1502.97</c:v>
                </c:pt>
                <c:pt idx="40">
                  <c:v>1540.46</c:v>
                </c:pt>
                <c:pt idx="41">
                  <c:v>1540.46</c:v>
                </c:pt>
                <c:pt idx="42">
                  <c:v>1602.55</c:v>
                </c:pt>
                <c:pt idx="43">
                  <c:v>1444.3200000000002</c:v>
                </c:pt>
                <c:pt idx="44">
                  <c:v>706.77</c:v>
                </c:pt>
                <c:pt idx="45">
                  <c:v>712.04</c:v>
                </c:pt>
                <c:pt idx="46">
                  <c:v>687.79</c:v>
                </c:pt>
                <c:pt idx="47">
                  <c:v>398.41</c:v>
                </c:pt>
                <c:pt idx="48">
                  <c:v>392.64000000000004</c:v>
                </c:pt>
                <c:pt idx="49">
                  <c:v>393.08</c:v>
                </c:pt>
                <c:pt idx="50">
                  <c:v>233.53</c:v>
                </c:pt>
                <c:pt idx="51">
                  <c:v>188.38</c:v>
                </c:pt>
                <c:pt idx="52">
                  <c:v>480.15</c:v>
                </c:pt>
                <c:pt idx="53">
                  <c:v>487.29999999999995</c:v>
                </c:pt>
                <c:pt idx="54">
                  <c:v>427.46999999999997</c:v>
                </c:pt>
                <c:pt idx="55">
                  <c:v>783.82999999999993</c:v>
                </c:pt>
                <c:pt idx="56">
                  <c:v>783.82999999999993</c:v>
                </c:pt>
                <c:pt idx="57">
                  <c:v>792.8599999999999</c:v>
                </c:pt>
                <c:pt idx="58">
                  <c:v>949.2399999999999</c:v>
                </c:pt>
                <c:pt idx="59">
                  <c:v>1066.27</c:v>
                </c:pt>
                <c:pt idx="60">
                  <c:v>1633.54</c:v>
                </c:pt>
                <c:pt idx="61">
                  <c:v>1764.1299999999999</c:v>
                </c:pt>
                <c:pt idx="62">
                  <c:v>1711.4499999999998</c:v>
                </c:pt>
                <c:pt idx="63">
                  <c:v>1711.4499999999998</c:v>
                </c:pt>
                <c:pt idx="64">
                  <c:v>1382.19</c:v>
                </c:pt>
                <c:pt idx="65">
                  <c:v>1375.04</c:v>
                </c:pt>
                <c:pt idx="66">
                  <c:v>1372.78</c:v>
                </c:pt>
                <c:pt idx="67">
                  <c:v>1015.29</c:v>
                </c:pt>
                <c:pt idx="68">
                  <c:v>1015.29</c:v>
                </c:pt>
                <c:pt idx="69">
                  <c:v>1000.99</c:v>
                </c:pt>
                <c:pt idx="70">
                  <c:v>844.6099999999999</c:v>
                </c:pt>
                <c:pt idx="71">
                  <c:v>715.54</c:v>
                </c:pt>
                <c:pt idx="72">
                  <c:v>148.26999999999998</c:v>
                </c:pt>
                <c:pt idx="73">
                  <c:v>12.42</c:v>
                </c:pt>
                <c:pt idx="74">
                  <c:v>0.38</c:v>
                </c:pt>
                <c:pt idx="75">
                  <c:v>0.38</c:v>
                </c:pt>
                <c:pt idx="76">
                  <c:v>0.38</c:v>
                </c:pt>
                <c:pt idx="77">
                  <c:v>0.38</c:v>
                </c:pt>
                <c:pt idx="78">
                  <c:v>121.78999999999999</c:v>
                </c:pt>
                <c:pt idx="79">
                  <c:v>126.30999999999999</c:v>
                </c:pt>
                <c:pt idx="80">
                  <c:v>126.30999999999999</c:v>
                </c:pt>
                <c:pt idx="81">
                  <c:v>126.64999999999999</c:v>
                </c:pt>
                <c:pt idx="82">
                  <c:v>126.64999999999999</c:v>
                </c:pt>
                <c:pt idx="83">
                  <c:v>128.69999999999999</c:v>
                </c:pt>
                <c:pt idx="84">
                  <c:v>695.97</c:v>
                </c:pt>
                <c:pt idx="85">
                  <c:v>695.58999999999992</c:v>
                </c:pt>
                <c:pt idx="86">
                  <c:v>695.58999999999992</c:v>
                </c:pt>
                <c:pt idx="87">
                  <c:v>696.33999999999992</c:v>
                </c:pt>
                <c:pt idx="88">
                  <c:v>698.2299999999999</c:v>
                </c:pt>
                <c:pt idx="89">
                  <c:v>699.7399999999999</c:v>
                </c:pt>
                <c:pt idx="90">
                  <c:v>578.70999999999992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D2D-4322-BDF7-03FBCA678412}"/>
            </c:ext>
          </c:extLst>
        </c:ser>
        <c:ser>
          <c:idx val="7"/>
          <c:order val="6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sites'!$A$605:$A$701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sites'!$H$605:$H$701</c:f>
              <c:numCache>
                <c:formatCode>_-* #\ ##0\ [$€-40C]_-;\-* #\ ##0\ [$€-40C]_-;_-* "-"??\ [$€-40C]_-;_-@_-</c:formatCode>
                <c:ptCount val="97"/>
                <c:pt idx="0">
                  <c:v>49.68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73.41</c:v>
                </c:pt>
                <c:pt idx="6">
                  <c:v>88.09</c:v>
                </c:pt>
                <c:pt idx="7">
                  <c:v>88.09</c:v>
                </c:pt>
                <c:pt idx="8">
                  <c:v>88.09</c:v>
                </c:pt>
                <c:pt idx="9">
                  <c:v>88.09</c:v>
                </c:pt>
                <c:pt idx="10">
                  <c:v>88.09</c:v>
                </c:pt>
                <c:pt idx="11">
                  <c:v>132.13999999999999</c:v>
                </c:pt>
                <c:pt idx="12">
                  <c:v>293.64</c:v>
                </c:pt>
                <c:pt idx="13">
                  <c:v>337.69</c:v>
                </c:pt>
                <c:pt idx="14">
                  <c:v>469.83</c:v>
                </c:pt>
                <c:pt idx="15">
                  <c:v>513.88</c:v>
                </c:pt>
                <c:pt idx="16">
                  <c:v>513.88</c:v>
                </c:pt>
                <c:pt idx="17">
                  <c:v>440.46999999999997</c:v>
                </c:pt>
                <c:pt idx="18">
                  <c:v>425.79</c:v>
                </c:pt>
                <c:pt idx="19">
                  <c:v>425.79</c:v>
                </c:pt>
                <c:pt idx="20">
                  <c:v>425.79</c:v>
                </c:pt>
                <c:pt idx="21">
                  <c:v>425.79</c:v>
                </c:pt>
                <c:pt idx="22">
                  <c:v>557.93000000000006</c:v>
                </c:pt>
                <c:pt idx="23">
                  <c:v>513.88</c:v>
                </c:pt>
                <c:pt idx="24">
                  <c:v>396.43</c:v>
                </c:pt>
                <c:pt idx="25">
                  <c:v>455.15</c:v>
                </c:pt>
                <c:pt idx="26">
                  <c:v>1321.3899999999999</c:v>
                </c:pt>
                <c:pt idx="27">
                  <c:v>5109.34</c:v>
                </c:pt>
                <c:pt idx="28">
                  <c:v>5931.5300000000007</c:v>
                </c:pt>
                <c:pt idx="29">
                  <c:v>9998.44</c:v>
                </c:pt>
                <c:pt idx="30">
                  <c:v>10585.720000000001</c:v>
                </c:pt>
                <c:pt idx="31">
                  <c:v>11173.000000000002</c:v>
                </c:pt>
                <c:pt idx="32">
                  <c:v>11804.330000000002</c:v>
                </c:pt>
                <c:pt idx="33">
                  <c:v>13243.170000000002</c:v>
                </c:pt>
                <c:pt idx="34">
                  <c:v>13595.54</c:v>
                </c:pt>
                <c:pt idx="35">
                  <c:v>13595.54</c:v>
                </c:pt>
                <c:pt idx="36">
                  <c:v>13595.54</c:v>
                </c:pt>
                <c:pt idx="37">
                  <c:v>13492.77</c:v>
                </c:pt>
                <c:pt idx="38">
                  <c:v>12574.390000000001</c:v>
                </c:pt>
                <c:pt idx="39">
                  <c:v>9006.39</c:v>
                </c:pt>
                <c:pt idx="40">
                  <c:v>8184.2</c:v>
                </c:pt>
                <c:pt idx="41">
                  <c:v>4117.29</c:v>
                </c:pt>
                <c:pt idx="42">
                  <c:v>3530.01</c:v>
                </c:pt>
                <c:pt idx="43">
                  <c:v>2966.7300000000005</c:v>
                </c:pt>
                <c:pt idx="44">
                  <c:v>2335.3999999999996</c:v>
                </c:pt>
                <c:pt idx="45">
                  <c:v>896.56</c:v>
                </c:pt>
                <c:pt idx="46">
                  <c:v>412.05</c:v>
                </c:pt>
                <c:pt idx="47">
                  <c:v>412.05</c:v>
                </c:pt>
                <c:pt idx="48">
                  <c:v>880</c:v>
                </c:pt>
                <c:pt idx="49">
                  <c:v>880</c:v>
                </c:pt>
                <c:pt idx="50">
                  <c:v>800</c:v>
                </c:pt>
                <c:pt idx="51">
                  <c:v>536</c:v>
                </c:pt>
                <c:pt idx="52">
                  <c:v>536</c:v>
                </c:pt>
                <c:pt idx="53">
                  <c:v>536</c:v>
                </c:pt>
                <c:pt idx="54">
                  <c:v>765.65</c:v>
                </c:pt>
                <c:pt idx="55">
                  <c:v>741.65</c:v>
                </c:pt>
                <c:pt idx="56">
                  <c:v>741.65</c:v>
                </c:pt>
                <c:pt idx="57">
                  <c:v>741.65</c:v>
                </c:pt>
                <c:pt idx="58">
                  <c:v>741.65</c:v>
                </c:pt>
                <c:pt idx="59">
                  <c:v>741.65</c:v>
                </c:pt>
                <c:pt idx="60">
                  <c:v>229.65</c:v>
                </c:pt>
                <c:pt idx="61">
                  <c:v>229.65</c:v>
                </c:pt>
                <c:pt idx="62">
                  <c:v>229.65</c:v>
                </c:pt>
                <c:pt idx="63">
                  <c:v>229.65</c:v>
                </c:pt>
                <c:pt idx="64">
                  <c:v>229.65</c:v>
                </c:pt>
                <c:pt idx="65">
                  <c:v>229.65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D2D-4322-BDF7-03FBCA678412}"/>
            </c:ext>
          </c:extLst>
        </c:ser>
        <c:ser>
          <c:idx val="8"/>
          <c:order val="7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sites'!$A$605:$A$701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sites'!$I$605:$I$701</c:f>
              <c:numCache>
                <c:formatCode>_-* #\ ##0\ [$€-40C]_-;\-* #\ ##0\ [$€-40C]_-;_-* "-"??\ [$€-40C]_-;_-@_-</c:formatCode>
                <c:ptCount val="97"/>
                <c:pt idx="0">
                  <c:v>11661.679999999998</c:v>
                </c:pt>
                <c:pt idx="1">
                  <c:v>11554.73</c:v>
                </c:pt>
                <c:pt idx="2">
                  <c:v>12971.579999999998</c:v>
                </c:pt>
                <c:pt idx="3">
                  <c:v>14233.529999999999</c:v>
                </c:pt>
                <c:pt idx="4">
                  <c:v>16341.979999999998</c:v>
                </c:pt>
                <c:pt idx="5">
                  <c:v>15666.319999999998</c:v>
                </c:pt>
                <c:pt idx="6">
                  <c:v>14166.929999999998</c:v>
                </c:pt>
                <c:pt idx="7">
                  <c:v>11438.019999999999</c:v>
                </c:pt>
                <c:pt idx="8">
                  <c:v>11275.809999999998</c:v>
                </c:pt>
                <c:pt idx="9">
                  <c:v>11748.429999999998</c:v>
                </c:pt>
                <c:pt idx="10">
                  <c:v>9559.8299999999981</c:v>
                </c:pt>
                <c:pt idx="11">
                  <c:v>9563.4499999999989</c:v>
                </c:pt>
                <c:pt idx="12">
                  <c:v>9365.24</c:v>
                </c:pt>
                <c:pt idx="13">
                  <c:v>9645.16</c:v>
                </c:pt>
                <c:pt idx="14">
                  <c:v>8890.07</c:v>
                </c:pt>
                <c:pt idx="15">
                  <c:v>6696.829999999999</c:v>
                </c:pt>
                <c:pt idx="16">
                  <c:v>4292.7699999999995</c:v>
                </c:pt>
                <c:pt idx="17">
                  <c:v>6937.98</c:v>
                </c:pt>
                <c:pt idx="18">
                  <c:v>7035.7400000000007</c:v>
                </c:pt>
                <c:pt idx="19">
                  <c:v>7294.0800000000008</c:v>
                </c:pt>
                <c:pt idx="20">
                  <c:v>7772.87</c:v>
                </c:pt>
                <c:pt idx="21">
                  <c:v>7200.95</c:v>
                </c:pt>
                <c:pt idx="22">
                  <c:v>7154.99</c:v>
                </c:pt>
                <c:pt idx="23">
                  <c:v>7994.9400000000005</c:v>
                </c:pt>
                <c:pt idx="24">
                  <c:v>7769.0999999999995</c:v>
                </c:pt>
                <c:pt idx="25">
                  <c:v>7417.6299999999992</c:v>
                </c:pt>
                <c:pt idx="26">
                  <c:v>6464.22</c:v>
                </c:pt>
                <c:pt idx="27">
                  <c:v>6376.9699999999993</c:v>
                </c:pt>
                <c:pt idx="28">
                  <c:v>6275.7099999999991</c:v>
                </c:pt>
                <c:pt idx="29">
                  <c:v>3153.8700000000008</c:v>
                </c:pt>
                <c:pt idx="30">
                  <c:v>3032.3400000000006</c:v>
                </c:pt>
                <c:pt idx="31">
                  <c:v>2814.25</c:v>
                </c:pt>
                <c:pt idx="32">
                  <c:v>2231.5499999999997</c:v>
                </c:pt>
                <c:pt idx="33">
                  <c:v>1517.97</c:v>
                </c:pt>
                <c:pt idx="34">
                  <c:v>1494.3700000000003</c:v>
                </c:pt>
                <c:pt idx="35">
                  <c:v>634.61</c:v>
                </c:pt>
                <c:pt idx="36">
                  <c:v>583.16000000000008</c:v>
                </c:pt>
                <c:pt idx="37">
                  <c:v>598.62000000000012</c:v>
                </c:pt>
                <c:pt idx="38">
                  <c:v>558.58000000000004</c:v>
                </c:pt>
                <c:pt idx="39">
                  <c:v>580.55000000000007</c:v>
                </c:pt>
                <c:pt idx="40">
                  <c:v>581.81000000000006</c:v>
                </c:pt>
                <c:pt idx="41">
                  <c:v>598.66000000000008</c:v>
                </c:pt>
                <c:pt idx="42">
                  <c:v>574.79</c:v>
                </c:pt>
                <c:pt idx="43">
                  <c:v>584.93000000000006</c:v>
                </c:pt>
                <c:pt idx="44">
                  <c:v>538.2700000000001</c:v>
                </c:pt>
                <c:pt idx="45">
                  <c:v>685.1</c:v>
                </c:pt>
                <c:pt idx="46">
                  <c:v>703.2600000000001</c:v>
                </c:pt>
                <c:pt idx="47">
                  <c:v>2982.7599999999998</c:v>
                </c:pt>
                <c:pt idx="48">
                  <c:v>3003.23</c:v>
                </c:pt>
                <c:pt idx="49">
                  <c:v>3031.42</c:v>
                </c:pt>
                <c:pt idx="50">
                  <c:v>3112.79</c:v>
                </c:pt>
                <c:pt idx="51">
                  <c:v>3452.2599999999998</c:v>
                </c:pt>
                <c:pt idx="52">
                  <c:v>3486.16</c:v>
                </c:pt>
                <c:pt idx="53">
                  <c:v>3538.4599999999996</c:v>
                </c:pt>
                <c:pt idx="54">
                  <c:v>3516.3499999999995</c:v>
                </c:pt>
                <c:pt idx="55">
                  <c:v>3475.8299999999995</c:v>
                </c:pt>
                <c:pt idx="56">
                  <c:v>3515.7099999999991</c:v>
                </c:pt>
                <c:pt idx="57">
                  <c:v>3575.8199999999997</c:v>
                </c:pt>
                <c:pt idx="58">
                  <c:v>3734.2099999999996</c:v>
                </c:pt>
                <c:pt idx="59">
                  <c:v>1439.5700000000002</c:v>
                </c:pt>
                <c:pt idx="60">
                  <c:v>1415.43</c:v>
                </c:pt>
                <c:pt idx="61">
                  <c:v>1387.8500000000001</c:v>
                </c:pt>
                <c:pt idx="62">
                  <c:v>1307.4000000000001</c:v>
                </c:pt>
                <c:pt idx="63">
                  <c:v>904.75000000000011</c:v>
                </c:pt>
                <c:pt idx="64">
                  <c:v>833.94000000000017</c:v>
                </c:pt>
                <c:pt idx="65">
                  <c:v>778.11000000000013</c:v>
                </c:pt>
                <c:pt idx="66">
                  <c:v>730.35000000000014</c:v>
                </c:pt>
                <c:pt idx="67">
                  <c:v>745.58000000000015</c:v>
                </c:pt>
                <c:pt idx="68">
                  <c:v>715.8599999999999</c:v>
                </c:pt>
                <c:pt idx="69">
                  <c:v>546.07000000000005</c:v>
                </c:pt>
                <c:pt idx="70">
                  <c:v>500.21000000000004</c:v>
                </c:pt>
                <c:pt idx="71">
                  <c:v>501.75</c:v>
                </c:pt>
                <c:pt idx="72">
                  <c:v>489.42999999999995</c:v>
                </c:pt>
                <c:pt idx="73">
                  <c:v>435.25</c:v>
                </c:pt>
                <c:pt idx="74">
                  <c:v>14665.73</c:v>
                </c:pt>
                <c:pt idx="75">
                  <c:v>14988.769999999999</c:v>
                </c:pt>
                <c:pt idx="76">
                  <c:v>14988.769999999999</c:v>
                </c:pt>
                <c:pt idx="77">
                  <c:v>14935.939999999999</c:v>
                </c:pt>
                <c:pt idx="78">
                  <c:v>14922.36</c:v>
                </c:pt>
                <c:pt idx="79">
                  <c:v>14894.9</c:v>
                </c:pt>
                <c:pt idx="80">
                  <c:v>15123.19</c:v>
                </c:pt>
                <c:pt idx="81">
                  <c:v>15076.03</c:v>
                </c:pt>
                <c:pt idx="82">
                  <c:v>14930.180000000002</c:v>
                </c:pt>
                <c:pt idx="83">
                  <c:v>14907.560000000001</c:v>
                </c:pt>
                <c:pt idx="84">
                  <c:v>14907.560000000001</c:v>
                </c:pt>
                <c:pt idx="85">
                  <c:v>14907.560000000001</c:v>
                </c:pt>
                <c:pt idx="86">
                  <c:v>1180.9900000000002</c:v>
                </c:pt>
                <c:pt idx="87">
                  <c:v>917.88000000000011</c:v>
                </c:pt>
                <c:pt idx="88">
                  <c:v>1002.5700000000002</c:v>
                </c:pt>
                <c:pt idx="89">
                  <c:v>1010.1100000000001</c:v>
                </c:pt>
                <c:pt idx="90">
                  <c:v>989.64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D2D-4322-BDF7-03FBCA678412}"/>
            </c:ext>
          </c:extLst>
        </c:ser>
        <c:ser>
          <c:idx val="9"/>
          <c:order val="8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sites'!$A$605:$A$701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sites'!$J$605:$J$701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3024</c:v>
                </c:pt>
                <c:pt idx="27">
                  <c:v>3024</c:v>
                </c:pt>
                <c:pt idx="28">
                  <c:v>3024</c:v>
                </c:pt>
                <c:pt idx="29">
                  <c:v>3024</c:v>
                </c:pt>
                <c:pt idx="30">
                  <c:v>3024</c:v>
                </c:pt>
                <c:pt idx="31">
                  <c:v>3024</c:v>
                </c:pt>
                <c:pt idx="32">
                  <c:v>3024</c:v>
                </c:pt>
                <c:pt idx="33">
                  <c:v>3024</c:v>
                </c:pt>
                <c:pt idx="34">
                  <c:v>3024</c:v>
                </c:pt>
                <c:pt idx="35">
                  <c:v>3024</c:v>
                </c:pt>
                <c:pt idx="36">
                  <c:v>3024</c:v>
                </c:pt>
                <c:pt idx="37">
                  <c:v>3024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D2D-4322-BDF7-03FBCA678412}"/>
            </c:ext>
          </c:extLst>
        </c:ser>
        <c:ser>
          <c:idx val="10"/>
          <c:order val="9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sites'!$A$605:$A$701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sites'!$K$605:$K$701</c:f>
              <c:numCache>
                <c:formatCode>_-* #\ ##0\ [$€-40C]_-;\-* #\ ##0\ [$€-40C]_-;_-* "-"??\ [$€-40C]_-;_-@_-</c:formatCode>
                <c:ptCount val="97"/>
                <c:pt idx="0">
                  <c:v>172921.61000000002</c:v>
                </c:pt>
                <c:pt idx="1">
                  <c:v>162201.55000000002</c:v>
                </c:pt>
                <c:pt idx="2">
                  <c:v>150362.91</c:v>
                </c:pt>
                <c:pt idx="3">
                  <c:v>149127.87</c:v>
                </c:pt>
                <c:pt idx="4">
                  <c:v>164256.95999999999</c:v>
                </c:pt>
                <c:pt idx="5">
                  <c:v>165731.97999999998</c:v>
                </c:pt>
                <c:pt idx="6">
                  <c:v>159841.95000000001</c:v>
                </c:pt>
                <c:pt idx="7">
                  <c:v>138959.22</c:v>
                </c:pt>
                <c:pt idx="8">
                  <c:v>139947.75</c:v>
                </c:pt>
                <c:pt idx="9">
                  <c:v>136752.57999999999</c:v>
                </c:pt>
                <c:pt idx="10">
                  <c:v>127447.45</c:v>
                </c:pt>
                <c:pt idx="11">
                  <c:v>126712.81999999999</c:v>
                </c:pt>
                <c:pt idx="12">
                  <c:v>126861.31999999999</c:v>
                </c:pt>
                <c:pt idx="13">
                  <c:v>118992.34</c:v>
                </c:pt>
                <c:pt idx="14">
                  <c:v>114058.22</c:v>
                </c:pt>
                <c:pt idx="15">
                  <c:v>119120.65999999999</c:v>
                </c:pt>
                <c:pt idx="16">
                  <c:v>104766.78</c:v>
                </c:pt>
                <c:pt idx="17">
                  <c:v>102915.56999999998</c:v>
                </c:pt>
                <c:pt idx="18">
                  <c:v>97634.71</c:v>
                </c:pt>
                <c:pt idx="19">
                  <c:v>99282.84</c:v>
                </c:pt>
                <c:pt idx="20">
                  <c:v>99573.58</c:v>
                </c:pt>
                <c:pt idx="21">
                  <c:v>92566.26</c:v>
                </c:pt>
                <c:pt idx="22">
                  <c:v>92594.93</c:v>
                </c:pt>
                <c:pt idx="23">
                  <c:v>91826.03</c:v>
                </c:pt>
                <c:pt idx="24">
                  <c:v>89504.72</c:v>
                </c:pt>
                <c:pt idx="25">
                  <c:v>103234.68000000001</c:v>
                </c:pt>
                <c:pt idx="26">
                  <c:v>106678.61000000002</c:v>
                </c:pt>
                <c:pt idx="27">
                  <c:v>106758.9</c:v>
                </c:pt>
                <c:pt idx="28">
                  <c:v>104009.01999999999</c:v>
                </c:pt>
                <c:pt idx="29">
                  <c:v>97790.089999999982</c:v>
                </c:pt>
                <c:pt idx="30">
                  <c:v>97073.889999999985</c:v>
                </c:pt>
                <c:pt idx="31">
                  <c:v>100561.74</c:v>
                </c:pt>
                <c:pt idx="32">
                  <c:v>98486.960000000021</c:v>
                </c:pt>
                <c:pt idx="33">
                  <c:v>96429.660000000018</c:v>
                </c:pt>
                <c:pt idx="34">
                  <c:v>98857.63</c:v>
                </c:pt>
                <c:pt idx="35">
                  <c:v>101305.5</c:v>
                </c:pt>
                <c:pt idx="36">
                  <c:v>101405.59</c:v>
                </c:pt>
                <c:pt idx="37">
                  <c:v>91883.540000000008</c:v>
                </c:pt>
                <c:pt idx="38">
                  <c:v>89435.099999999991</c:v>
                </c:pt>
                <c:pt idx="39">
                  <c:v>84315.87</c:v>
                </c:pt>
                <c:pt idx="40">
                  <c:v>81222.39</c:v>
                </c:pt>
                <c:pt idx="41">
                  <c:v>84228.24000000002</c:v>
                </c:pt>
                <c:pt idx="42">
                  <c:v>91408.950000000012</c:v>
                </c:pt>
                <c:pt idx="43">
                  <c:v>92829.250000000015</c:v>
                </c:pt>
                <c:pt idx="44">
                  <c:v>97913.84</c:v>
                </c:pt>
                <c:pt idx="45">
                  <c:v>106313.85</c:v>
                </c:pt>
                <c:pt idx="46">
                  <c:v>106569.9</c:v>
                </c:pt>
                <c:pt idx="47">
                  <c:v>111090.26</c:v>
                </c:pt>
                <c:pt idx="48">
                  <c:v>111574.06999999999</c:v>
                </c:pt>
                <c:pt idx="49">
                  <c:v>110584.15999999999</c:v>
                </c:pt>
                <c:pt idx="50">
                  <c:v>113100.82999999999</c:v>
                </c:pt>
                <c:pt idx="51">
                  <c:v>110353.35999999999</c:v>
                </c:pt>
                <c:pt idx="52">
                  <c:v>119744.4</c:v>
                </c:pt>
                <c:pt idx="53">
                  <c:v>122095.50000000001</c:v>
                </c:pt>
                <c:pt idx="54">
                  <c:v>122215.80999999998</c:v>
                </c:pt>
                <c:pt idx="55">
                  <c:v>136720.46</c:v>
                </c:pt>
                <c:pt idx="56">
                  <c:v>134978.43</c:v>
                </c:pt>
                <c:pt idx="57">
                  <c:v>133000.18</c:v>
                </c:pt>
                <c:pt idx="58">
                  <c:v>134284.6</c:v>
                </c:pt>
                <c:pt idx="59">
                  <c:v>130727.39999999998</c:v>
                </c:pt>
                <c:pt idx="60">
                  <c:v>132814.31999999998</c:v>
                </c:pt>
                <c:pt idx="61">
                  <c:v>133451.01999999999</c:v>
                </c:pt>
                <c:pt idx="62">
                  <c:v>136721.38999999998</c:v>
                </c:pt>
                <c:pt idx="63">
                  <c:v>132156.47</c:v>
                </c:pt>
                <c:pt idx="64">
                  <c:v>115039.68000000001</c:v>
                </c:pt>
                <c:pt idx="65">
                  <c:v>117090.64</c:v>
                </c:pt>
                <c:pt idx="66">
                  <c:v>111508.12</c:v>
                </c:pt>
                <c:pt idx="67">
                  <c:v>93924.05</c:v>
                </c:pt>
                <c:pt idx="68">
                  <c:v>92153.98000000001</c:v>
                </c:pt>
                <c:pt idx="69">
                  <c:v>93337.529999999984</c:v>
                </c:pt>
                <c:pt idx="70">
                  <c:v>90343.86</c:v>
                </c:pt>
                <c:pt idx="71">
                  <c:v>85007.15</c:v>
                </c:pt>
                <c:pt idx="72">
                  <c:v>82384.289999999994</c:v>
                </c:pt>
                <c:pt idx="73">
                  <c:v>79786.689999999988</c:v>
                </c:pt>
                <c:pt idx="74">
                  <c:v>71959.83</c:v>
                </c:pt>
                <c:pt idx="75">
                  <c:v>75689.419999999984</c:v>
                </c:pt>
                <c:pt idx="76">
                  <c:v>81684.479999999981</c:v>
                </c:pt>
                <c:pt idx="77">
                  <c:v>73536.849999999991</c:v>
                </c:pt>
                <c:pt idx="78">
                  <c:v>72201.740000000005</c:v>
                </c:pt>
                <c:pt idx="79">
                  <c:v>74120.710000000006</c:v>
                </c:pt>
                <c:pt idx="80">
                  <c:v>73385.87</c:v>
                </c:pt>
                <c:pt idx="81">
                  <c:v>70819.08</c:v>
                </c:pt>
                <c:pt idx="82">
                  <c:v>74388.08</c:v>
                </c:pt>
                <c:pt idx="83">
                  <c:v>77936.37000000001</c:v>
                </c:pt>
                <c:pt idx="84">
                  <c:v>76048.190000000017</c:v>
                </c:pt>
                <c:pt idx="85">
                  <c:v>79375.940000000017</c:v>
                </c:pt>
                <c:pt idx="86">
                  <c:v>83341.630000000019</c:v>
                </c:pt>
                <c:pt idx="87">
                  <c:v>92344.040000000008</c:v>
                </c:pt>
                <c:pt idx="88">
                  <c:v>97615.459999999992</c:v>
                </c:pt>
                <c:pt idx="89">
                  <c:v>100068.76999999999</c:v>
                </c:pt>
                <c:pt idx="90">
                  <c:v>102048.71999999999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D2D-4322-BDF7-03FBCA678412}"/>
            </c:ext>
          </c:extLst>
        </c:ser>
        <c:ser>
          <c:idx val="12"/>
          <c:order val="10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sites'!$A$605:$A$701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sites'!$L$605:$L$701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850</c:v>
                </c:pt>
                <c:pt idx="21">
                  <c:v>850</c:v>
                </c:pt>
                <c:pt idx="22">
                  <c:v>850</c:v>
                </c:pt>
                <c:pt idx="23">
                  <c:v>850</c:v>
                </c:pt>
                <c:pt idx="24">
                  <c:v>1700</c:v>
                </c:pt>
                <c:pt idx="25">
                  <c:v>1700</c:v>
                </c:pt>
                <c:pt idx="26">
                  <c:v>1700</c:v>
                </c:pt>
                <c:pt idx="27">
                  <c:v>1700</c:v>
                </c:pt>
                <c:pt idx="28">
                  <c:v>1700</c:v>
                </c:pt>
                <c:pt idx="29">
                  <c:v>1700</c:v>
                </c:pt>
                <c:pt idx="30">
                  <c:v>1700</c:v>
                </c:pt>
                <c:pt idx="31">
                  <c:v>1700</c:v>
                </c:pt>
                <c:pt idx="32">
                  <c:v>850</c:v>
                </c:pt>
                <c:pt idx="33">
                  <c:v>850</c:v>
                </c:pt>
                <c:pt idx="34">
                  <c:v>850</c:v>
                </c:pt>
                <c:pt idx="35">
                  <c:v>850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2228.4</c:v>
                </c:pt>
                <c:pt idx="61">
                  <c:v>2228.4</c:v>
                </c:pt>
                <c:pt idx="62">
                  <c:v>2228.4</c:v>
                </c:pt>
                <c:pt idx="63">
                  <c:v>2228.4</c:v>
                </c:pt>
                <c:pt idx="64">
                  <c:v>2228.4</c:v>
                </c:pt>
                <c:pt idx="65">
                  <c:v>2228.4</c:v>
                </c:pt>
                <c:pt idx="66">
                  <c:v>2228.4</c:v>
                </c:pt>
                <c:pt idx="67">
                  <c:v>2228.4</c:v>
                </c:pt>
                <c:pt idx="68">
                  <c:v>2228.4</c:v>
                </c:pt>
                <c:pt idx="69">
                  <c:v>2228.4</c:v>
                </c:pt>
                <c:pt idx="70">
                  <c:v>2228.4</c:v>
                </c:pt>
                <c:pt idx="71">
                  <c:v>2228.4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D2D-4322-BDF7-03FBCA678412}"/>
            </c:ext>
          </c:extLst>
        </c:ser>
        <c:ser>
          <c:idx val="13"/>
          <c:order val="11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sites'!$A$605:$A$701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sites'!$M$605:$M$701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1613.3</c:v>
                </c:pt>
                <c:pt idx="33">
                  <c:v>3848.9399999999996</c:v>
                </c:pt>
                <c:pt idx="34">
                  <c:v>3848.9399999999996</c:v>
                </c:pt>
                <c:pt idx="35">
                  <c:v>3848.9399999999996</c:v>
                </c:pt>
                <c:pt idx="36">
                  <c:v>3848.9399999999996</c:v>
                </c:pt>
                <c:pt idx="37">
                  <c:v>3848.9399999999996</c:v>
                </c:pt>
                <c:pt idx="38">
                  <c:v>3848.9399999999996</c:v>
                </c:pt>
                <c:pt idx="39">
                  <c:v>3848.9399999999996</c:v>
                </c:pt>
                <c:pt idx="40">
                  <c:v>3848.9399999999996</c:v>
                </c:pt>
                <c:pt idx="41">
                  <c:v>3848.9399999999996</c:v>
                </c:pt>
                <c:pt idx="42">
                  <c:v>3848.9399999999996</c:v>
                </c:pt>
                <c:pt idx="43">
                  <c:v>3848.9399999999996</c:v>
                </c:pt>
                <c:pt idx="44">
                  <c:v>2235.64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240</c:v>
                </c:pt>
                <c:pt idx="61">
                  <c:v>240</c:v>
                </c:pt>
                <c:pt idx="62">
                  <c:v>240</c:v>
                </c:pt>
                <c:pt idx="63">
                  <c:v>240</c:v>
                </c:pt>
                <c:pt idx="64">
                  <c:v>240</c:v>
                </c:pt>
                <c:pt idx="65">
                  <c:v>240</c:v>
                </c:pt>
                <c:pt idx="66">
                  <c:v>240</c:v>
                </c:pt>
                <c:pt idx="67">
                  <c:v>240</c:v>
                </c:pt>
                <c:pt idx="68">
                  <c:v>240</c:v>
                </c:pt>
                <c:pt idx="69">
                  <c:v>240</c:v>
                </c:pt>
                <c:pt idx="70">
                  <c:v>240</c:v>
                </c:pt>
                <c:pt idx="71">
                  <c:v>240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2.65</c:v>
                </c:pt>
                <c:pt idx="81">
                  <c:v>2.65</c:v>
                </c:pt>
                <c:pt idx="82">
                  <c:v>2.65</c:v>
                </c:pt>
                <c:pt idx="83">
                  <c:v>2.65</c:v>
                </c:pt>
                <c:pt idx="84">
                  <c:v>2.65</c:v>
                </c:pt>
                <c:pt idx="85">
                  <c:v>2.65</c:v>
                </c:pt>
                <c:pt idx="86">
                  <c:v>2.65</c:v>
                </c:pt>
                <c:pt idx="87">
                  <c:v>2.65</c:v>
                </c:pt>
                <c:pt idx="88">
                  <c:v>2.65</c:v>
                </c:pt>
                <c:pt idx="89">
                  <c:v>2.65</c:v>
                </c:pt>
                <c:pt idx="90">
                  <c:v>2.65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E8-4C94-91FF-8AD3382930B1}"/>
            </c:ext>
          </c:extLst>
        </c:ser>
        <c:ser>
          <c:idx val="14"/>
          <c:order val="12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sites'!$A$605:$A$701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sites'!$N$605:$N$701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E8-4AB2-AE8A-39972C97F11D}"/>
            </c:ext>
          </c:extLst>
        </c:ser>
        <c:ser>
          <c:idx val="0"/>
          <c:order val="13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sites'!$A$605:$A$701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sites'!$O$605:$O$701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3741.72</c:v>
                </c:pt>
                <c:pt idx="61">
                  <c:v>3741.72</c:v>
                </c:pt>
                <c:pt idx="62">
                  <c:v>3741.72</c:v>
                </c:pt>
                <c:pt idx="63">
                  <c:v>3741.72</c:v>
                </c:pt>
                <c:pt idx="64">
                  <c:v>3741.72</c:v>
                </c:pt>
                <c:pt idx="65">
                  <c:v>3741.72</c:v>
                </c:pt>
                <c:pt idx="66">
                  <c:v>3741.72</c:v>
                </c:pt>
                <c:pt idx="67">
                  <c:v>3741.72</c:v>
                </c:pt>
                <c:pt idx="68">
                  <c:v>3741.72</c:v>
                </c:pt>
                <c:pt idx="69">
                  <c:v>3741.72</c:v>
                </c:pt>
                <c:pt idx="70">
                  <c:v>3741.72</c:v>
                </c:pt>
                <c:pt idx="71">
                  <c:v>3741.72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32-4E81-A18E-44CDD340A706}"/>
            </c:ext>
          </c:extLst>
        </c:ser>
        <c:ser>
          <c:idx val="11"/>
          <c:order val="14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sites'!$A$605:$A$701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sites'!$P$605:$P$701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99-4D5F-A0B3-E2ED546C7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860376"/>
        <c:axId val="520860768"/>
        <c:extLst/>
      </c:lineChart>
      <c:dateAx>
        <c:axId val="520860376"/>
        <c:scaling>
          <c:orientation val="minMax"/>
        </c:scaling>
        <c:delete val="0"/>
        <c:axPos val="b"/>
        <c:numFmt formatCode="mmm\-aa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0860768"/>
        <c:crosses val="autoZero"/>
        <c:auto val="1"/>
        <c:lblOffset val="100"/>
        <c:baseTimeUnit val="months"/>
      </c:dateAx>
      <c:valAx>
        <c:axId val="52086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Standard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0860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CERGY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8884456691672475E-2"/>
          <c:y val="6.6702887690773399E-2"/>
          <c:w val="0.90666627983641634"/>
          <c:h val="0.72541882485312181"/>
        </c:manualLayout>
      </c:layout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sites'!$A$504:$A$600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sites'!$B$504:$B$600</c:f>
              <c:numCache>
                <c:formatCode>Standard</c:formatCode>
                <c:ptCount val="97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C7-4853-A17B-CA9D3DA9E2FE}"/>
            </c:ext>
          </c:extLst>
        </c:ser>
        <c:ser>
          <c:idx val="2"/>
          <c:order val="1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sites'!$A$504:$A$600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sites'!$C$504:$C$600</c:f>
              <c:numCache>
                <c:formatCode>_-* #\ ##0\ [$€-40C]_-;\-* #\ ##0\ [$€-40C]_-;_-* "-"??\ [$€-40C]_-;_-@_-</c:formatCode>
                <c:ptCount val="97"/>
                <c:pt idx="0">
                  <c:v>118489.26000000002</c:v>
                </c:pt>
                <c:pt idx="1">
                  <c:v>120148.68000000001</c:v>
                </c:pt>
                <c:pt idx="2">
                  <c:v>117510.85000000003</c:v>
                </c:pt>
                <c:pt idx="3">
                  <c:v>127384.48000000001</c:v>
                </c:pt>
                <c:pt idx="4">
                  <c:v>127419.31000000003</c:v>
                </c:pt>
                <c:pt idx="5">
                  <c:v>128880.86000000002</c:v>
                </c:pt>
                <c:pt idx="6">
                  <c:v>127182.93000000002</c:v>
                </c:pt>
                <c:pt idx="7">
                  <c:v>123228.03000000001</c:v>
                </c:pt>
                <c:pt idx="8">
                  <c:v>126380.57</c:v>
                </c:pt>
                <c:pt idx="9">
                  <c:v>129948.86000000002</c:v>
                </c:pt>
                <c:pt idx="10">
                  <c:v>123443.05000000002</c:v>
                </c:pt>
                <c:pt idx="11">
                  <c:v>121900.56000000003</c:v>
                </c:pt>
                <c:pt idx="12">
                  <c:v>121749.06000000003</c:v>
                </c:pt>
                <c:pt idx="13">
                  <c:v>124290.90000000001</c:v>
                </c:pt>
                <c:pt idx="14">
                  <c:v>125857.52000000002</c:v>
                </c:pt>
                <c:pt idx="15">
                  <c:v>118311.13</c:v>
                </c:pt>
                <c:pt idx="16">
                  <c:v>118956.07000000004</c:v>
                </c:pt>
                <c:pt idx="17">
                  <c:v>121852.79000000002</c:v>
                </c:pt>
                <c:pt idx="18">
                  <c:v>127847.34000000001</c:v>
                </c:pt>
                <c:pt idx="19">
                  <c:v>127847.34000000001</c:v>
                </c:pt>
                <c:pt idx="20">
                  <c:v>127537.41000000002</c:v>
                </c:pt>
                <c:pt idx="21">
                  <c:v>128370.44</c:v>
                </c:pt>
                <c:pt idx="22">
                  <c:v>126768.97000000002</c:v>
                </c:pt>
                <c:pt idx="23">
                  <c:v>128792.68000000001</c:v>
                </c:pt>
                <c:pt idx="24">
                  <c:v>128944.18000000001</c:v>
                </c:pt>
                <c:pt idx="25">
                  <c:v>129219.24</c:v>
                </c:pt>
                <c:pt idx="26">
                  <c:v>129740.46</c:v>
                </c:pt>
                <c:pt idx="27">
                  <c:v>127628.89000000001</c:v>
                </c:pt>
                <c:pt idx="28">
                  <c:v>129038.15000000001</c:v>
                </c:pt>
                <c:pt idx="29">
                  <c:v>129531.08</c:v>
                </c:pt>
                <c:pt idx="30">
                  <c:v>124918.04999999997</c:v>
                </c:pt>
                <c:pt idx="31">
                  <c:v>124918.04999999997</c:v>
                </c:pt>
                <c:pt idx="32">
                  <c:v>127844.88999999997</c:v>
                </c:pt>
                <c:pt idx="33">
                  <c:v>120173.20999999999</c:v>
                </c:pt>
                <c:pt idx="34">
                  <c:v>126736.07000000004</c:v>
                </c:pt>
                <c:pt idx="35">
                  <c:v>120516.60999999999</c:v>
                </c:pt>
                <c:pt idx="36">
                  <c:v>120516.60999999999</c:v>
                </c:pt>
                <c:pt idx="37">
                  <c:v>123077.51000000001</c:v>
                </c:pt>
                <c:pt idx="38">
                  <c:v>120925.59</c:v>
                </c:pt>
                <c:pt idx="39">
                  <c:v>118008.2</c:v>
                </c:pt>
                <c:pt idx="40">
                  <c:v>119170.07999999999</c:v>
                </c:pt>
                <c:pt idx="41">
                  <c:v>115664.99999999999</c:v>
                </c:pt>
                <c:pt idx="42">
                  <c:v>115466.39000000001</c:v>
                </c:pt>
                <c:pt idx="43">
                  <c:v>115466.39000000001</c:v>
                </c:pt>
                <c:pt idx="44">
                  <c:v>116372.52000000002</c:v>
                </c:pt>
                <c:pt idx="45">
                  <c:v>117481.36000000002</c:v>
                </c:pt>
                <c:pt idx="46">
                  <c:v>117798.39</c:v>
                </c:pt>
                <c:pt idx="47">
                  <c:v>118828.84000000001</c:v>
                </c:pt>
                <c:pt idx="48">
                  <c:v>118828.84000000001</c:v>
                </c:pt>
                <c:pt idx="49">
                  <c:v>121896.42</c:v>
                </c:pt>
                <c:pt idx="50">
                  <c:v>124041.37000000001</c:v>
                </c:pt>
                <c:pt idx="51">
                  <c:v>123433.78999999998</c:v>
                </c:pt>
                <c:pt idx="52">
                  <c:v>125918.88</c:v>
                </c:pt>
                <c:pt idx="53">
                  <c:v>126699.89</c:v>
                </c:pt>
                <c:pt idx="54">
                  <c:v>123082.57999999999</c:v>
                </c:pt>
                <c:pt idx="55">
                  <c:v>123082.57999999999</c:v>
                </c:pt>
                <c:pt idx="56">
                  <c:v>125675.21</c:v>
                </c:pt>
                <c:pt idx="57">
                  <c:v>129630.69</c:v>
                </c:pt>
                <c:pt idx="58">
                  <c:v>125693.88999999998</c:v>
                </c:pt>
                <c:pt idx="59">
                  <c:v>124293.75999999999</c:v>
                </c:pt>
                <c:pt idx="60">
                  <c:v>140890.93</c:v>
                </c:pt>
                <c:pt idx="61">
                  <c:v>131347.35</c:v>
                </c:pt>
                <c:pt idx="62">
                  <c:v>127760.34999999998</c:v>
                </c:pt>
                <c:pt idx="63">
                  <c:v>119641.92</c:v>
                </c:pt>
                <c:pt idx="64">
                  <c:v>112035.58</c:v>
                </c:pt>
                <c:pt idx="65">
                  <c:v>110219.22000000002</c:v>
                </c:pt>
                <c:pt idx="66">
                  <c:v>106416.18000000001</c:v>
                </c:pt>
                <c:pt idx="67">
                  <c:v>106416.18000000001</c:v>
                </c:pt>
                <c:pt idx="68">
                  <c:v>102454.09999999999</c:v>
                </c:pt>
                <c:pt idx="69">
                  <c:v>100898.18</c:v>
                </c:pt>
                <c:pt idx="70">
                  <c:v>101297.90999999999</c:v>
                </c:pt>
                <c:pt idx="71">
                  <c:v>93669.62</c:v>
                </c:pt>
                <c:pt idx="72">
                  <c:v>88863.859999999986</c:v>
                </c:pt>
                <c:pt idx="73">
                  <c:v>73672.849999999991</c:v>
                </c:pt>
                <c:pt idx="74">
                  <c:v>70076.599999999991</c:v>
                </c:pt>
                <c:pt idx="75">
                  <c:v>75024.309999999983</c:v>
                </c:pt>
                <c:pt idx="76">
                  <c:v>78003.429999999993</c:v>
                </c:pt>
                <c:pt idx="77">
                  <c:v>77047.710000000006</c:v>
                </c:pt>
                <c:pt idx="78">
                  <c:v>79696.259999999995</c:v>
                </c:pt>
                <c:pt idx="79">
                  <c:v>79696.259999999995</c:v>
                </c:pt>
                <c:pt idx="80">
                  <c:v>78951.590000000011</c:v>
                </c:pt>
                <c:pt idx="81">
                  <c:v>72682.290000000008</c:v>
                </c:pt>
                <c:pt idx="82">
                  <c:v>79708.97</c:v>
                </c:pt>
                <c:pt idx="83">
                  <c:v>87856.109999999986</c:v>
                </c:pt>
                <c:pt idx="84">
                  <c:v>86484.319999999992</c:v>
                </c:pt>
                <c:pt idx="85">
                  <c:v>93544.459999999992</c:v>
                </c:pt>
                <c:pt idx="86">
                  <c:v>98105.199999999983</c:v>
                </c:pt>
                <c:pt idx="87">
                  <c:v>99987.289999999979</c:v>
                </c:pt>
                <c:pt idx="88">
                  <c:v>104797.28</c:v>
                </c:pt>
                <c:pt idx="89">
                  <c:v>105863.54999999999</c:v>
                </c:pt>
                <c:pt idx="90">
                  <c:v>108378.87999999998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C7-4853-A17B-CA9D3DA9E2FE}"/>
            </c:ext>
          </c:extLst>
        </c:ser>
        <c:ser>
          <c:idx val="3"/>
          <c:order val="2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sites'!$A$504:$A$600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sites'!$D$504:$D$600</c:f>
              <c:numCache>
                <c:formatCode>_-* #\ ##0\ [$€-40C]_-;\-* #\ ##0\ [$€-40C]_-;_-* "-"??\ [$€-40C]_-;_-@_-</c:formatCode>
                <c:ptCount val="97"/>
                <c:pt idx="0">
                  <c:v>31677.75</c:v>
                </c:pt>
                <c:pt idx="1">
                  <c:v>29165.72</c:v>
                </c:pt>
                <c:pt idx="2">
                  <c:v>29247.95</c:v>
                </c:pt>
                <c:pt idx="3">
                  <c:v>33849.25</c:v>
                </c:pt>
                <c:pt idx="4">
                  <c:v>34275.800000000003</c:v>
                </c:pt>
                <c:pt idx="5">
                  <c:v>34882.98000000001</c:v>
                </c:pt>
                <c:pt idx="6">
                  <c:v>34217.620000000003</c:v>
                </c:pt>
                <c:pt idx="7">
                  <c:v>33336.32</c:v>
                </c:pt>
                <c:pt idx="8">
                  <c:v>34453.65</c:v>
                </c:pt>
                <c:pt idx="9">
                  <c:v>36586.83</c:v>
                </c:pt>
                <c:pt idx="10">
                  <c:v>35991.230000000003</c:v>
                </c:pt>
                <c:pt idx="11">
                  <c:v>36371.320000000007</c:v>
                </c:pt>
                <c:pt idx="12">
                  <c:v>36371.320000000007</c:v>
                </c:pt>
                <c:pt idx="13">
                  <c:v>38086.83</c:v>
                </c:pt>
                <c:pt idx="14">
                  <c:v>38200.090000000004</c:v>
                </c:pt>
                <c:pt idx="15">
                  <c:v>35987.69</c:v>
                </c:pt>
                <c:pt idx="16">
                  <c:v>35840.69000000001</c:v>
                </c:pt>
                <c:pt idx="17">
                  <c:v>37833.23000000001</c:v>
                </c:pt>
                <c:pt idx="18">
                  <c:v>41236.970000000008</c:v>
                </c:pt>
                <c:pt idx="19">
                  <c:v>41236.970000000008</c:v>
                </c:pt>
                <c:pt idx="20">
                  <c:v>41300.700000000012</c:v>
                </c:pt>
                <c:pt idx="21">
                  <c:v>41758.42</c:v>
                </c:pt>
                <c:pt idx="22">
                  <c:v>41099.660000000003</c:v>
                </c:pt>
                <c:pt idx="23">
                  <c:v>40441.129999999997</c:v>
                </c:pt>
                <c:pt idx="24">
                  <c:v>40441.129999999997</c:v>
                </c:pt>
                <c:pt idx="25">
                  <c:v>38714.080000000002</c:v>
                </c:pt>
                <c:pt idx="26">
                  <c:v>39890.400000000001</c:v>
                </c:pt>
                <c:pt idx="27">
                  <c:v>39182.730000000003</c:v>
                </c:pt>
                <c:pt idx="28">
                  <c:v>40134.980000000003</c:v>
                </c:pt>
                <c:pt idx="29">
                  <c:v>38578.510000000009</c:v>
                </c:pt>
                <c:pt idx="30">
                  <c:v>35431.03</c:v>
                </c:pt>
                <c:pt idx="31">
                  <c:v>35431.03</c:v>
                </c:pt>
                <c:pt idx="32">
                  <c:v>35984.69</c:v>
                </c:pt>
                <c:pt idx="33">
                  <c:v>29701.770000000004</c:v>
                </c:pt>
                <c:pt idx="34">
                  <c:v>29698.430000000008</c:v>
                </c:pt>
                <c:pt idx="35">
                  <c:v>28691.890000000003</c:v>
                </c:pt>
                <c:pt idx="36">
                  <c:v>28691.890000000003</c:v>
                </c:pt>
                <c:pt idx="37">
                  <c:v>30183.940000000002</c:v>
                </c:pt>
                <c:pt idx="38">
                  <c:v>28545.910000000003</c:v>
                </c:pt>
                <c:pt idx="39">
                  <c:v>26716.729999999996</c:v>
                </c:pt>
                <c:pt idx="40">
                  <c:v>27062.560000000001</c:v>
                </c:pt>
                <c:pt idx="41">
                  <c:v>27121.33</c:v>
                </c:pt>
                <c:pt idx="42">
                  <c:v>25639.670000000002</c:v>
                </c:pt>
                <c:pt idx="43">
                  <c:v>25639.670000000002</c:v>
                </c:pt>
                <c:pt idx="44">
                  <c:v>25725.070000000003</c:v>
                </c:pt>
                <c:pt idx="45">
                  <c:v>26021.090000000004</c:v>
                </c:pt>
                <c:pt idx="46">
                  <c:v>26789.24</c:v>
                </c:pt>
                <c:pt idx="47">
                  <c:v>26037.799999999996</c:v>
                </c:pt>
                <c:pt idx="48">
                  <c:v>26037.799999999996</c:v>
                </c:pt>
                <c:pt idx="49">
                  <c:v>27019.129999999997</c:v>
                </c:pt>
                <c:pt idx="50">
                  <c:v>28470.129999999997</c:v>
                </c:pt>
                <c:pt idx="51">
                  <c:v>28255.599999999995</c:v>
                </c:pt>
                <c:pt idx="52">
                  <c:v>28345.64</c:v>
                </c:pt>
                <c:pt idx="53">
                  <c:v>28148.529999999995</c:v>
                </c:pt>
                <c:pt idx="54">
                  <c:v>27505.019999999997</c:v>
                </c:pt>
                <c:pt idx="55">
                  <c:v>27505.019999999997</c:v>
                </c:pt>
                <c:pt idx="56">
                  <c:v>29522.619999999995</c:v>
                </c:pt>
                <c:pt idx="57">
                  <c:v>33130.46</c:v>
                </c:pt>
                <c:pt idx="58">
                  <c:v>33043.259999999995</c:v>
                </c:pt>
                <c:pt idx="59">
                  <c:v>33227.56</c:v>
                </c:pt>
                <c:pt idx="60">
                  <c:v>37449.269999999997</c:v>
                </c:pt>
                <c:pt idx="61">
                  <c:v>36445.11</c:v>
                </c:pt>
                <c:pt idx="62">
                  <c:v>34682.819999999992</c:v>
                </c:pt>
                <c:pt idx="63">
                  <c:v>31914.11</c:v>
                </c:pt>
                <c:pt idx="64">
                  <c:v>30395.690000000002</c:v>
                </c:pt>
                <c:pt idx="65">
                  <c:v>29668.280000000002</c:v>
                </c:pt>
                <c:pt idx="66">
                  <c:v>29093.340000000004</c:v>
                </c:pt>
                <c:pt idx="67">
                  <c:v>29093.340000000004</c:v>
                </c:pt>
                <c:pt idx="68">
                  <c:v>27262.270000000004</c:v>
                </c:pt>
                <c:pt idx="69">
                  <c:v>26016.68</c:v>
                </c:pt>
                <c:pt idx="70">
                  <c:v>26546.95</c:v>
                </c:pt>
                <c:pt idx="71">
                  <c:v>24746.079999999994</c:v>
                </c:pt>
                <c:pt idx="72">
                  <c:v>23724.229999999996</c:v>
                </c:pt>
                <c:pt idx="73">
                  <c:v>18818.740000000002</c:v>
                </c:pt>
                <c:pt idx="74">
                  <c:v>18383.21</c:v>
                </c:pt>
                <c:pt idx="75">
                  <c:v>19796.78</c:v>
                </c:pt>
                <c:pt idx="76">
                  <c:v>20205.43</c:v>
                </c:pt>
                <c:pt idx="77">
                  <c:v>19613.22</c:v>
                </c:pt>
                <c:pt idx="78">
                  <c:v>20291.95</c:v>
                </c:pt>
                <c:pt idx="79">
                  <c:v>20291.95</c:v>
                </c:pt>
                <c:pt idx="80">
                  <c:v>19915.39</c:v>
                </c:pt>
                <c:pt idx="81">
                  <c:v>19414.41</c:v>
                </c:pt>
                <c:pt idx="82">
                  <c:v>23809.749999999996</c:v>
                </c:pt>
                <c:pt idx="83">
                  <c:v>27927.319999999996</c:v>
                </c:pt>
                <c:pt idx="84">
                  <c:v>28877.239999999998</c:v>
                </c:pt>
                <c:pt idx="85">
                  <c:v>30554.229999999996</c:v>
                </c:pt>
                <c:pt idx="86">
                  <c:v>32210.03</c:v>
                </c:pt>
                <c:pt idx="87">
                  <c:v>33372.9</c:v>
                </c:pt>
                <c:pt idx="88">
                  <c:v>36655.03</c:v>
                </c:pt>
                <c:pt idx="89">
                  <c:v>37809.969999999994</c:v>
                </c:pt>
                <c:pt idx="90">
                  <c:v>38892.479999999996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C7-4853-A17B-CA9D3DA9E2FE}"/>
            </c:ext>
          </c:extLst>
        </c:ser>
        <c:ser>
          <c:idx val="4"/>
          <c:order val="3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sites'!$A$504:$A$600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sites'!$E$504:$E$600</c:f>
              <c:numCache>
                <c:formatCode>_-* #\ ##0\ [$€-40C]_-;\-* #\ ##0\ [$€-40C]_-;_-* "-"??\ [$€-40C]_-;_-@_-</c:formatCode>
                <c:ptCount val="97"/>
                <c:pt idx="0">
                  <c:v>59173.770000000011</c:v>
                </c:pt>
                <c:pt idx="1">
                  <c:v>63019.780000000006</c:v>
                </c:pt>
                <c:pt idx="2">
                  <c:v>62410.620000000017</c:v>
                </c:pt>
                <c:pt idx="3">
                  <c:v>64894.430000000008</c:v>
                </c:pt>
                <c:pt idx="4">
                  <c:v>64699.19000000001</c:v>
                </c:pt>
                <c:pt idx="5">
                  <c:v>65393.530000000006</c:v>
                </c:pt>
                <c:pt idx="6">
                  <c:v>65122.780000000006</c:v>
                </c:pt>
                <c:pt idx="7">
                  <c:v>64122.580000000009</c:v>
                </c:pt>
                <c:pt idx="8">
                  <c:v>65646.790000000008</c:v>
                </c:pt>
                <c:pt idx="9">
                  <c:v>65785.75</c:v>
                </c:pt>
                <c:pt idx="10">
                  <c:v>61964.21</c:v>
                </c:pt>
                <c:pt idx="11">
                  <c:v>60472.3</c:v>
                </c:pt>
                <c:pt idx="12">
                  <c:v>60483.3</c:v>
                </c:pt>
                <c:pt idx="13">
                  <c:v>60772.28</c:v>
                </c:pt>
                <c:pt idx="14">
                  <c:v>61022.11</c:v>
                </c:pt>
                <c:pt idx="15">
                  <c:v>57363.239999999991</c:v>
                </c:pt>
                <c:pt idx="16">
                  <c:v>57957.33</c:v>
                </c:pt>
                <c:pt idx="17">
                  <c:v>57993.439999999995</c:v>
                </c:pt>
                <c:pt idx="18">
                  <c:v>58749.759999999995</c:v>
                </c:pt>
                <c:pt idx="19">
                  <c:v>58749.759999999995</c:v>
                </c:pt>
                <c:pt idx="20">
                  <c:v>58354.97</c:v>
                </c:pt>
                <c:pt idx="21">
                  <c:v>59108.359999999993</c:v>
                </c:pt>
                <c:pt idx="22">
                  <c:v>58201.4</c:v>
                </c:pt>
                <c:pt idx="23">
                  <c:v>57566.91</c:v>
                </c:pt>
                <c:pt idx="24">
                  <c:v>57555.91</c:v>
                </c:pt>
                <c:pt idx="25">
                  <c:v>59089.05</c:v>
                </c:pt>
                <c:pt idx="26">
                  <c:v>58859.670000000006</c:v>
                </c:pt>
                <c:pt idx="27">
                  <c:v>59355.62</c:v>
                </c:pt>
                <c:pt idx="28">
                  <c:v>59597.14</c:v>
                </c:pt>
                <c:pt idx="29">
                  <c:v>61085.67</c:v>
                </c:pt>
                <c:pt idx="30">
                  <c:v>60373.64</c:v>
                </c:pt>
                <c:pt idx="31">
                  <c:v>60373.64</c:v>
                </c:pt>
                <c:pt idx="32">
                  <c:v>61650.14</c:v>
                </c:pt>
                <c:pt idx="33">
                  <c:v>60230.51</c:v>
                </c:pt>
                <c:pt idx="34">
                  <c:v>64470.68</c:v>
                </c:pt>
                <c:pt idx="35">
                  <c:v>63909.05</c:v>
                </c:pt>
                <c:pt idx="36">
                  <c:v>63909.05</c:v>
                </c:pt>
                <c:pt idx="37">
                  <c:v>63129.159999999996</c:v>
                </c:pt>
                <c:pt idx="38">
                  <c:v>63000.66</c:v>
                </c:pt>
                <c:pt idx="39">
                  <c:v>61654.58</c:v>
                </c:pt>
                <c:pt idx="40">
                  <c:v>62154.7</c:v>
                </c:pt>
                <c:pt idx="41">
                  <c:v>60086.31</c:v>
                </c:pt>
                <c:pt idx="42">
                  <c:v>60846.73</c:v>
                </c:pt>
                <c:pt idx="43">
                  <c:v>60846.73</c:v>
                </c:pt>
                <c:pt idx="44">
                  <c:v>61730.37</c:v>
                </c:pt>
                <c:pt idx="45">
                  <c:v>61930.79</c:v>
                </c:pt>
                <c:pt idx="46">
                  <c:v>61909.32</c:v>
                </c:pt>
                <c:pt idx="47">
                  <c:v>62361.740000000005</c:v>
                </c:pt>
                <c:pt idx="48">
                  <c:v>62361.740000000005</c:v>
                </c:pt>
                <c:pt idx="49">
                  <c:v>64842.979999999996</c:v>
                </c:pt>
                <c:pt idx="50">
                  <c:v>65398.53</c:v>
                </c:pt>
                <c:pt idx="51">
                  <c:v>65130.75</c:v>
                </c:pt>
                <c:pt idx="52">
                  <c:v>65818.3</c:v>
                </c:pt>
                <c:pt idx="53">
                  <c:v>65646.350000000006</c:v>
                </c:pt>
                <c:pt idx="54">
                  <c:v>63789.590000000004</c:v>
                </c:pt>
                <c:pt idx="55">
                  <c:v>63789.590000000004</c:v>
                </c:pt>
                <c:pt idx="56">
                  <c:v>64184.600000000006</c:v>
                </c:pt>
                <c:pt idx="57">
                  <c:v>65194.19</c:v>
                </c:pt>
                <c:pt idx="58">
                  <c:v>62586.83</c:v>
                </c:pt>
                <c:pt idx="59">
                  <c:v>62539.19</c:v>
                </c:pt>
                <c:pt idx="60">
                  <c:v>70431.92</c:v>
                </c:pt>
                <c:pt idx="61">
                  <c:v>63753.94</c:v>
                </c:pt>
                <c:pt idx="62">
                  <c:v>63139.999999999993</c:v>
                </c:pt>
                <c:pt idx="63">
                  <c:v>59765.889999999992</c:v>
                </c:pt>
                <c:pt idx="64">
                  <c:v>56590.090000000004</c:v>
                </c:pt>
                <c:pt idx="65">
                  <c:v>56591.080000000009</c:v>
                </c:pt>
                <c:pt idx="66">
                  <c:v>55040.959999999999</c:v>
                </c:pt>
                <c:pt idx="67">
                  <c:v>55040.959999999999</c:v>
                </c:pt>
                <c:pt idx="68">
                  <c:v>53581.55</c:v>
                </c:pt>
                <c:pt idx="69">
                  <c:v>52305.06</c:v>
                </c:pt>
                <c:pt idx="70">
                  <c:v>51021.459999999992</c:v>
                </c:pt>
                <c:pt idx="71">
                  <c:v>46772.67</c:v>
                </c:pt>
                <c:pt idx="72">
                  <c:v>44528.38</c:v>
                </c:pt>
                <c:pt idx="73">
                  <c:v>38091.189999999995</c:v>
                </c:pt>
                <c:pt idx="74">
                  <c:v>35425.55999999999</c:v>
                </c:pt>
                <c:pt idx="75">
                  <c:v>37799.709999999992</c:v>
                </c:pt>
                <c:pt idx="76">
                  <c:v>39544.139999999992</c:v>
                </c:pt>
                <c:pt idx="77">
                  <c:v>39154.720000000001</c:v>
                </c:pt>
                <c:pt idx="78">
                  <c:v>40601.03</c:v>
                </c:pt>
                <c:pt idx="79">
                  <c:v>40601.03</c:v>
                </c:pt>
                <c:pt idx="80">
                  <c:v>40425.270000000004</c:v>
                </c:pt>
                <c:pt idx="81">
                  <c:v>37696.070000000007</c:v>
                </c:pt>
                <c:pt idx="82">
                  <c:v>37671.360000000001</c:v>
                </c:pt>
                <c:pt idx="83">
                  <c:v>40230.019999999997</c:v>
                </c:pt>
                <c:pt idx="84">
                  <c:v>39317.71</c:v>
                </c:pt>
                <c:pt idx="85">
                  <c:v>43881.86</c:v>
                </c:pt>
                <c:pt idx="86">
                  <c:v>45777.899999999994</c:v>
                </c:pt>
                <c:pt idx="87">
                  <c:v>46118.649999999994</c:v>
                </c:pt>
                <c:pt idx="88">
                  <c:v>47318.880000000005</c:v>
                </c:pt>
                <c:pt idx="89">
                  <c:v>47066.53</c:v>
                </c:pt>
                <c:pt idx="90">
                  <c:v>47990.57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BC7-4853-A17B-CA9D3DA9E2FE}"/>
            </c:ext>
          </c:extLst>
        </c:ser>
        <c:ser>
          <c:idx val="5"/>
          <c:order val="4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sites'!$A$504:$A$600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sites'!$F$504:$F$600</c:f>
              <c:numCache>
                <c:formatCode>_-* #\ ##0\ [$€-40C]_-;\-* #\ ##0\ [$€-40C]_-;_-* "-"??\ [$€-40C]_-;_-@_-</c:formatCode>
                <c:ptCount val="97"/>
                <c:pt idx="0">
                  <c:v>549.53000000000009</c:v>
                </c:pt>
                <c:pt idx="1">
                  <c:v>819.53000000000009</c:v>
                </c:pt>
                <c:pt idx="2">
                  <c:v>817.97</c:v>
                </c:pt>
                <c:pt idx="3">
                  <c:v>951.62000000000012</c:v>
                </c:pt>
                <c:pt idx="4">
                  <c:v>951.62000000000012</c:v>
                </c:pt>
                <c:pt idx="5">
                  <c:v>951.62000000000012</c:v>
                </c:pt>
                <c:pt idx="6">
                  <c:v>567.41</c:v>
                </c:pt>
                <c:pt idx="7">
                  <c:v>567.41</c:v>
                </c:pt>
                <c:pt idx="8">
                  <c:v>567.41</c:v>
                </c:pt>
                <c:pt idx="9">
                  <c:v>672.07</c:v>
                </c:pt>
                <c:pt idx="10">
                  <c:v>672.07</c:v>
                </c:pt>
                <c:pt idx="11">
                  <c:v>623.99</c:v>
                </c:pt>
                <c:pt idx="12">
                  <c:v>623.99</c:v>
                </c:pt>
                <c:pt idx="13">
                  <c:v>371.67</c:v>
                </c:pt>
                <c:pt idx="14">
                  <c:v>371.67</c:v>
                </c:pt>
                <c:pt idx="15">
                  <c:v>231.75</c:v>
                </c:pt>
                <c:pt idx="16">
                  <c:v>231.75</c:v>
                </c:pt>
                <c:pt idx="17">
                  <c:v>231.75</c:v>
                </c:pt>
                <c:pt idx="18">
                  <c:v>358.48</c:v>
                </c:pt>
                <c:pt idx="19">
                  <c:v>358.48</c:v>
                </c:pt>
                <c:pt idx="20">
                  <c:v>358.48</c:v>
                </c:pt>
                <c:pt idx="21">
                  <c:v>204.91000000000003</c:v>
                </c:pt>
                <c:pt idx="22">
                  <c:v>204.91000000000003</c:v>
                </c:pt>
                <c:pt idx="23">
                  <c:v>185.11</c:v>
                </c:pt>
                <c:pt idx="24">
                  <c:v>185.11</c:v>
                </c:pt>
                <c:pt idx="25">
                  <c:v>167.43</c:v>
                </c:pt>
                <c:pt idx="26">
                  <c:v>167.43</c:v>
                </c:pt>
                <c:pt idx="27">
                  <c:v>141.12000000000003</c:v>
                </c:pt>
                <c:pt idx="28">
                  <c:v>141.12000000000003</c:v>
                </c:pt>
                <c:pt idx="29">
                  <c:v>141.12000000000003</c:v>
                </c:pt>
                <c:pt idx="30">
                  <c:v>31.39</c:v>
                </c:pt>
                <c:pt idx="31">
                  <c:v>31.39</c:v>
                </c:pt>
                <c:pt idx="32">
                  <c:v>31.39</c:v>
                </c:pt>
                <c:pt idx="33">
                  <c:v>68.039999999999992</c:v>
                </c:pt>
                <c:pt idx="34">
                  <c:v>174.44</c:v>
                </c:pt>
                <c:pt idx="35">
                  <c:v>176.12</c:v>
                </c:pt>
                <c:pt idx="36">
                  <c:v>176.12</c:v>
                </c:pt>
                <c:pt idx="37">
                  <c:v>259.27999999999997</c:v>
                </c:pt>
                <c:pt idx="38">
                  <c:v>400.4</c:v>
                </c:pt>
                <c:pt idx="39">
                  <c:v>435.68000000000006</c:v>
                </c:pt>
                <c:pt idx="40">
                  <c:v>435.68000000000006</c:v>
                </c:pt>
                <c:pt idx="41">
                  <c:v>481.04000000000008</c:v>
                </c:pt>
                <c:pt idx="42">
                  <c:v>499.24000000000007</c:v>
                </c:pt>
                <c:pt idx="43">
                  <c:v>499.24000000000007</c:v>
                </c:pt>
                <c:pt idx="44">
                  <c:v>530.46</c:v>
                </c:pt>
                <c:pt idx="45">
                  <c:v>496.58</c:v>
                </c:pt>
                <c:pt idx="46">
                  <c:v>439.39</c:v>
                </c:pt>
                <c:pt idx="47">
                  <c:v>484.74999999999994</c:v>
                </c:pt>
                <c:pt idx="48">
                  <c:v>484.74999999999994</c:v>
                </c:pt>
                <c:pt idx="49">
                  <c:v>551.74</c:v>
                </c:pt>
                <c:pt idx="50">
                  <c:v>461.09000000000003</c:v>
                </c:pt>
                <c:pt idx="51">
                  <c:v>524.93000000000006</c:v>
                </c:pt>
                <c:pt idx="52">
                  <c:v>576.03000000000009</c:v>
                </c:pt>
                <c:pt idx="53">
                  <c:v>560.9799999999999</c:v>
                </c:pt>
                <c:pt idx="54">
                  <c:v>522.9</c:v>
                </c:pt>
                <c:pt idx="55">
                  <c:v>522.9</c:v>
                </c:pt>
                <c:pt idx="56">
                  <c:v>520.24</c:v>
                </c:pt>
                <c:pt idx="57">
                  <c:v>553.91</c:v>
                </c:pt>
                <c:pt idx="58">
                  <c:v>518.98</c:v>
                </c:pt>
                <c:pt idx="59">
                  <c:v>502.78</c:v>
                </c:pt>
                <c:pt idx="60">
                  <c:v>502.78</c:v>
                </c:pt>
                <c:pt idx="61">
                  <c:v>409.04999999999995</c:v>
                </c:pt>
                <c:pt idx="62">
                  <c:v>445.02</c:v>
                </c:pt>
                <c:pt idx="63">
                  <c:v>335.82</c:v>
                </c:pt>
                <c:pt idx="64">
                  <c:v>284.71999999999997</c:v>
                </c:pt>
                <c:pt idx="65">
                  <c:v>271.20999999999998</c:v>
                </c:pt>
                <c:pt idx="66">
                  <c:v>271.20999999999998</c:v>
                </c:pt>
                <c:pt idx="67">
                  <c:v>271.20999999999998</c:v>
                </c:pt>
                <c:pt idx="68">
                  <c:v>392.65</c:v>
                </c:pt>
                <c:pt idx="69">
                  <c:v>379.41999999999996</c:v>
                </c:pt>
                <c:pt idx="70">
                  <c:v>365.14</c:v>
                </c:pt>
                <c:pt idx="71">
                  <c:v>334.3</c:v>
                </c:pt>
                <c:pt idx="72">
                  <c:v>334.3</c:v>
                </c:pt>
                <c:pt idx="73">
                  <c:v>277.88</c:v>
                </c:pt>
                <c:pt idx="74">
                  <c:v>191.44</c:v>
                </c:pt>
                <c:pt idx="75">
                  <c:v>199.56</c:v>
                </c:pt>
                <c:pt idx="76">
                  <c:v>199.56</c:v>
                </c:pt>
                <c:pt idx="77">
                  <c:v>182.76</c:v>
                </c:pt>
                <c:pt idx="78">
                  <c:v>182.76</c:v>
                </c:pt>
                <c:pt idx="79">
                  <c:v>182.76</c:v>
                </c:pt>
                <c:pt idx="80">
                  <c:v>32.76</c:v>
                </c:pt>
                <c:pt idx="81">
                  <c:v>41.12</c:v>
                </c:pt>
                <c:pt idx="82">
                  <c:v>41.12</c:v>
                </c:pt>
                <c:pt idx="83">
                  <c:v>41.12</c:v>
                </c:pt>
                <c:pt idx="84">
                  <c:v>41.12</c:v>
                </c:pt>
                <c:pt idx="85">
                  <c:v>41.12</c:v>
                </c:pt>
                <c:pt idx="86">
                  <c:v>41.12</c:v>
                </c:pt>
                <c:pt idx="87">
                  <c:v>71.38</c:v>
                </c:pt>
                <c:pt idx="88">
                  <c:v>71.38</c:v>
                </c:pt>
                <c:pt idx="89">
                  <c:v>90.58</c:v>
                </c:pt>
                <c:pt idx="90">
                  <c:v>92.83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BC7-4853-A17B-CA9D3DA9E2FE}"/>
            </c:ext>
          </c:extLst>
        </c:ser>
        <c:ser>
          <c:idx val="6"/>
          <c:order val="5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sites'!$A$504:$A$600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sites'!$G$504:$G$600</c:f>
              <c:numCache>
                <c:formatCode>_-* #\ ##0\ [$€-40C]_-;\-* #\ ##0\ [$€-40C]_-;_-* "-"??\ [$€-40C]_-;_-@_-</c:formatCode>
                <c:ptCount val="97"/>
                <c:pt idx="0">
                  <c:v>16.46</c:v>
                </c:pt>
                <c:pt idx="1">
                  <c:v>16.46</c:v>
                </c:pt>
                <c:pt idx="2">
                  <c:v>16.46</c:v>
                </c:pt>
                <c:pt idx="3">
                  <c:v>16.46</c:v>
                </c:pt>
                <c:pt idx="4">
                  <c:v>16.46</c:v>
                </c:pt>
                <c:pt idx="5">
                  <c:v>16.46</c:v>
                </c:pt>
                <c:pt idx="6">
                  <c:v>16.46</c:v>
                </c:pt>
                <c:pt idx="7">
                  <c:v>16.46</c:v>
                </c:pt>
                <c:pt idx="8">
                  <c:v>16.46</c:v>
                </c:pt>
                <c:pt idx="9">
                  <c:v>26.88</c:v>
                </c:pt>
                <c:pt idx="10">
                  <c:v>26.88</c:v>
                </c:pt>
                <c:pt idx="11">
                  <c:v>26.88</c:v>
                </c:pt>
                <c:pt idx="12">
                  <c:v>26.88</c:v>
                </c:pt>
                <c:pt idx="13">
                  <c:v>26.88</c:v>
                </c:pt>
                <c:pt idx="14">
                  <c:v>26.88</c:v>
                </c:pt>
                <c:pt idx="15">
                  <c:v>26.88</c:v>
                </c:pt>
                <c:pt idx="16">
                  <c:v>26.88</c:v>
                </c:pt>
                <c:pt idx="17">
                  <c:v>26.88</c:v>
                </c:pt>
                <c:pt idx="18">
                  <c:v>26.88</c:v>
                </c:pt>
                <c:pt idx="19">
                  <c:v>26.88</c:v>
                </c:pt>
                <c:pt idx="20">
                  <c:v>26.88</c:v>
                </c:pt>
                <c:pt idx="21">
                  <c:v>16.32</c:v>
                </c:pt>
                <c:pt idx="22">
                  <c:v>16.32</c:v>
                </c:pt>
                <c:pt idx="23">
                  <c:v>16.32</c:v>
                </c:pt>
                <c:pt idx="24">
                  <c:v>16.32</c:v>
                </c:pt>
                <c:pt idx="25">
                  <c:v>16.32</c:v>
                </c:pt>
                <c:pt idx="26">
                  <c:v>16.32</c:v>
                </c:pt>
                <c:pt idx="27">
                  <c:v>16.32</c:v>
                </c:pt>
                <c:pt idx="28">
                  <c:v>16.32</c:v>
                </c:pt>
                <c:pt idx="29">
                  <c:v>22.68</c:v>
                </c:pt>
                <c:pt idx="30">
                  <c:v>40.620000000000005</c:v>
                </c:pt>
                <c:pt idx="31">
                  <c:v>40.620000000000005</c:v>
                </c:pt>
                <c:pt idx="32">
                  <c:v>40.620000000000005</c:v>
                </c:pt>
                <c:pt idx="33">
                  <c:v>56.94</c:v>
                </c:pt>
                <c:pt idx="34">
                  <c:v>56.94</c:v>
                </c:pt>
                <c:pt idx="35">
                  <c:v>72.69</c:v>
                </c:pt>
                <c:pt idx="36">
                  <c:v>72.69</c:v>
                </c:pt>
                <c:pt idx="37">
                  <c:v>72.69</c:v>
                </c:pt>
                <c:pt idx="38">
                  <c:v>79.319999999999993</c:v>
                </c:pt>
                <c:pt idx="39">
                  <c:v>79.319999999999993</c:v>
                </c:pt>
                <c:pt idx="40">
                  <c:v>80.759999999999991</c:v>
                </c:pt>
                <c:pt idx="41">
                  <c:v>74.399999999999991</c:v>
                </c:pt>
                <c:pt idx="42">
                  <c:v>56.46</c:v>
                </c:pt>
                <c:pt idx="43">
                  <c:v>56.46</c:v>
                </c:pt>
                <c:pt idx="44">
                  <c:v>65.099999999999994</c:v>
                </c:pt>
                <c:pt idx="45">
                  <c:v>32.46</c:v>
                </c:pt>
                <c:pt idx="46">
                  <c:v>32.46</c:v>
                </c:pt>
                <c:pt idx="47">
                  <c:v>22.47</c:v>
                </c:pt>
                <c:pt idx="48">
                  <c:v>22.47</c:v>
                </c:pt>
                <c:pt idx="49">
                  <c:v>22.47</c:v>
                </c:pt>
                <c:pt idx="50">
                  <c:v>15.84</c:v>
                </c:pt>
                <c:pt idx="51">
                  <c:v>15.84</c:v>
                </c:pt>
                <c:pt idx="52">
                  <c:v>28.8</c:v>
                </c:pt>
                <c:pt idx="53">
                  <c:v>28.8</c:v>
                </c:pt>
                <c:pt idx="54">
                  <c:v>28.8</c:v>
                </c:pt>
                <c:pt idx="55">
                  <c:v>28.8</c:v>
                </c:pt>
                <c:pt idx="56">
                  <c:v>23.76</c:v>
                </c:pt>
                <c:pt idx="57">
                  <c:v>23.76</c:v>
                </c:pt>
                <c:pt idx="58">
                  <c:v>23.76</c:v>
                </c:pt>
                <c:pt idx="59">
                  <c:v>18</c:v>
                </c:pt>
                <c:pt idx="60">
                  <c:v>18</c:v>
                </c:pt>
                <c:pt idx="61">
                  <c:v>18</c:v>
                </c:pt>
                <c:pt idx="62">
                  <c:v>18</c:v>
                </c:pt>
                <c:pt idx="63">
                  <c:v>18</c:v>
                </c:pt>
                <c:pt idx="64">
                  <c:v>3.6</c:v>
                </c:pt>
                <c:pt idx="65">
                  <c:v>3.6</c:v>
                </c:pt>
                <c:pt idx="66">
                  <c:v>3.6</c:v>
                </c:pt>
                <c:pt idx="67">
                  <c:v>3.6</c:v>
                </c:pt>
                <c:pt idx="68">
                  <c:v>0</c:v>
                </c:pt>
                <c:pt idx="69">
                  <c:v>3.57</c:v>
                </c:pt>
                <c:pt idx="70">
                  <c:v>20.67</c:v>
                </c:pt>
                <c:pt idx="71">
                  <c:v>20.67</c:v>
                </c:pt>
                <c:pt idx="72">
                  <c:v>20.67</c:v>
                </c:pt>
                <c:pt idx="73">
                  <c:v>20.67</c:v>
                </c:pt>
                <c:pt idx="74">
                  <c:v>20.67</c:v>
                </c:pt>
                <c:pt idx="75">
                  <c:v>52.35</c:v>
                </c:pt>
                <c:pt idx="76">
                  <c:v>52.35</c:v>
                </c:pt>
                <c:pt idx="77">
                  <c:v>57.39</c:v>
                </c:pt>
                <c:pt idx="78">
                  <c:v>57.39</c:v>
                </c:pt>
                <c:pt idx="79">
                  <c:v>57.39</c:v>
                </c:pt>
                <c:pt idx="80">
                  <c:v>71.19</c:v>
                </c:pt>
                <c:pt idx="81">
                  <c:v>85.62</c:v>
                </c:pt>
                <c:pt idx="82">
                  <c:v>68.52</c:v>
                </c:pt>
                <c:pt idx="83">
                  <c:v>68.52</c:v>
                </c:pt>
                <c:pt idx="84">
                  <c:v>68.52</c:v>
                </c:pt>
                <c:pt idx="85">
                  <c:v>69.239999999999995</c:v>
                </c:pt>
                <c:pt idx="86">
                  <c:v>69.239999999999995</c:v>
                </c:pt>
                <c:pt idx="87">
                  <c:v>41.13</c:v>
                </c:pt>
                <c:pt idx="88">
                  <c:v>41.13</c:v>
                </c:pt>
                <c:pt idx="89">
                  <c:v>36.090000000000003</c:v>
                </c:pt>
                <c:pt idx="90">
                  <c:v>36.090000000000003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BC7-4853-A17B-CA9D3DA9E2FE}"/>
            </c:ext>
          </c:extLst>
        </c:ser>
        <c:ser>
          <c:idx val="7"/>
          <c:order val="6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sites'!$A$504:$A$600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sites'!$H$504:$H$600</c:f>
              <c:numCache>
                <c:formatCode>_-* #\ ##0\ [$€-40C]_-;\-* #\ ##0\ [$€-40C]_-;_-* "-"??\ [$€-40C]_-;_-@_-</c:formatCode>
                <c:ptCount val="97"/>
                <c:pt idx="0">
                  <c:v>1229.1599999999999</c:v>
                </c:pt>
                <c:pt idx="1">
                  <c:v>1174.4999999999998</c:v>
                </c:pt>
                <c:pt idx="2">
                  <c:v>1287.8200000000002</c:v>
                </c:pt>
                <c:pt idx="3">
                  <c:v>2924.37</c:v>
                </c:pt>
                <c:pt idx="4">
                  <c:v>2924.37</c:v>
                </c:pt>
                <c:pt idx="5">
                  <c:v>2682.62</c:v>
                </c:pt>
                <c:pt idx="6">
                  <c:v>2631.04</c:v>
                </c:pt>
                <c:pt idx="7">
                  <c:v>2631.04</c:v>
                </c:pt>
                <c:pt idx="8">
                  <c:v>2651.04</c:v>
                </c:pt>
                <c:pt idx="9">
                  <c:v>2731.6600000000003</c:v>
                </c:pt>
                <c:pt idx="10">
                  <c:v>2833.6600000000003</c:v>
                </c:pt>
                <c:pt idx="11">
                  <c:v>3271.1</c:v>
                </c:pt>
                <c:pt idx="12">
                  <c:v>3271.1</c:v>
                </c:pt>
                <c:pt idx="13">
                  <c:v>3235.7599999999998</c:v>
                </c:pt>
                <c:pt idx="14">
                  <c:v>3189.08</c:v>
                </c:pt>
                <c:pt idx="15">
                  <c:v>2251.52</c:v>
                </c:pt>
                <c:pt idx="16">
                  <c:v>2261.52</c:v>
                </c:pt>
                <c:pt idx="17">
                  <c:v>2108.27</c:v>
                </c:pt>
                <c:pt idx="18">
                  <c:v>2413.4199999999996</c:v>
                </c:pt>
                <c:pt idx="19">
                  <c:v>2413.4199999999996</c:v>
                </c:pt>
                <c:pt idx="20">
                  <c:v>2393.4199999999996</c:v>
                </c:pt>
                <c:pt idx="21">
                  <c:v>2337.6999999999998</c:v>
                </c:pt>
                <c:pt idx="22">
                  <c:v>2381.21</c:v>
                </c:pt>
                <c:pt idx="23">
                  <c:v>5024.84</c:v>
                </c:pt>
                <c:pt idx="24">
                  <c:v>5024.84</c:v>
                </c:pt>
                <c:pt idx="25">
                  <c:v>4924.84</c:v>
                </c:pt>
                <c:pt idx="26">
                  <c:v>5488.35</c:v>
                </c:pt>
                <c:pt idx="27">
                  <c:v>4817.96</c:v>
                </c:pt>
                <c:pt idx="28">
                  <c:v>4891.96</c:v>
                </c:pt>
                <c:pt idx="29">
                  <c:v>5141.96</c:v>
                </c:pt>
                <c:pt idx="30">
                  <c:v>5589.9299999999994</c:v>
                </c:pt>
                <c:pt idx="31">
                  <c:v>5589.9299999999994</c:v>
                </c:pt>
                <c:pt idx="32">
                  <c:v>5596.9299999999994</c:v>
                </c:pt>
                <c:pt idx="33">
                  <c:v>5450.63</c:v>
                </c:pt>
                <c:pt idx="34">
                  <c:v>5569.5199999999995</c:v>
                </c:pt>
                <c:pt idx="35">
                  <c:v>2465.25</c:v>
                </c:pt>
                <c:pt idx="36">
                  <c:v>2465.25</c:v>
                </c:pt>
                <c:pt idx="37">
                  <c:v>2912.75</c:v>
                </c:pt>
                <c:pt idx="38">
                  <c:v>2707.2000000000003</c:v>
                </c:pt>
                <c:pt idx="39">
                  <c:v>2612.6400000000003</c:v>
                </c:pt>
                <c:pt idx="40">
                  <c:v>2573.61</c:v>
                </c:pt>
                <c:pt idx="41">
                  <c:v>2492.7599999999998</c:v>
                </c:pt>
                <c:pt idx="42">
                  <c:v>2268.73</c:v>
                </c:pt>
                <c:pt idx="43">
                  <c:v>2268.73</c:v>
                </c:pt>
                <c:pt idx="44">
                  <c:v>2690.11</c:v>
                </c:pt>
                <c:pt idx="45">
                  <c:v>3491.71</c:v>
                </c:pt>
                <c:pt idx="46">
                  <c:v>3476.6500000000005</c:v>
                </c:pt>
                <c:pt idx="47">
                  <c:v>4467.7900000000009</c:v>
                </c:pt>
                <c:pt idx="48">
                  <c:v>4467.7900000000009</c:v>
                </c:pt>
                <c:pt idx="49">
                  <c:v>4275.88</c:v>
                </c:pt>
                <c:pt idx="50">
                  <c:v>4294.33</c:v>
                </c:pt>
                <c:pt idx="51">
                  <c:v>4831.29</c:v>
                </c:pt>
                <c:pt idx="52">
                  <c:v>6327.96</c:v>
                </c:pt>
                <c:pt idx="53">
                  <c:v>7261.31</c:v>
                </c:pt>
                <c:pt idx="54">
                  <c:v>7081.04</c:v>
                </c:pt>
                <c:pt idx="55">
                  <c:v>7081.04</c:v>
                </c:pt>
                <c:pt idx="56">
                  <c:v>6778.6600000000008</c:v>
                </c:pt>
                <c:pt idx="57">
                  <c:v>6608.56</c:v>
                </c:pt>
                <c:pt idx="58">
                  <c:v>6506.97</c:v>
                </c:pt>
                <c:pt idx="59">
                  <c:v>5467.93</c:v>
                </c:pt>
                <c:pt idx="60">
                  <c:v>5594.93</c:v>
                </c:pt>
                <c:pt idx="61">
                  <c:v>5933.96</c:v>
                </c:pt>
                <c:pt idx="62">
                  <c:v>5364.5099999999993</c:v>
                </c:pt>
                <c:pt idx="63">
                  <c:v>4860.1099999999997</c:v>
                </c:pt>
                <c:pt idx="64">
                  <c:v>3318.47</c:v>
                </c:pt>
                <c:pt idx="65">
                  <c:v>2574.9699999999998</c:v>
                </c:pt>
                <c:pt idx="66">
                  <c:v>2046.87</c:v>
                </c:pt>
                <c:pt idx="67">
                  <c:v>2046.87</c:v>
                </c:pt>
                <c:pt idx="68">
                  <c:v>2102.87</c:v>
                </c:pt>
                <c:pt idx="69">
                  <c:v>1805.82</c:v>
                </c:pt>
                <c:pt idx="70">
                  <c:v>2966.67</c:v>
                </c:pt>
                <c:pt idx="71">
                  <c:v>2966.67</c:v>
                </c:pt>
                <c:pt idx="72">
                  <c:v>2887.67</c:v>
                </c:pt>
                <c:pt idx="73">
                  <c:v>2293.0500000000002</c:v>
                </c:pt>
                <c:pt idx="74">
                  <c:v>2349.0500000000002</c:v>
                </c:pt>
                <c:pt idx="75">
                  <c:v>2637.05</c:v>
                </c:pt>
                <c:pt idx="76">
                  <c:v>2637.05</c:v>
                </c:pt>
                <c:pt idx="77">
                  <c:v>2822.75</c:v>
                </c:pt>
                <c:pt idx="78">
                  <c:v>2822.75</c:v>
                </c:pt>
                <c:pt idx="79">
                  <c:v>2822.75</c:v>
                </c:pt>
                <c:pt idx="80">
                  <c:v>2640.75</c:v>
                </c:pt>
                <c:pt idx="81">
                  <c:v>2818.6800000000003</c:v>
                </c:pt>
                <c:pt idx="82">
                  <c:v>1854.49</c:v>
                </c:pt>
                <c:pt idx="83">
                  <c:v>2601.23</c:v>
                </c:pt>
                <c:pt idx="84">
                  <c:v>2970.83</c:v>
                </c:pt>
                <c:pt idx="85">
                  <c:v>3526.1099999999997</c:v>
                </c:pt>
                <c:pt idx="86">
                  <c:v>4191.25</c:v>
                </c:pt>
                <c:pt idx="87">
                  <c:v>4343.4299999999994</c:v>
                </c:pt>
                <c:pt idx="88">
                  <c:v>4389.7599999999993</c:v>
                </c:pt>
                <c:pt idx="89">
                  <c:v>4422.0899999999992</c:v>
                </c:pt>
                <c:pt idx="90">
                  <c:v>4869.579999999999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BC7-4853-A17B-CA9D3DA9E2FE}"/>
            </c:ext>
          </c:extLst>
        </c:ser>
        <c:ser>
          <c:idx val="8"/>
          <c:order val="7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sites'!$A$504:$A$600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sites'!$I$504:$I$600</c:f>
              <c:numCache>
                <c:formatCode>_-* #\ ##0\ [$€-40C]_-;\-* #\ ##0\ [$€-40C]_-;_-* "-"??\ [$€-40C]_-;_-@_-</c:formatCode>
                <c:ptCount val="97"/>
                <c:pt idx="0">
                  <c:v>253.77000000000004</c:v>
                </c:pt>
                <c:pt idx="1">
                  <c:v>253.77000000000004</c:v>
                </c:pt>
                <c:pt idx="2">
                  <c:v>253.77000000000004</c:v>
                </c:pt>
                <c:pt idx="3">
                  <c:v>253.77000000000004</c:v>
                </c:pt>
                <c:pt idx="4">
                  <c:v>253.77000000000004</c:v>
                </c:pt>
                <c:pt idx="5">
                  <c:v>253.77000000000004</c:v>
                </c:pt>
                <c:pt idx="6">
                  <c:v>253.77000000000004</c:v>
                </c:pt>
                <c:pt idx="7">
                  <c:v>253.77000000000004</c:v>
                </c:pt>
                <c:pt idx="8">
                  <c:v>253.77000000000004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5.0600000000000005</c:v>
                </c:pt>
                <c:pt idx="19">
                  <c:v>5.0600000000000005</c:v>
                </c:pt>
                <c:pt idx="20">
                  <c:v>5.0600000000000005</c:v>
                </c:pt>
                <c:pt idx="21">
                  <c:v>5.0600000000000005</c:v>
                </c:pt>
                <c:pt idx="22">
                  <c:v>5.0600000000000005</c:v>
                </c:pt>
                <c:pt idx="23">
                  <c:v>5.0600000000000005</c:v>
                </c:pt>
                <c:pt idx="24">
                  <c:v>5.0600000000000005</c:v>
                </c:pt>
                <c:pt idx="25">
                  <c:v>5.0600000000000005</c:v>
                </c:pt>
                <c:pt idx="26">
                  <c:v>5.0600000000000005</c:v>
                </c:pt>
                <c:pt idx="27">
                  <c:v>5.0600000000000005</c:v>
                </c:pt>
                <c:pt idx="28">
                  <c:v>5.0600000000000005</c:v>
                </c:pt>
                <c:pt idx="29">
                  <c:v>27.46</c:v>
                </c:pt>
                <c:pt idx="30">
                  <c:v>22.4</c:v>
                </c:pt>
                <c:pt idx="31">
                  <c:v>22.4</c:v>
                </c:pt>
                <c:pt idx="32">
                  <c:v>22.4</c:v>
                </c:pt>
                <c:pt idx="33">
                  <c:v>22.4</c:v>
                </c:pt>
                <c:pt idx="34">
                  <c:v>104.96000000000001</c:v>
                </c:pt>
                <c:pt idx="35">
                  <c:v>221.79000000000002</c:v>
                </c:pt>
                <c:pt idx="36">
                  <c:v>221.79000000000002</c:v>
                </c:pt>
                <c:pt idx="37">
                  <c:v>221.79000000000002</c:v>
                </c:pt>
                <c:pt idx="38">
                  <c:v>221.79000000000002</c:v>
                </c:pt>
                <c:pt idx="39">
                  <c:v>281.73</c:v>
                </c:pt>
                <c:pt idx="40">
                  <c:v>292.53000000000003</c:v>
                </c:pt>
                <c:pt idx="41">
                  <c:v>270.13</c:v>
                </c:pt>
                <c:pt idx="42">
                  <c:v>270.13</c:v>
                </c:pt>
                <c:pt idx="43">
                  <c:v>270.13</c:v>
                </c:pt>
                <c:pt idx="44">
                  <c:v>270.13</c:v>
                </c:pt>
                <c:pt idx="45">
                  <c:v>270.13</c:v>
                </c:pt>
                <c:pt idx="46">
                  <c:v>187.57</c:v>
                </c:pt>
                <c:pt idx="47">
                  <c:v>151.56</c:v>
                </c:pt>
                <c:pt idx="48">
                  <c:v>151.56</c:v>
                </c:pt>
                <c:pt idx="49">
                  <c:v>161.46</c:v>
                </c:pt>
                <c:pt idx="50">
                  <c:v>161.46</c:v>
                </c:pt>
                <c:pt idx="51">
                  <c:v>101.52</c:v>
                </c:pt>
                <c:pt idx="52">
                  <c:v>90.72</c:v>
                </c:pt>
                <c:pt idx="53">
                  <c:v>90.72</c:v>
                </c:pt>
                <c:pt idx="54">
                  <c:v>90.72</c:v>
                </c:pt>
                <c:pt idx="55">
                  <c:v>90.72</c:v>
                </c:pt>
                <c:pt idx="56">
                  <c:v>90.72</c:v>
                </c:pt>
                <c:pt idx="57">
                  <c:v>90.72</c:v>
                </c:pt>
                <c:pt idx="58">
                  <c:v>90.72</c:v>
                </c:pt>
                <c:pt idx="59">
                  <c:v>9.9</c:v>
                </c:pt>
                <c:pt idx="60">
                  <c:v>9.9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140</c:v>
                </c:pt>
                <c:pt idx="66">
                  <c:v>140</c:v>
                </c:pt>
                <c:pt idx="67">
                  <c:v>140</c:v>
                </c:pt>
                <c:pt idx="68">
                  <c:v>280</c:v>
                </c:pt>
                <c:pt idx="69">
                  <c:v>280</c:v>
                </c:pt>
                <c:pt idx="70">
                  <c:v>334.02</c:v>
                </c:pt>
                <c:pt idx="71">
                  <c:v>334.02</c:v>
                </c:pt>
                <c:pt idx="72">
                  <c:v>334.02</c:v>
                </c:pt>
                <c:pt idx="73">
                  <c:v>334.02</c:v>
                </c:pt>
                <c:pt idx="74">
                  <c:v>334.02</c:v>
                </c:pt>
                <c:pt idx="75">
                  <c:v>334.02</c:v>
                </c:pt>
                <c:pt idx="76">
                  <c:v>334.02</c:v>
                </c:pt>
                <c:pt idx="77">
                  <c:v>194.02</c:v>
                </c:pt>
                <c:pt idx="78">
                  <c:v>194.02</c:v>
                </c:pt>
                <c:pt idx="79">
                  <c:v>194.02</c:v>
                </c:pt>
                <c:pt idx="80">
                  <c:v>54.02</c:v>
                </c:pt>
                <c:pt idx="81">
                  <c:v>124.39000000000001</c:v>
                </c:pt>
                <c:pt idx="82">
                  <c:v>70.37</c:v>
                </c:pt>
                <c:pt idx="83">
                  <c:v>70.37</c:v>
                </c:pt>
                <c:pt idx="84">
                  <c:v>70.37</c:v>
                </c:pt>
                <c:pt idx="85">
                  <c:v>70.37</c:v>
                </c:pt>
                <c:pt idx="86">
                  <c:v>70.37</c:v>
                </c:pt>
                <c:pt idx="87">
                  <c:v>70.37</c:v>
                </c:pt>
                <c:pt idx="88">
                  <c:v>70.37</c:v>
                </c:pt>
                <c:pt idx="89">
                  <c:v>70.37</c:v>
                </c:pt>
                <c:pt idx="90">
                  <c:v>70.37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BC7-4853-A17B-CA9D3DA9E2FE}"/>
            </c:ext>
          </c:extLst>
        </c:ser>
        <c:ser>
          <c:idx val="9"/>
          <c:order val="8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sites'!$A$504:$A$600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sites'!$J$504:$J$600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116.1</c:v>
                </c:pt>
                <c:pt idx="19">
                  <c:v>116.1</c:v>
                </c:pt>
                <c:pt idx="20">
                  <c:v>116.1</c:v>
                </c:pt>
                <c:pt idx="21">
                  <c:v>116.1</c:v>
                </c:pt>
                <c:pt idx="22">
                  <c:v>116.1</c:v>
                </c:pt>
                <c:pt idx="23">
                  <c:v>116.1</c:v>
                </c:pt>
                <c:pt idx="24">
                  <c:v>116.1</c:v>
                </c:pt>
                <c:pt idx="25">
                  <c:v>116.1</c:v>
                </c:pt>
                <c:pt idx="26">
                  <c:v>116.1</c:v>
                </c:pt>
                <c:pt idx="27">
                  <c:v>116.1</c:v>
                </c:pt>
                <c:pt idx="28">
                  <c:v>116.1</c:v>
                </c:pt>
                <c:pt idx="29">
                  <c:v>116.1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BC7-4853-A17B-CA9D3DA9E2FE}"/>
            </c:ext>
          </c:extLst>
        </c:ser>
        <c:ser>
          <c:idx val="10"/>
          <c:order val="9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sites'!$A$504:$A$600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sites'!$K$504:$K$600</c:f>
              <c:numCache>
                <c:formatCode>_-* #\ ##0\ [$€-40C]_-;\-* #\ ##0\ [$€-40C]_-;_-* "-"??\ [$€-40C]_-;_-@_-</c:formatCode>
                <c:ptCount val="97"/>
                <c:pt idx="0">
                  <c:v>25554.179999999997</c:v>
                </c:pt>
                <c:pt idx="1">
                  <c:v>25699.279999999999</c:v>
                </c:pt>
                <c:pt idx="2">
                  <c:v>23470.619999999995</c:v>
                </c:pt>
                <c:pt idx="3">
                  <c:v>24513.94</c:v>
                </c:pt>
                <c:pt idx="4">
                  <c:v>24277.55</c:v>
                </c:pt>
                <c:pt idx="5">
                  <c:v>24656.5</c:v>
                </c:pt>
                <c:pt idx="6">
                  <c:v>24279.85</c:v>
                </c:pt>
                <c:pt idx="7">
                  <c:v>22206.449999999997</c:v>
                </c:pt>
                <c:pt idx="8">
                  <c:v>22697.449999999997</c:v>
                </c:pt>
                <c:pt idx="9">
                  <c:v>24060.01</c:v>
                </c:pt>
                <c:pt idx="10">
                  <c:v>21921.000000000004</c:v>
                </c:pt>
                <c:pt idx="11">
                  <c:v>21100.970000000005</c:v>
                </c:pt>
                <c:pt idx="12">
                  <c:v>20938.470000000005</c:v>
                </c:pt>
                <c:pt idx="13">
                  <c:v>21773.480000000007</c:v>
                </c:pt>
                <c:pt idx="14">
                  <c:v>23032.690000000002</c:v>
                </c:pt>
                <c:pt idx="15">
                  <c:v>22410.050000000003</c:v>
                </c:pt>
                <c:pt idx="16">
                  <c:v>22597.9</c:v>
                </c:pt>
                <c:pt idx="17">
                  <c:v>23619.22</c:v>
                </c:pt>
                <c:pt idx="18">
                  <c:v>24815.670000000002</c:v>
                </c:pt>
                <c:pt idx="19">
                  <c:v>24815.670000000002</c:v>
                </c:pt>
                <c:pt idx="20">
                  <c:v>24856.800000000003</c:v>
                </c:pt>
                <c:pt idx="21">
                  <c:v>24766.03</c:v>
                </c:pt>
                <c:pt idx="22">
                  <c:v>24635.109999999997</c:v>
                </c:pt>
                <c:pt idx="23">
                  <c:v>23478.01</c:v>
                </c:pt>
                <c:pt idx="24">
                  <c:v>23640.51</c:v>
                </c:pt>
                <c:pt idx="25">
                  <c:v>24242.159999999996</c:v>
                </c:pt>
                <c:pt idx="26">
                  <c:v>23122.93</c:v>
                </c:pt>
                <c:pt idx="27">
                  <c:v>21944.78</c:v>
                </c:pt>
                <c:pt idx="28">
                  <c:v>22086.27</c:v>
                </c:pt>
                <c:pt idx="29">
                  <c:v>22368.379999999997</c:v>
                </c:pt>
                <c:pt idx="30">
                  <c:v>21464.839999999997</c:v>
                </c:pt>
                <c:pt idx="31">
                  <c:v>21464.839999999997</c:v>
                </c:pt>
                <c:pt idx="32">
                  <c:v>22554.519999999997</c:v>
                </c:pt>
                <c:pt idx="33">
                  <c:v>22662.92</c:v>
                </c:pt>
                <c:pt idx="34">
                  <c:v>24681.100000000002</c:v>
                </c:pt>
                <c:pt idx="35">
                  <c:v>24849.82</c:v>
                </c:pt>
                <c:pt idx="36">
                  <c:v>24849.82</c:v>
                </c:pt>
                <c:pt idx="37">
                  <c:v>26167.9</c:v>
                </c:pt>
                <c:pt idx="38">
                  <c:v>25970.31</c:v>
                </c:pt>
                <c:pt idx="39">
                  <c:v>26227.52</c:v>
                </c:pt>
                <c:pt idx="40">
                  <c:v>26570.239999999998</c:v>
                </c:pt>
                <c:pt idx="41">
                  <c:v>25109.03</c:v>
                </c:pt>
                <c:pt idx="42">
                  <c:v>25830.429999999997</c:v>
                </c:pt>
                <c:pt idx="43">
                  <c:v>25830.429999999997</c:v>
                </c:pt>
                <c:pt idx="44">
                  <c:v>25306.279999999995</c:v>
                </c:pt>
                <c:pt idx="45">
                  <c:v>25166.679999999997</c:v>
                </c:pt>
                <c:pt idx="46">
                  <c:v>24891.839999999997</c:v>
                </c:pt>
                <c:pt idx="47">
                  <c:v>25215.809999999998</c:v>
                </c:pt>
                <c:pt idx="48">
                  <c:v>25215.809999999998</c:v>
                </c:pt>
                <c:pt idx="49">
                  <c:v>24935.84</c:v>
                </c:pt>
                <c:pt idx="50">
                  <c:v>25153.07</c:v>
                </c:pt>
                <c:pt idx="51">
                  <c:v>24486.94</c:v>
                </c:pt>
                <c:pt idx="52">
                  <c:v>24644.509999999995</c:v>
                </c:pt>
                <c:pt idx="53">
                  <c:v>24906.279999999995</c:v>
                </c:pt>
                <c:pt idx="54">
                  <c:v>24032.589999999997</c:v>
                </c:pt>
                <c:pt idx="55">
                  <c:v>24032.589999999997</c:v>
                </c:pt>
                <c:pt idx="56">
                  <c:v>24522.69</c:v>
                </c:pt>
                <c:pt idx="57">
                  <c:v>24014.090000000004</c:v>
                </c:pt>
                <c:pt idx="58">
                  <c:v>22908.37</c:v>
                </c:pt>
                <c:pt idx="59">
                  <c:v>22528.400000000005</c:v>
                </c:pt>
                <c:pt idx="60">
                  <c:v>24478.900000000005</c:v>
                </c:pt>
                <c:pt idx="61">
                  <c:v>22382.06</c:v>
                </c:pt>
                <c:pt idx="62">
                  <c:v>21704.770000000004</c:v>
                </c:pt>
                <c:pt idx="63">
                  <c:v>20342.759999999998</c:v>
                </c:pt>
                <c:pt idx="64">
                  <c:v>19037.780000000002</c:v>
                </c:pt>
                <c:pt idx="65">
                  <c:v>18564.849999999999</c:v>
                </c:pt>
                <c:pt idx="66">
                  <c:v>17414.97</c:v>
                </c:pt>
                <c:pt idx="67">
                  <c:v>17414.97</c:v>
                </c:pt>
                <c:pt idx="68">
                  <c:v>16334.529999999999</c:v>
                </c:pt>
                <c:pt idx="69">
                  <c:v>17522.399999999998</c:v>
                </c:pt>
                <c:pt idx="70">
                  <c:v>17457.77</c:v>
                </c:pt>
                <c:pt idx="71">
                  <c:v>15909.98</c:v>
                </c:pt>
                <c:pt idx="72">
                  <c:v>16839.59</c:v>
                </c:pt>
                <c:pt idx="73">
                  <c:v>13642.3</c:v>
                </c:pt>
                <c:pt idx="74">
                  <c:v>13177.65</c:v>
                </c:pt>
                <c:pt idx="75">
                  <c:v>14009.84</c:v>
                </c:pt>
                <c:pt idx="76">
                  <c:v>14820.880000000001</c:v>
                </c:pt>
                <c:pt idx="77">
                  <c:v>14812.850000000002</c:v>
                </c:pt>
                <c:pt idx="78">
                  <c:v>15336.360000000002</c:v>
                </c:pt>
                <c:pt idx="79">
                  <c:v>15336.360000000002</c:v>
                </c:pt>
                <c:pt idx="80">
                  <c:v>15697.210000000001</c:v>
                </c:pt>
                <c:pt idx="81">
                  <c:v>12472</c:v>
                </c:pt>
                <c:pt idx="82">
                  <c:v>16163.36</c:v>
                </c:pt>
                <c:pt idx="83">
                  <c:v>16887.530000000002</c:v>
                </c:pt>
                <c:pt idx="84">
                  <c:v>15093.53</c:v>
                </c:pt>
                <c:pt idx="85">
                  <c:v>15356.529999999999</c:v>
                </c:pt>
                <c:pt idx="86">
                  <c:v>15700.289999999999</c:v>
                </c:pt>
                <c:pt idx="87">
                  <c:v>15896.429999999998</c:v>
                </c:pt>
                <c:pt idx="88">
                  <c:v>16131.729999999998</c:v>
                </c:pt>
                <c:pt idx="89">
                  <c:v>16206.64</c:v>
                </c:pt>
                <c:pt idx="90">
                  <c:v>16265.679999999998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BC7-4853-A17B-CA9D3DA9E2FE}"/>
            </c:ext>
          </c:extLst>
        </c:ser>
        <c:ser>
          <c:idx val="12"/>
          <c:order val="10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sites'!$A$504:$A$600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sites'!$L$504:$L$600</c:f>
              <c:numCache>
                <c:formatCode>_-* #\ ##0\ [$€-40C]_-;\-* #\ ##0\ [$€-40C]_-;_-* "-"??\ [$€-40C]_-;_-@_-</c:formatCode>
                <c:ptCount val="97"/>
                <c:pt idx="0">
                  <c:v>15</c:v>
                </c:pt>
                <c:pt idx="1">
                  <c:v>40</c:v>
                </c:pt>
                <c:pt idx="2">
                  <c:v>40</c:v>
                </c:pt>
                <c:pt idx="3">
                  <c:v>25</c:v>
                </c:pt>
                <c:pt idx="4">
                  <c:v>25</c:v>
                </c:pt>
                <c:pt idx="5">
                  <c:v>25</c:v>
                </c:pt>
                <c:pt idx="6">
                  <c:v>25</c:v>
                </c:pt>
                <c:pt idx="7">
                  <c:v>25</c:v>
                </c:pt>
                <c:pt idx="8">
                  <c:v>25</c:v>
                </c:pt>
                <c:pt idx="9">
                  <c:v>76.66</c:v>
                </c:pt>
                <c:pt idx="10">
                  <c:v>25</c:v>
                </c:pt>
                <c:pt idx="11">
                  <c:v>25</c:v>
                </c:pt>
                <c:pt idx="12">
                  <c:v>25</c:v>
                </c:pt>
                <c:pt idx="13">
                  <c:v>15</c:v>
                </c:pt>
                <c:pt idx="14">
                  <c:v>15</c:v>
                </c:pt>
                <c:pt idx="15">
                  <c:v>40</c:v>
                </c:pt>
                <c:pt idx="16">
                  <c:v>40</c:v>
                </c:pt>
                <c:pt idx="17">
                  <c:v>40</c:v>
                </c:pt>
                <c:pt idx="18">
                  <c:v>65</c:v>
                </c:pt>
                <c:pt idx="19">
                  <c:v>65</c:v>
                </c:pt>
                <c:pt idx="20">
                  <c:v>65</c:v>
                </c:pt>
                <c:pt idx="21">
                  <c:v>41.290000000000006</c:v>
                </c:pt>
                <c:pt idx="22">
                  <c:v>92.95</c:v>
                </c:pt>
                <c:pt idx="23">
                  <c:v>92.95</c:v>
                </c:pt>
                <c:pt idx="24">
                  <c:v>92.95</c:v>
                </c:pt>
                <c:pt idx="25">
                  <c:v>77.95</c:v>
                </c:pt>
                <c:pt idx="26">
                  <c:v>77.95</c:v>
                </c:pt>
                <c:pt idx="27">
                  <c:v>52.95</c:v>
                </c:pt>
                <c:pt idx="28">
                  <c:v>52.95</c:v>
                </c:pt>
                <c:pt idx="29">
                  <c:v>52.95</c:v>
                </c:pt>
                <c:pt idx="30">
                  <c:v>27.95</c:v>
                </c:pt>
                <c:pt idx="31">
                  <c:v>27.95</c:v>
                </c:pt>
                <c:pt idx="32">
                  <c:v>27.95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25</c:v>
                </c:pt>
                <c:pt idx="43">
                  <c:v>25</c:v>
                </c:pt>
                <c:pt idx="44">
                  <c:v>25</c:v>
                </c:pt>
                <c:pt idx="45">
                  <c:v>41.92</c:v>
                </c:pt>
                <c:pt idx="46">
                  <c:v>41.92</c:v>
                </c:pt>
                <c:pt idx="47">
                  <c:v>46.92</c:v>
                </c:pt>
                <c:pt idx="48">
                  <c:v>46.92</c:v>
                </c:pt>
                <c:pt idx="49">
                  <c:v>46.92</c:v>
                </c:pt>
                <c:pt idx="50">
                  <c:v>46.92</c:v>
                </c:pt>
                <c:pt idx="51">
                  <c:v>46.92</c:v>
                </c:pt>
                <c:pt idx="52">
                  <c:v>46.92</c:v>
                </c:pt>
                <c:pt idx="53">
                  <c:v>46.92</c:v>
                </c:pt>
                <c:pt idx="54">
                  <c:v>21.92</c:v>
                </c:pt>
                <c:pt idx="55">
                  <c:v>21.92</c:v>
                </c:pt>
                <c:pt idx="56">
                  <c:v>21.92</c:v>
                </c:pt>
                <c:pt idx="57">
                  <c:v>5</c:v>
                </c:pt>
                <c:pt idx="58">
                  <c:v>5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10</c:v>
                </c:pt>
                <c:pt idx="69">
                  <c:v>10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10</c:v>
                </c:pt>
                <c:pt idx="74">
                  <c:v>10</c:v>
                </c:pt>
                <c:pt idx="75">
                  <c:v>10</c:v>
                </c:pt>
                <c:pt idx="76">
                  <c:v>25</c:v>
                </c:pt>
                <c:pt idx="77">
                  <c:v>25</c:v>
                </c:pt>
                <c:pt idx="78">
                  <c:v>25</c:v>
                </c:pt>
                <c:pt idx="79">
                  <c:v>25</c:v>
                </c:pt>
                <c:pt idx="80">
                  <c:v>15</c:v>
                </c:pt>
                <c:pt idx="81">
                  <c:v>15</c:v>
                </c:pt>
                <c:pt idx="82">
                  <c:v>15</c:v>
                </c:pt>
                <c:pt idx="83">
                  <c:v>15</c:v>
                </c:pt>
                <c:pt idx="84">
                  <c:v>45</c:v>
                </c:pt>
                <c:pt idx="85">
                  <c:v>45</c:v>
                </c:pt>
                <c:pt idx="86">
                  <c:v>45</c:v>
                </c:pt>
                <c:pt idx="87">
                  <c:v>45</c:v>
                </c:pt>
                <c:pt idx="88">
                  <c:v>30</c:v>
                </c:pt>
                <c:pt idx="89">
                  <c:v>65.28</c:v>
                </c:pt>
                <c:pt idx="90">
                  <c:v>65.28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BC7-4853-A17B-CA9D3DA9E2FE}"/>
            </c:ext>
          </c:extLst>
        </c:ser>
        <c:ser>
          <c:idx val="13"/>
          <c:order val="11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sites'!$A$504:$A$600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sites'!$M$504:$M$600</c:f>
              <c:numCache>
                <c:formatCode>_-* #\ ##0\ [$€-40C]_-;\-* #\ ##0\ [$€-40C]_-;_-* "-"??\ [$€-40C]_-;_-@_-</c:formatCode>
                <c:ptCount val="97"/>
                <c:pt idx="0">
                  <c:v>19.64</c:v>
                </c:pt>
                <c:pt idx="1">
                  <c:v>-40.36</c:v>
                </c:pt>
                <c:pt idx="2">
                  <c:v>-34.36</c:v>
                </c:pt>
                <c:pt idx="3">
                  <c:v>-44.36</c:v>
                </c:pt>
                <c:pt idx="4">
                  <c:v>-4.4500000000000028</c:v>
                </c:pt>
                <c:pt idx="5">
                  <c:v>18.379999999999995</c:v>
                </c:pt>
                <c:pt idx="6">
                  <c:v>69</c:v>
                </c:pt>
                <c:pt idx="7">
                  <c:v>69</c:v>
                </c:pt>
                <c:pt idx="8">
                  <c:v>69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16.25</c:v>
                </c:pt>
                <c:pt idx="22">
                  <c:v>16.25</c:v>
                </c:pt>
                <c:pt idx="23">
                  <c:v>16.25</c:v>
                </c:pt>
                <c:pt idx="24">
                  <c:v>16.25</c:v>
                </c:pt>
                <c:pt idx="25">
                  <c:v>16.25</c:v>
                </c:pt>
                <c:pt idx="26">
                  <c:v>146.25</c:v>
                </c:pt>
                <c:pt idx="27">
                  <c:v>146.25</c:v>
                </c:pt>
                <c:pt idx="28">
                  <c:v>146.25</c:v>
                </c:pt>
                <c:pt idx="29">
                  <c:v>146.25</c:v>
                </c:pt>
                <c:pt idx="30">
                  <c:v>86.25</c:v>
                </c:pt>
                <c:pt idx="31">
                  <c:v>86.25</c:v>
                </c:pt>
                <c:pt idx="32">
                  <c:v>86.25</c:v>
                </c:pt>
                <c:pt idx="33">
                  <c:v>130</c:v>
                </c:pt>
                <c:pt idx="34">
                  <c:v>130</c:v>
                </c:pt>
                <c:pt idx="35">
                  <c:v>130</c:v>
                </c:pt>
                <c:pt idx="36">
                  <c:v>130</c:v>
                </c:pt>
                <c:pt idx="37">
                  <c:v>130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22</c:v>
                </c:pt>
                <c:pt idx="88">
                  <c:v>83</c:v>
                </c:pt>
                <c:pt idx="89">
                  <c:v>90</c:v>
                </c:pt>
                <c:pt idx="90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1A-4276-8331-4A7C24A41EE2}"/>
            </c:ext>
          </c:extLst>
        </c:ser>
        <c:ser>
          <c:idx val="14"/>
          <c:order val="12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sites'!$A$504:$A$600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sites'!$N$504:$N$600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1850</c:v>
                </c:pt>
                <c:pt idx="24">
                  <c:v>1850</c:v>
                </c:pt>
                <c:pt idx="25">
                  <c:v>1850</c:v>
                </c:pt>
                <c:pt idx="26">
                  <c:v>1850</c:v>
                </c:pt>
                <c:pt idx="27">
                  <c:v>1850</c:v>
                </c:pt>
                <c:pt idx="28">
                  <c:v>1850</c:v>
                </c:pt>
                <c:pt idx="29">
                  <c:v>1850</c:v>
                </c:pt>
                <c:pt idx="30">
                  <c:v>1850</c:v>
                </c:pt>
                <c:pt idx="31">
                  <c:v>1850</c:v>
                </c:pt>
                <c:pt idx="32">
                  <c:v>1850</c:v>
                </c:pt>
                <c:pt idx="33">
                  <c:v>1850</c:v>
                </c:pt>
                <c:pt idx="34">
                  <c:v>1850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D8-4AB9-A48E-BEBC4AAE9002}"/>
            </c:ext>
          </c:extLst>
        </c:ser>
        <c:ser>
          <c:idx val="0"/>
          <c:order val="13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sites'!$A$504:$A$600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sites'!$O$504:$O$600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2405.23</c:v>
                </c:pt>
                <c:pt idx="61">
                  <c:v>2405.23</c:v>
                </c:pt>
                <c:pt idx="62">
                  <c:v>2405.23</c:v>
                </c:pt>
                <c:pt idx="63">
                  <c:v>2405.23</c:v>
                </c:pt>
                <c:pt idx="64">
                  <c:v>2405.23</c:v>
                </c:pt>
                <c:pt idx="65">
                  <c:v>2405.23</c:v>
                </c:pt>
                <c:pt idx="66">
                  <c:v>2405.23</c:v>
                </c:pt>
                <c:pt idx="67">
                  <c:v>2405.23</c:v>
                </c:pt>
                <c:pt idx="68">
                  <c:v>2405.23</c:v>
                </c:pt>
                <c:pt idx="69">
                  <c:v>2405.23</c:v>
                </c:pt>
                <c:pt idx="70">
                  <c:v>2405.23</c:v>
                </c:pt>
                <c:pt idx="71">
                  <c:v>2405.23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6F-4CFF-A8E5-EBC0F16AEC42}"/>
            </c:ext>
          </c:extLst>
        </c:ser>
        <c:ser>
          <c:idx val="11"/>
          <c:order val="14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'12M glissant produits &amp; sites'!$A$504:$A$600</c:f>
              <c:numCache>
                <c:formatCode>mmm\-aa</c:formatCode>
                <c:ptCount val="97"/>
                <c:pt idx="0">
                  <c:v>41974</c:v>
                </c:pt>
                <c:pt idx="1">
                  <c:v>42005</c:v>
                </c:pt>
                <c:pt idx="2">
                  <c:v>42036</c:v>
                </c:pt>
                <c:pt idx="3">
                  <c:v>42064</c:v>
                </c:pt>
                <c:pt idx="4">
                  <c:v>42095</c:v>
                </c:pt>
                <c:pt idx="5">
                  <c:v>42125</c:v>
                </c:pt>
                <c:pt idx="6">
                  <c:v>42156</c:v>
                </c:pt>
                <c:pt idx="7">
                  <c:v>42186</c:v>
                </c:pt>
                <c:pt idx="8">
                  <c:v>42217</c:v>
                </c:pt>
                <c:pt idx="9">
                  <c:v>42248</c:v>
                </c:pt>
                <c:pt idx="10">
                  <c:v>42278</c:v>
                </c:pt>
                <c:pt idx="11">
                  <c:v>42309</c:v>
                </c:pt>
                <c:pt idx="12">
                  <c:v>42339</c:v>
                </c:pt>
                <c:pt idx="13">
                  <c:v>42370</c:v>
                </c:pt>
                <c:pt idx="14">
                  <c:v>42401</c:v>
                </c:pt>
                <c:pt idx="15">
                  <c:v>42430</c:v>
                </c:pt>
                <c:pt idx="16">
                  <c:v>42461</c:v>
                </c:pt>
                <c:pt idx="17">
                  <c:v>42491</c:v>
                </c:pt>
                <c:pt idx="18">
                  <c:v>42522</c:v>
                </c:pt>
                <c:pt idx="19">
                  <c:v>42552</c:v>
                </c:pt>
                <c:pt idx="20">
                  <c:v>42583</c:v>
                </c:pt>
                <c:pt idx="21">
                  <c:v>42614</c:v>
                </c:pt>
                <c:pt idx="22">
                  <c:v>42644</c:v>
                </c:pt>
                <c:pt idx="23">
                  <c:v>42675</c:v>
                </c:pt>
                <c:pt idx="24">
                  <c:v>42705</c:v>
                </c:pt>
                <c:pt idx="25">
                  <c:v>42736</c:v>
                </c:pt>
                <c:pt idx="26">
                  <c:v>42767</c:v>
                </c:pt>
                <c:pt idx="27">
                  <c:v>42795</c:v>
                </c:pt>
                <c:pt idx="28">
                  <c:v>42826</c:v>
                </c:pt>
                <c:pt idx="29">
                  <c:v>42856</c:v>
                </c:pt>
                <c:pt idx="30">
                  <c:v>42887</c:v>
                </c:pt>
                <c:pt idx="31">
                  <c:v>42917</c:v>
                </c:pt>
                <c:pt idx="32">
                  <c:v>42948</c:v>
                </c:pt>
                <c:pt idx="33">
                  <c:v>42979</c:v>
                </c:pt>
                <c:pt idx="34">
                  <c:v>43009</c:v>
                </c:pt>
                <c:pt idx="35">
                  <c:v>43040</c:v>
                </c:pt>
                <c:pt idx="36">
                  <c:v>43070</c:v>
                </c:pt>
                <c:pt idx="37">
                  <c:v>43101</c:v>
                </c:pt>
                <c:pt idx="38">
                  <c:v>43132</c:v>
                </c:pt>
                <c:pt idx="39">
                  <c:v>43160</c:v>
                </c:pt>
                <c:pt idx="40">
                  <c:v>43191</c:v>
                </c:pt>
                <c:pt idx="41">
                  <c:v>43221</c:v>
                </c:pt>
                <c:pt idx="42">
                  <c:v>43252</c:v>
                </c:pt>
                <c:pt idx="43">
                  <c:v>43282</c:v>
                </c:pt>
                <c:pt idx="44">
                  <c:v>43313</c:v>
                </c:pt>
                <c:pt idx="45">
                  <c:v>43344</c:v>
                </c:pt>
                <c:pt idx="46">
                  <c:v>43374</c:v>
                </c:pt>
                <c:pt idx="47">
                  <c:v>43405</c:v>
                </c:pt>
                <c:pt idx="48">
                  <c:v>43435</c:v>
                </c:pt>
                <c:pt idx="49">
                  <c:v>43466</c:v>
                </c:pt>
                <c:pt idx="50">
                  <c:v>43497</c:v>
                </c:pt>
                <c:pt idx="51">
                  <c:v>43525</c:v>
                </c:pt>
                <c:pt idx="52">
                  <c:v>43556</c:v>
                </c:pt>
                <c:pt idx="53">
                  <c:v>43586</c:v>
                </c:pt>
                <c:pt idx="54">
                  <c:v>43617</c:v>
                </c:pt>
                <c:pt idx="55">
                  <c:v>43647</c:v>
                </c:pt>
                <c:pt idx="56">
                  <c:v>43678</c:v>
                </c:pt>
                <c:pt idx="57">
                  <c:v>43709</c:v>
                </c:pt>
                <c:pt idx="58">
                  <c:v>43739</c:v>
                </c:pt>
                <c:pt idx="59">
                  <c:v>43770</c:v>
                </c:pt>
                <c:pt idx="60">
                  <c:v>43800</c:v>
                </c:pt>
                <c:pt idx="61">
                  <c:v>43831</c:v>
                </c:pt>
                <c:pt idx="62">
                  <c:v>43862</c:v>
                </c:pt>
                <c:pt idx="63">
                  <c:v>43891</c:v>
                </c:pt>
                <c:pt idx="64">
                  <c:v>43922</c:v>
                </c:pt>
                <c:pt idx="65">
                  <c:v>43952</c:v>
                </c:pt>
                <c:pt idx="66">
                  <c:v>43983</c:v>
                </c:pt>
                <c:pt idx="67">
                  <c:v>44013</c:v>
                </c:pt>
                <c:pt idx="68">
                  <c:v>44044</c:v>
                </c:pt>
                <c:pt idx="69">
                  <c:v>44075</c:v>
                </c:pt>
                <c:pt idx="70">
                  <c:v>44105</c:v>
                </c:pt>
                <c:pt idx="71">
                  <c:v>44136</c:v>
                </c:pt>
                <c:pt idx="72">
                  <c:v>44166</c:v>
                </c:pt>
                <c:pt idx="73">
                  <c:v>44197</c:v>
                </c:pt>
                <c:pt idx="74">
                  <c:v>44228</c:v>
                </c:pt>
                <c:pt idx="75">
                  <c:v>44256</c:v>
                </c:pt>
                <c:pt idx="76">
                  <c:v>44287</c:v>
                </c:pt>
                <c:pt idx="77">
                  <c:v>44317</c:v>
                </c:pt>
                <c:pt idx="78">
                  <c:v>44348</c:v>
                </c:pt>
                <c:pt idx="79">
                  <c:v>44378</c:v>
                </c:pt>
                <c:pt idx="80">
                  <c:v>44409</c:v>
                </c:pt>
                <c:pt idx="81">
                  <c:v>44440</c:v>
                </c:pt>
                <c:pt idx="82">
                  <c:v>44470</c:v>
                </c:pt>
                <c:pt idx="83">
                  <c:v>44501</c:v>
                </c:pt>
                <c:pt idx="84">
                  <c:v>44531</c:v>
                </c:pt>
                <c:pt idx="85">
                  <c:v>44562</c:v>
                </c:pt>
                <c:pt idx="86">
                  <c:v>44593</c:v>
                </c:pt>
                <c:pt idx="87">
                  <c:v>44621</c:v>
                </c:pt>
                <c:pt idx="88">
                  <c:v>44652</c:v>
                </c:pt>
                <c:pt idx="89">
                  <c:v>44682</c:v>
                </c:pt>
                <c:pt idx="90">
                  <c:v>44713</c:v>
                </c:pt>
                <c:pt idx="91">
                  <c:v>44743</c:v>
                </c:pt>
                <c:pt idx="92">
                  <c:v>44774</c:v>
                </c:pt>
                <c:pt idx="93">
                  <c:v>44805</c:v>
                </c:pt>
                <c:pt idx="94">
                  <c:v>44835</c:v>
                </c:pt>
                <c:pt idx="95">
                  <c:v>44866</c:v>
                </c:pt>
                <c:pt idx="96">
                  <c:v>44896</c:v>
                </c:pt>
              </c:numCache>
            </c:numRef>
          </c:cat>
          <c:val>
            <c:numRef>
              <c:f>'12M glissant produits &amp; sites'!$P$504:$P$600</c:f>
              <c:numCache>
                <c:formatCode>_-* #\ ##0\ [$€-40C]_-;\-* #\ ##0\ [$€-40C]_-;_-* "-"??\ [$€-40C]_-;_-@_-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30</c:v>
                </c:pt>
                <c:pt idx="42">
                  <c:v>30</c:v>
                </c:pt>
                <c:pt idx="43">
                  <c:v>30</c:v>
                </c:pt>
                <c:pt idx="44">
                  <c:v>30</c:v>
                </c:pt>
                <c:pt idx="45">
                  <c:v>30</c:v>
                </c:pt>
                <c:pt idx="46">
                  <c:v>30</c:v>
                </c:pt>
                <c:pt idx="47">
                  <c:v>40</c:v>
                </c:pt>
                <c:pt idx="48">
                  <c:v>40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85</c:v>
                </c:pt>
                <c:pt idx="69">
                  <c:v>170</c:v>
                </c:pt>
                <c:pt idx="70">
                  <c:v>170</c:v>
                </c:pt>
                <c:pt idx="71">
                  <c:v>170</c:v>
                </c:pt>
                <c:pt idx="72">
                  <c:v>185</c:v>
                </c:pt>
                <c:pt idx="73">
                  <c:v>185</c:v>
                </c:pt>
                <c:pt idx="74">
                  <c:v>185</c:v>
                </c:pt>
                <c:pt idx="75">
                  <c:v>185</c:v>
                </c:pt>
                <c:pt idx="76">
                  <c:v>185</c:v>
                </c:pt>
                <c:pt idx="77">
                  <c:v>185</c:v>
                </c:pt>
                <c:pt idx="78">
                  <c:v>185</c:v>
                </c:pt>
                <c:pt idx="79">
                  <c:v>185</c:v>
                </c:pt>
                <c:pt idx="80">
                  <c:v>100</c:v>
                </c:pt>
                <c:pt idx="81">
                  <c:v>15</c:v>
                </c:pt>
                <c:pt idx="82">
                  <c:v>15</c:v>
                </c:pt>
                <c:pt idx="83">
                  <c:v>15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6</c:v>
                </c:pt>
                <c:pt idx="88">
                  <c:v>6</c:v>
                </c:pt>
                <c:pt idx="89">
                  <c:v>6</c:v>
                </c:pt>
                <c:pt idx="9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6A-4A5A-81B8-F32B3F490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860376"/>
        <c:axId val="520860768"/>
        <c:extLst/>
      </c:lineChart>
      <c:dateAx>
        <c:axId val="520860376"/>
        <c:scaling>
          <c:orientation val="minMax"/>
        </c:scaling>
        <c:delete val="0"/>
        <c:axPos val="b"/>
        <c:numFmt formatCode="mmm\-aa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0860768"/>
        <c:crosses val="autoZero"/>
        <c:auto val="1"/>
        <c:lblOffset val="100"/>
        <c:baseTimeUnit val="months"/>
      </c:dateAx>
      <c:valAx>
        <c:axId val="520860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Standard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0860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CA/mois total Reprotechnique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2016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'Courbe CA'!$A$1:$A$13</c15:sqref>
                  </c15:fullRef>
                </c:ext>
              </c:extLst>
              <c:f>'Courbe CA'!$A$2:$A$13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'Courbe CA'!$B$1:$B$13</c15:sqref>
                  </c15:fullRef>
                </c:ext>
              </c:extLst>
              <c:f>'Courbe CA'!$B$2:$B$13</c:f>
              <c:numCache>
                <c:formatCode>0</c:formatCode>
                <c:ptCount val="12"/>
                <c:pt idx="0">
                  <c:v>588241.50999999989</c:v>
                </c:pt>
                <c:pt idx="1">
                  <c:v>608242.10000000009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09-4D92-9DA9-13D21F0A43D8}"/>
            </c:ext>
          </c:extLst>
        </c:ser>
        <c:ser>
          <c:idx val="1"/>
          <c:order val="1"/>
          <c:tx>
            <c:v>2015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'Courbe CA'!$A$1:$A$13</c15:sqref>
                  </c15:fullRef>
                </c:ext>
              </c:extLst>
              <c:f>'Courbe CA'!$A$2:$A$13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'Courbe CA'!$C$1:$C$13</c15:sqref>
                  </c15:fullRef>
                </c:ext>
              </c:extLst>
              <c:f>'Courbe CA'!$C$2:$C$13</c:f>
              <c:numCache>
                <c:formatCode>0</c:formatCode>
                <c:ptCount val="12"/>
                <c:pt idx="0">
                  <c:v>534675.0399999998</c:v>
                </c:pt>
                <c:pt idx="1">
                  <c:v>628920.10999999987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09-4D92-9DA9-13D21F0A4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1859640"/>
        <c:axId val="521860032"/>
      </c:lineChart>
      <c:catAx>
        <c:axId val="521859640"/>
        <c:scaling>
          <c:orientation val="minMax"/>
        </c:scaling>
        <c:delete val="0"/>
        <c:axPos val="b"/>
        <c:numFmt formatCode="Standar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1860032"/>
        <c:crosses val="autoZero"/>
        <c:auto val="1"/>
        <c:lblAlgn val="ctr"/>
        <c:lblOffset val="100"/>
        <c:noMultiLvlLbl val="0"/>
      </c:catAx>
      <c:valAx>
        <c:axId val="521860032"/>
        <c:scaling>
          <c:orientation val="minMax"/>
          <c:max val="700000"/>
          <c:min val="50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Standard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1859640"/>
        <c:crosses val="autoZero"/>
        <c:crossBetween val="between"/>
        <c:majorUnit val="2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Air Liquide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2016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'Courbe CA sites'!$A$2:$A$13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'Courbe CA sites'!$B$2:$B$13</c:f>
              <c:numCache>
                <c:formatCode>0</c:formatCode>
                <c:ptCount val="12"/>
                <c:pt idx="0">
                  <c:v>14149.119999999995</c:v>
                </c:pt>
                <c:pt idx="1">
                  <c:v>24793.009999999995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7B-4D87-ACAB-ED2FA96B65D9}"/>
            </c:ext>
          </c:extLst>
        </c:ser>
        <c:ser>
          <c:idx val="1"/>
          <c:order val="1"/>
          <c:tx>
            <c:v>2015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'Courbe CA sites'!$A$2:$A$13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'Courbe CA sites'!$C$2:$C$13</c:f>
              <c:numCache>
                <c:formatCode>0</c:formatCode>
                <c:ptCount val="12"/>
                <c:pt idx="0">
                  <c:v>32512.629999999997</c:v>
                </c:pt>
                <c:pt idx="1">
                  <c:v>29899.050000000003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7B-4D87-ACAB-ED2FA96B6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1860816"/>
        <c:axId val="521861208"/>
      </c:lineChart>
      <c:catAx>
        <c:axId val="521860816"/>
        <c:scaling>
          <c:orientation val="minMax"/>
        </c:scaling>
        <c:delete val="0"/>
        <c:axPos val="b"/>
        <c:numFmt formatCode="Standar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1861208"/>
        <c:crosses val="autoZero"/>
        <c:auto val="1"/>
        <c:lblAlgn val="ctr"/>
        <c:lblOffset val="100"/>
        <c:noMultiLvlLbl val="0"/>
      </c:catAx>
      <c:valAx>
        <c:axId val="52186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1860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Cergy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2016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'Courbe CA sites'!$A$18:$A$29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'Courbe CA sites'!$B$18:$B$29</c:f>
              <c:numCache>
                <c:formatCode>0</c:formatCode>
                <c:ptCount val="12"/>
                <c:pt idx="0">
                  <c:v>25099.45</c:v>
                </c:pt>
                <c:pt idx="1">
                  <c:v>9248.7099999999991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DF-4119-AF8F-BA0B7B0BA67F}"/>
            </c:ext>
          </c:extLst>
        </c:ser>
        <c:ser>
          <c:idx val="1"/>
          <c:order val="1"/>
          <c:tx>
            <c:v>2015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'Courbe CA sites'!$A$18:$A$29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'Courbe CA sites'!$C$18:$C$29</c:f>
              <c:numCache>
                <c:formatCode>0</c:formatCode>
                <c:ptCount val="12"/>
                <c:pt idx="0">
                  <c:v>22557.610000000004</c:v>
                </c:pt>
                <c:pt idx="1">
                  <c:v>7682.090000000002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DF-4119-AF8F-BA0B7B0BA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1861992"/>
        <c:axId val="521862384"/>
      </c:lineChart>
      <c:catAx>
        <c:axId val="521861992"/>
        <c:scaling>
          <c:orientation val="minMax"/>
        </c:scaling>
        <c:delete val="0"/>
        <c:axPos val="b"/>
        <c:numFmt formatCode="Standar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1862384"/>
        <c:crosses val="autoZero"/>
        <c:auto val="1"/>
        <c:lblAlgn val="ctr"/>
        <c:lblOffset val="100"/>
        <c:noMultiLvlLbl val="0"/>
      </c:catAx>
      <c:valAx>
        <c:axId val="521862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21861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Colombes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2016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'Courbe CA sites'!$A$34:$A$45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'Courbe CA sites'!$B$34:$B$45</c:f>
              <c:numCache>
                <c:formatCode>0</c:formatCode>
                <c:ptCount val="12"/>
                <c:pt idx="0">
                  <c:v>263103.42</c:v>
                </c:pt>
                <c:pt idx="1">
                  <c:v>257210.56000000008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AC-47C0-BE52-C27AC661B663}"/>
            </c:ext>
          </c:extLst>
        </c:ser>
        <c:ser>
          <c:idx val="1"/>
          <c:order val="1"/>
          <c:tx>
            <c:v>2015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'Courbe CA sites'!$A$34:$A$45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'Courbe CA sites'!$C$34:$C$45</c:f>
              <c:numCache>
                <c:formatCode>0</c:formatCode>
                <c:ptCount val="12"/>
                <c:pt idx="0">
                  <c:v>203779.52999999991</c:v>
                </c:pt>
                <c:pt idx="1">
                  <c:v>270939.26999999996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AC-47C0-BE52-C27AC661B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523840"/>
        <c:axId val="543524232"/>
      </c:lineChart>
      <c:catAx>
        <c:axId val="543523840"/>
        <c:scaling>
          <c:orientation val="minMax"/>
        </c:scaling>
        <c:delete val="0"/>
        <c:axPos val="b"/>
        <c:numFmt formatCode="Standar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3524232"/>
        <c:crosses val="autoZero"/>
        <c:auto val="1"/>
        <c:lblAlgn val="ctr"/>
        <c:lblOffset val="100"/>
        <c:noMultiLvlLbl val="0"/>
      </c:catAx>
      <c:valAx>
        <c:axId val="543524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3523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Evreux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2016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'Courbe CA sites'!$A$50:$A$61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'Courbe CA sites'!$B$50:$B$61</c:f>
              <c:numCache>
                <c:formatCode>0</c:formatCode>
                <c:ptCount val="12"/>
                <c:pt idx="0">
                  <c:v>47331.64</c:v>
                </c:pt>
                <c:pt idx="1">
                  <c:v>37259.519999999997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EC-4760-98A5-5658D787B905}"/>
            </c:ext>
          </c:extLst>
        </c:ser>
        <c:ser>
          <c:idx val="1"/>
          <c:order val="1"/>
          <c:tx>
            <c:v>2015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'Courbe CA sites'!$A$50:$A$61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'Courbe CA sites'!$C$50:$C$61</c:f>
              <c:numCache>
                <c:formatCode>0</c:formatCode>
                <c:ptCount val="12"/>
                <c:pt idx="0">
                  <c:v>37553.020000000004</c:v>
                </c:pt>
                <c:pt idx="1">
                  <c:v>31883.610000000004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EC-4760-98A5-5658D787B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525016"/>
        <c:axId val="543525408"/>
      </c:lineChart>
      <c:catAx>
        <c:axId val="543525016"/>
        <c:scaling>
          <c:orientation val="minMax"/>
        </c:scaling>
        <c:delete val="0"/>
        <c:axPos val="b"/>
        <c:numFmt formatCode="Standar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3525408"/>
        <c:crosses val="autoZero"/>
        <c:auto val="1"/>
        <c:lblAlgn val="ctr"/>
        <c:lblOffset val="100"/>
        <c:noMultiLvlLbl val="0"/>
      </c:catAx>
      <c:valAx>
        <c:axId val="54352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3525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Fournitures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2016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'Courbe CA sites'!$A$66:$A$77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'Courbe CA sites'!$B$66:$B$77</c:f>
              <c:numCache>
                <c:formatCode>0</c:formatCode>
                <c:ptCount val="12"/>
                <c:pt idx="0">
                  <c:v>4883.2700000000004</c:v>
                </c:pt>
                <c:pt idx="1">
                  <c:v>5498.11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7A-4F6F-8419-420D5432C90D}"/>
            </c:ext>
          </c:extLst>
        </c:ser>
        <c:ser>
          <c:idx val="1"/>
          <c:order val="1"/>
          <c:tx>
            <c:v>2015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'Courbe CA sites'!$A$66:$A$77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'Courbe CA sites'!$C$66:$C$77</c:f>
              <c:numCache>
                <c:formatCode>0</c:formatCode>
                <c:ptCount val="12"/>
                <c:pt idx="0">
                  <c:v>7128.9800000000059</c:v>
                </c:pt>
                <c:pt idx="1">
                  <c:v>7113.7300000000014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7A-4F6F-8419-420D5432C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526192"/>
        <c:axId val="543526584"/>
      </c:lineChart>
      <c:catAx>
        <c:axId val="543526192"/>
        <c:scaling>
          <c:orientation val="minMax"/>
        </c:scaling>
        <c:delete val="0"/>
        <c:axPos val="b"/>
        <c:numFmt formatCode="Standar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3526584"/>
        <c:crosses val="autoZero"/>
        <c:auto val="1"/>
        <c:lblAlgn val="ctr"/>
        <c:lblOffset val="100"/>
        <c:noMultiLvlLbl val="0"/>
      </c:catAx>
      <c:valAx>
        <c:axId val="543526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3526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Magnanville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2016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'Courbe CA sites'!$A$82:$A$93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'Courbe CA sites'!$B$82:$B$93</c:f>
              <c:numCache>
                <c:formatCode>0</c:formatCode>
                <c:ptCount val="12"/>
                <c:pt idx="0">
                  <c:v>73899.229999999981</c:v>
                </c:pt>
                <c:pt idx="1">
                  <c:v>38580.610000000008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EF-48A5-A798-CA7D5EBD34E5}"/>
            </c:ext>
          </c:extLst>
        </c:ser>
        <c:ser>
          <c:idx val="1"/>
          <c:order val="1"/>
          <c:tx>
            <c:v>2015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'Courbe CA sites'!$A$82:$A$93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'Courbe CA sites'!$C$82:$C$93</c:f>
              <c:numCache>
                <c:formatCode>0</c:formatCode>
                <c:ptCount val="12"/>
                <c:pt idx="0">
                  <c:v>36062.550000000003</c:v>
                </c:pt>
                <c:pt idx="1">
                  <c:v>35011.5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EF-48A5-A798-CA7D5EBD34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981544"/>
        <c:axId val="543981936"/>
      </c:lineChart>
      <c:catAx>
        <c:axId val="543981544"/>
        <c:scaling>
          <c:orientation val="minMax"/>
        </c:scaling>
        <c:delete val="0"/>
        <c:axPos val="b"/>
        <c:numFmt formatCode="Standar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3981936"/>
        <c:crosses val="autoZero"/>
        <c:auto val="1"/>
        <c:lblAlgn val="ctr"/>
        <c:lblOffset val="100"/>
        <c:noMultiLvlLbl val="0"/>
      </c:catAx>
      <c:valAx>
        <c:axId val="54398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3981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Mesnil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2016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'Courbe CA sites'!$A$98:$A$109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'Courbe CA sites'!$B$98:$B$109</c:f>
              <c:numCache>
                <c:formatCode>0</c:formatCode>
                <c:ptCount val="12"/>
                <c:pt idx="0">
                  <c:v>41729.579999999987</c:v>
                </c:pt>
                <c:pt idx="1">
                  <c:v>55404.48000000001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D7-4406-92A2-54F68FEB9E65}"/>
            </c:ext>
          </c:extLst>
        </c:ser>
        <c:ser>
          <c:idx val="1"/>
          <c:order val="1"/>
          <c:tx>
            <c:v>2015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'Courbe CA sites'!$A$98:$A$109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'Courbe CA sites'!$C$98:$C$109</c:f>
              <c:numCache>
                <c:formatCode>0</c:formatCode>
                <c:ptCount val="12"/>
                <c:pt idx="0">
                  <c:v>45493.69</c:v>
                </c:pt>
                <c:pt idx="1">
                  <c:v>55245.630000000005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D7-4406-92A2-54F68FEB9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982720"/>
        <c:axId val="543983112"/>
      </c:lineChart>
      <c:catAx>
        <c:axId val="543982720"/>
        <c:scaling>
          <c:orientation val="minMax"/>
        </c:scaling>
        <c:delete val="0"/>
        <c:axPos val="b"/>
        <c:numFmt formatCode="Standar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3983112"/>
        <c:crosses val="autoZero"/>
        <c:auto val="1"/>
        <c:lblAlgn val="ctr"/>
        <c:lblOffset val="100"/>
        <c:noMultiLvlLbl val="0"/>
      </c:catAx>
      <c:valAx>
        <c:axId val="543983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398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Paris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2016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'Courbe CA sites'!$A$114:$A$125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'Courbe CA sites'!$B$114:$B$125</c:f>
              <c:numCache>
                <c:formatCode>0</c:formatCode>
                <c:ptCount val="12"/>
                <c:pt idx="0">
                  <c:v>118045.8</c:v>
                </c:pt>
                <c:pt idx="1">
                  <c:v>180247.09999999998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D3-47E4-89D9-386EA27DE953}"/>
            </c:ext>
          </c:extLst>
        </c:ser>
        <c:ser>
          <c:idx val="1"/>
          <c:order val="1"/>
          <c:tx>
            <c:v>2015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'Courbe CA sites'!$A$114:$A$125</c:f>
              <c:strCache>
                <c:ptCount val="12"/>
                <c:pt idx="0">
                  <c:v>janvier</c:v>
                </c:pt>
                <c:pt idx="1">
                  <c:v>février</c:v>
                </c:pt>
                <c:pt idx="2">
                  <c:v>mars</c:v>
                </c:pt>
                <c:pt idx="3">
                  <c:v>avril</c:v>
                </c:pt>
                <c:pt idx="4">
                  <c:v>mai</c:v>
                </c:pt>
                <c:pt idx="5">
                  <c:v>juin</c:v>
                </c:pt>
                <c:pt idx="6">
                  <c:v>juillet</c:v>
                </c:pt>
                <c:pt idx="7">
                  <c:v>août</c:v>
                </c:pt>
                <c:pt idx="8">
                  <c:v>septembre</c:v>
                </c:pt>
                <c:pt idx="9">
                  <c:v>octobre</c:v>
                </c:pt>
                <c:pt idx="10">
                  <c:v>novembre</c:v>
                </c:pt>
                <c:pt idx="11">
                  <c:v>décembre</c:v>
                </c:pt>
              </c:strCache>
            </c:strRef>
          </c:cat>
          <c:val>
            <c:numRef>
              <c:f>'Courbe CA sites'!$C$114:$C$125</c:f>
              <c:numCache>
                <c:formatCode>0</c:formatCode>
                <c:ptCount val="12"/>
                <c:pt idx="0">
                  <c:v>149587.02999999997</c:v>
                </c:pt>
                <c:pt idx="1">
                  <c:v>191145.22999999998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D3-47E4-89D9-386EA27DE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3983896"/>
        <c:axId val="543984288"/>
      </c:lineChart>
      <c:catAx>
        <c:axId val="543983896"/>
        <c:scaling>
          <c:orientation val="minMax"/>
        </c:scaling>
        <c:delete val="0"/>
        <c:axPos val="b"/>
        <c:numFmt formatCode="Standar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3984288"/>
        <c:crosses val="autoZero"/>
        <c:auto val="1"/>
        <c:lblAlgn val="ctr"/>
        <c:lblOffset val="100"/>
        <c:noMultiLvlLbl val="0"/>
      </c:catAx>
      <c:valAx>
        <c:axId val="54398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3983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65315</xdr:colOff>
      <xdr:row>0</xdr:row>
      <xdr:rowOff>391885</xdr:rowOff>
    </xdr:from>
    <xdr:to>
      <xdr:col>32</xdr:col>
      <xdr:colOff>103188</xdr:colOff>
      <xdr:row>73</xdr:row>
      <xdr:rowOff>111124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97378</xdr:colOff>
      <xdr:row>103</xdr:row>
      <xdr:rowOff>16693</xdr:rowOff>
    </xdr:from>
    <xdr:to>
      <xdr:col>31</xdr:col>
      <xdr:colOff>762000</xdr:colOff>
      <xdr:row>177</xdr:row>
      <xdr:rowOff>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103200</xdr:colOff>
      <xdr:row>203</xdr:row>
      <xdr:rowOff>20082</xdr:rowOff>
    </xdr:from>
    <xdr:to>
      <xdr:col>32</xdr:col>
      <xdr:colOff>16329</xdr:colOff>
      <xdr:row>276</xdr:row>
      <xdr:rowOff>114299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56762</xdr:colOff>
      <xdr:row>303</xdr:row>
      <xdr:rowOff>38</xdr:rowOff>
    </xdr:from>
    <xdr:to>
      <xdr:col>33</xdr:col>
      <xdr:colOff>740228</xdr:colOff>
      <xdr:row>376</xdr:row>
      <xdr:rowOff>114299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138675</xdr:colOff>
      <xdr:row>376</xdr:row>
      <xdr:rowOff>152400</xdr:rowOff>
    </xdr:from>
    <xdr:to>
      <xdr:col>32</xdr:col>
      <xdr:colOff>82550</xdr:colOff>
      <xdr:row>503</xdr:row>
      <xdr:rowOff>114300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88228</xdr:colOff>
      <xdr:row>705</xdr:row>
      <xdr:rowOff>86710</xdr:rowOff>
    </xdr:from>
    <xdr:to>
      <xdr:col>31</xdr:col>
      <xdr:colOff>781050</xdr:colOff>
      <xdr:row>805</xdr:row>
      <xdr:rowOff>114300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17</xdr:col>
      <xdr:colOff>41110</xdr:colOff>
      <xdr:row>805</xdr:row>
      <xdr:rowOff>121804</xdr:rowOff>
    </xdr:from>
    <xdr:to>
      <xdr:col>32</xdr:col>
      <xdr:colOff>740569</xdr:colOff>
      <xdr:row>854</xdr:row>
      <xdr:rowOff>64293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619125</xdr:colOff>
      <xdr:row>604</xdr:row>
      <xdr:rowOff>26194</xdr:rowOff>
    </xdr:from>
    <xdr:to>
      <xdr:col>32</xdr:col>
      <xdr:colOff>638175</xdr:colOff>
      <xdr:row>705</xdr:row>
      <xdr:rowOff>159544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122462</xdr:colOff>
      <xdr:row>503</xdr:row>
      <xdr:rowOff>92529</xdr:rowOff>
    </xdr:from>
    <xdr:to>
      <xdr:col>32</xdr:col>
      <xdr:colOff>57149</xdr:colOff>
      <xdr:row>604</xdr:row>
      <xdr:rowOff>57150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</xdr:colOff>
      <xdr:row>2</xdr:row>
      <xdr:rowOff>38100</xdr:rowOff>
    </xdr:from>
    <xdr:to>
      <xdr:col>11</xdr:col>
      <xdr:colOff>457200</xdr:colOff>
      <xdr:row>22</xdr:row>
      <xdr:rowOff>137160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9</xdr:col>
      <xdr:colOff>609600</xdr:colOff>
      <xdr:row>15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16</xdr:row>
      <xdr:rowOff>7620</xdr:rowOff>
    </xdr:from>
    <xdr:to>
      <xdr:col>9</xdr:col>
      <xdr:colOff>609600</xdr:colOff>
      <xdr:row>31</xdr:row>
      <xdr:rowOff>7620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32</xdr:row>
      <xdr:rowOff>0</xdr:rowOff>
    </xdr:from>
    <xdr:to>
      <xdr:col>9</xdr:col>
      <xdr:colOff>609600</xdr:colOff>
      <xdr:row>47</xdr:row>
      <xdr:rowOff>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0</xdr:colOff>
      <xdr:row>48</xdr:row>
      <xdr:rowOff>7620</xdr:rowOff>
    </xdr:from>
    <xdr:to>
      <xdr:col>9</xdr:col>
      <xdr:colOff>609600</xdr:colOff>
      <xdr:row>63</xdr:row>
      <xdr:rowOff>7620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7620</xdr:colOff>
      <xdr:row>64</xdr:row>
      <xdr:rowOff>7620</xdr:rowOff>
    </xdr:from>
    <xdr:to>
      <xdr:col>9</xdr:col>
      <xdr:colOff>617220</xdr:colOff>
      <xdr:row>79</xdr:row>
      <xdr:rowOff>7620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0</xdr:colOff>
      <xdr:row>80</xdr:row>
      <xdr:rowOff>0</xdr:rowOff>
    </xdr:from>
    <xdr:to>
      <xdr:col>9</xdr:col>
      <xdr:colOff>609600</xdr:colOff>
      <xdr:row>95</xdr:row>
      <xdr:rowOff>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96</xdr:row>
      <xdr:rowOff>0</xdr:rowOff>
    </xdr:from>
    <xdr:to>
      <xdr:col>9</xdr:col>
      <xdr:colOff>609600</xdr:colOff>
      <xdr:row>111</xdr:row>
      <xdr:rowOff>0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7620</xdr:colOff>
      <xdr:row>112</xdr:row>
      <xdr:rowOff>0</xdr:rowOff>
    </xdr:from>
    <xdr:to>
      <xdr:col>9</xdr:col>
      <xdr:colOff>617220</xdr:colOff>
      <xdr:row>127</xdr:row>
      <xdr:rowOff>0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A%20Consolid&#233;%20Septembre%20202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A%20Consolid&#233;%20Octobre%20202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A%20Consolid&#233;%20Novembre%20202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A%20Consolid&#233;%20d&#233;cembre%202021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CA%20Consolid&#233;%20janvier%202022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CA%20consolid&#233;%20F&#233;vrier%202022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CA%20consolid&#233;%20mars%20202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CA%20Consolid&#233;%20Avril%202022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CA%20Consolid&#233;%20Mai%202022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CA%20Consolid&#233;%20juin%202022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</sheetNames>
    <sheetDataSet>
      <sheetData sheetId="0">
        <row r="1">
          <cell r="A1" t="str">
            <v>Somme de CA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1"/>
      <sheetName val="Feuil1"/>
    </sheetNames>
    <sheetDataSet>
      <sheetData sheetId="0" refreshError="1"/>
      <sheetData sheetId="1">
        <row r="1">
          <cell r="A1" t="str">
            <v>Somme de CA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1"/>
      <sheetName val="Feuil1"/>
    </sheetNames>
    <sheetDataSet>
      <sheetData sheetId="0" refreshError="1"/>
      <sheetData sheetId="1">
        <row r="1">
          <cell r="A1" t="str">
            <v>Somme de CA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1"/>
      <sheetName val="Feuil1"/>
    </sheetNames>
    <sheetDataSet>
      <sheetData sheetId="0"/>
      <sheetData sheetId="1">
        <row r="1">
          <cell r="A1" t="str">
            <v>Somme de CA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1"/>
      <sheetName val="Feuil1"/>
    </sheetNames>
    <sheetDataSet>
      <sheetData sheetId="0"/>
      <sheetData sheetId="1">
        <row r="1">
          <cell r="A1" t="str">
            <v>Somme de CA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1"/>
      <sheetName val="Feuil1"/>
    </sheetNames>
    <sheetDataSet>
      <sheetData sheetId="0"/>
      <sheetData sheetId="1">
        <row r="1">
          <cell r="A1" t="str">
            <v>Somme de CA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1"/>
      <sheetName val="Feuil1"/>
    </sheetNames>
    <sheetDataSet>
      <sheetData sheetId="0" refreshError="1"/>
      <sheetData sheetId="1">
        <row r="1">
          <cell r="A1" t="str">
            <v>Somme de Montant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1"/>
      <sheetName val="Feuil1"/>
    </sheetNames>
    <sheetDataSet>
      <sheetData sheetId="0" refreshError="1"/>
      <sheetData sheetId="1">
        <row r="1">
          <cell r="A1" t="str">
            <v>Somme de CA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1"/>
      <sheetName val="Feuil1"/>
    </sheetNames>
    <sheetDataSet>
      <sheetData sheetId="0"/>
      <sheetData sheetId="1">
        <row r="1">
          <cell r="A1" t="str">
            <v>Somme de CA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1"/>
      <sheetName val="Feuil1"/>
    </sheetNames>
    <sheetDataSet>
      <sheetData sheetId="0" refreshError="1"/>
      <sheetData sheetId="1">
        <row r="1">
          <cell r="A1" t="str">
            <v>Somme de Montant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6699FF"/>
  </sheetPr>
  <dimension ref="A1:P987"/>
  <sheetViews>
    <sheetView tabSelected="1" zoomScale="70" zoomScaleNormal="70" workbookViewId="0">
      <pane xSplit="2" ySplit="1" topLeftCell="C485" activePane="bottomRight" state="frozen"/>
      <selection pane="topRight" activeCell="C1" sqref="C1"/>
      <selection pane="bottomLeft" activeCell="A2" sqref="A2"/>
      <selection pane="bottomRight" activeCell="M502" sqref="M501:M502"/>
    </sheetView>
  </sheetViews>
  <sheetFormatPr baseColWidth="10" defaultColWidth="11.5546875" defaultRowHeight="14.4" x14ac:dyDescent="0.3"/>
  <cols>
    <col min="1" max="2" width="9" customWidth="1"/>
    <col min="3" max="13" width="17.44140625" style="92" customWidth="1"/>
    <col min="14" max="14" width="26.33203125" style="92" customWidth="1"/>
    <col min="15" max="15" width="21.6640625" style="92" customWidth="1"/>
    <col min="16" max="16" width="24.109375" style="92" customWidth="1"/>
    <col min="17" max="67" width="11.33203125" customWidth="1"/>
  </cols>
  <sheetData>
    <row r="1" spans="1:16" ht="33" customHeight="1" thickBot="1" x14ac:dyDescent="0.35">
      <c r="A1" s="89" t="s">
        <v>0</v>
      </c>
      <c r="B1" s="90" t="s">
        <v>1</v>
      </c>
      <c r="C1" s="106" t="s">
        <v>2</v>
      </c>
      <c r="D1" s="106" t="s">
        <v>3</v>
      </c>
      <c r="E1" s="106" t="s">
        <v>4</v>
      </c>
      <c r="F1" s="106" t="s">
        <v>5</v>
      </c>
      <c r="G1" s="106" t="s">
        <v>6</v>
      </c>
      <c r="H1" s="106" t="s">
        <v>7</v>
      </c>
      <c r="I1" s="106" t="s">
        <v>8</v>
      </c>
      <c r="J1" s="106" t="s">
        <v>9</v>
      </c>
      <c r="K1" s="106" t="s">
        <v>10</v>
      </c>
      <c r="L1" s="106" t="s">
        <v>11</v>
      </c>
      <c r="M1" s="106" t="s">
        <v>12</v>
      </c>
      <c r="N1" s="106" t="s">
        <v>13</v>
      </c>
      <c r="O1" s="106" t="s">
        <v>14</v>
      </c>
      <c r="P1" s="107" t="str">
        <f>'CA brut produits &amp; sites'!P1:P2</f>
        <v>STUDIO GRAPHIQUE</v>
      </c>
    </row>
    <row r="2" spans="1:16" ht="14.7" customHeight="1" x14ac:dyDescent="0.3">
      <c r="A2" s="88">
        <v>41974</v>
      </c>
      <c r="B2" s="145" t="s">
        <v>15</v>
      </c>
      <c r="C2" s="95">
        <f t="shared" ref="C2:C38" si="0">SUM(D2:N2)</f>
        <v>2099212.12</v>
      </c>
      <c r="D2" s="95">
        <f>SUM('CA brut produits &amp; sites'!D4:D15)</f>
        <v>658109.1100000001</v>
      </c>
      <c r="E2" s="95">
        <f>SUM('CA brut produits &amp; sites'!E4:E15)</f>
        <v>149494.46</v>
      </c>
      <c r="F2" s="95">
        <f>SUM('CA brut produits &amp; sites'!F4:F15)</f>
        <v>310980.72000000003</v>
      </c>
      <c r="G2" s="95">
        <f>SUM('CA brut produits &amp; sites'!G4:G15)</f>
        <v>71264.989999999991</v>
      </c>
      <c r="H2" s="95">
        <f>SUM('CA brut produits &amp; sites'!H4:H15)</f>
        <v>23957.250000000004</v>
      </c>
      <c r="I2" s="95">
        <f>SUM('CA brut produits &amp; sites'!I4:I15)</f>
        <v>35564.780000000021</v>
      </c>
      <c r="J2" s="95">
        <f>SUM('CA brut produits &amp; sites'!J4:J15)</f>
        <v>461694</v>
      </c>
      <c r="K2" s="95">
        <f>SUM('CA brut produits &amp; sites'!K4:K15)</f>
        <v>291213.04999999993</v>
      </c>
      <c r="L2" s="95">
        <f>SUM('CA brut produits &amp; sites'!L4:L15)</f>
        <v>43386.820000000007</v>
      </c>
      <c r="M2" s="95">
        <f>SUM('CA brut produits &amp; sites'!M4:M15)</f>
        <v>53546.94</v>
      </c>
      <c r="N2" s="95">
        <f>SUM('CA brut produits &amp; sites'!N4:N15)</f>
        <v>0</v>
      </c>
      <c r="O2" s="95">
        <f>SUM('CA brut produits &amp; sites'!O4:O15)</f>
        <v>0</v>
      </c>
      <c r="P2" s="97">
        <f>SUM('CA brut produits &amp; sites'!P4:P15)</f>
        <v>0</v>
      </c>
    </row>
    <row r="3" spans="1:16" x14ac:dyDescent="0.3">
      <c r="A3" s="87">
        <v>42005</v>
      </c>
      <c r="B3" s="146"/>
      <c r="C3" s="92">
        <f t="shared" si="0"/>
        <v>2124621.21</v>
      </c>
      <c r="D3" s="92">
        <f>SUM('CA brut produits &amp; sites'!D5:D16)</f>
        <v>651203.30000000005</v>
      </c>
      <c r="E3" s="92">
        <f>SUM('CA brut produits &amp; sites'!E5:E16)</f>
        <v>151190.91</v>
      </c>
      <c r="F3" s="92">
        <f>SUM('CA brut produits &amp; sites'!F5:F16)</f>
        <v>310432.63</v>
      </c>
      <c r="G3" s="92">
        <f>SUM('CA brut produits &amp; sites'!G5:G16)</f>
        <v>69985.510000000009</v>
      </c>
      <c r="H3" s="92">
        <f>SUM('CA brut produits &amp; sites'!H5:H16)</f>
        <v>26598.030000000002</v>
      </c>
      <c r="I3" s="92">
        <f>SUM('CA brut produits &amp; sites'!I5:I16)</f>
        <v>35814.690000000024</v>
      </c>
      <c r="J3" s="92">
        <f>SUM('CA brut produits &amp; sites'!J5:J16)</f>
        <v>494911.51</v>
      </c>
      <c r="K3" s="92">
        <f>SUM('CA brut produits &amp; sites'!K5:K16)</f>
        <v>291766.30999999988</v>
      </c>
      <c r="L3" s="92">
        <f>SUM('CA brut produits &amp; sites'!L5:L16)</f>
        <v>40075.369999999995</v>
      </c>
      <c r="M3" s="92">
        <f>SUM('CA brut produits &amp; sites'!M5:M16)</f>
        <v>52642.950000000004</v>
      </c>
      <c r="N3" s="92">
        <f>SUM('CA brut produits &amp; sites'!N5:N16)</f>
        <v>0</v>
      </c>
      <c r="O3" s="92">
        <f>SUM('CA brut produits &amp; sites'!O5:O16)</f>
        <v>0</v>
      </c>
      <c r="P3" s="93">
        <f>SUM('CA brut produits &amp; sites'!P5:P16)</f>
        <v>0</v>
      </c>
    </row>
    <row r="4" spans="1:16" x14ac:dyDescent="0.3">
      <c r="A4" s="87">
        <v>42036</v>
      </c>
      <c r="B4" s="146"/>
      <c r="C4" s="92">
        <f t="shared" si="0"/>
        <v>2137537.3200000003</v>
      </c>
      <c r="D4" s="92">
        <f>SUM('CA brut produits &amp; sites'!D6:D17)</f>
        <v>657637.67000000016</v>
      </c>
      <c r="E4" s="92">
        <f>SUM('CA brut produits &amp; sites'!E6:E17)</f>
        <v>144361.29999999999</v>
      </c>
      <c r="F4" s="92">
        <f>SUM('CA brut produits &amp; sites'!F6:F17)</f>
        <v>307244.21000000002</v>
      </c>
      <c r="G4" s="92">
        <f>SUM('CA brut produits &amp; sites'!G6:G17)</f>
        <v>69433.280000000013</v>
      </c>
      <c r="H4" s="92">
        <f>SUM('CA brut produits &amp; sites'!H6:H17)</f>
        <v>27698.280000000006</v>
      </c>
      <c r="I4" s="92">
        <f>SUM('CA brut produits &amp; sites'!I6:I17)</f>
        <v>36175.760000000017</v>
      </c>
      <c r="J4" s="92">
        <f>SUM('CA brut produits &amp; sites'!J6:J17)</f>
        <v>512921.8600000001</v>
      </c>
      <c r="K4" s="92">
        <f>SUM('CA brut produits &amp; sites'!K6:K17)</f>
        <v>293437.02999999991</v>
      </c>
      <c r="L4" s="92">
        <f>SUM('CA brut produits &amp; sites'!L6:L17)</f>
        <v>33878.17</v>
      </c>
      <c r="M4" s="92">
        <f>SUM('CA brut produits &amp; sites'!M6:M17)</f>
        <v>54749.760000000009</v>
      </c>
      <c r="N4" s="92">
        <f>SUM('CA brut produits &amp; sites'!N6:N17)</f>
        <v>0</v>
      </c>
      <c r="O4" s="92">
        <f>SUM('CA brut produits &amp; sites'!O6:O17)</f>
        <v>0</v>
      </c>
      <c r="P4" s="93">
        <f>SUM('CA brut produits &amp; sites'!P6:P17)</f>
        <v>0</v>
      </c>
    </row>
    <row r="5" spans="1:16" x14ac:dyDescent="0.3">
      <c r="A5" s="87">
        <v>42064</v>
      </c>
      <c r="B5" s="146"/>
      <c r="C5" s="92">
        <f t="shared" si="0"/>
        <v>2119170.36</v>
      </c>
      <c r="D5" s="92">
        <f>SUM('CA brut produits &amp; sites'!D7:D18)</f>
        <v>649331.9600000002</v>
      </c>
      <c r="E5" s="92">
        <f>SUM('CA brut produits &amp; sites'!E7:E18)</f>
        <v>143449.61999999997</v>
      </c>
      <c r="F5" s="92">
        <f>SUM('CA brut produits &amp; sites'!F7:F18)</f>
        <v>302300.33000000007</v>
      </c>
      <c r="G5" s="92">
        <f>SUM('CA brut produits &amp; sites'!G7:G18)</f>
        <v>67373.289999999994</v>
      </c>
      <c r="H5" s="92">
        <f>SUM('CA brut produits &amp; sites'!H7:H18)</f>
        <v>29128.74</v>
      </c>
      <c r="I5" s="92">
        <f>SUM('CA brut produits &amp; sites'!I7:I18)</f>
        <v>37935.970000000016</v>
      </c>
      <c r="J5" s="92">
        <f>SUM('CA brut produits &amp; sites'!J7:J18)</f>
        <v>536275.05000000005</v>
      </c>
      <c r="K5" s="92">
        <f>SUM('CA brut produits &amp; sites'!K7:K18)</f>
        <v>266758.28999999992</v>
      </c>
      <c r="L5" s="92">
        <f>SUM('CA brut produits &amp; sites'!L7:L18)</f>
        <v>31716.270000000004</v>
      </c>
      <c r="M5" s="92">
        <f>SUM('CA brut produits &amp; sites'!M7:M18)</f>
        <v>54900.840000000004</v>
      </c>
      <c r="N5" s="92">
        <f>SUM('CA brut produits &amp; sites'!N7:N18)</f>
        <v>0</v>
      </c>
      <c r="O5" s="92">
        <f>SUM('CA brut produits &amp; sites'!O7:O18)</f>
        <v>0</v>
      </c>
      <c r="P5" s="93">
        <f>SUM('CA brut produits &amp; sites'!P7:P18)</f>
        <v>0</v>
      </c>
    </row>
    <row r="6" spans="1:16" x14ac:dyDescent="0.3">
      <c r="A6" s="87">
        <v>42095</v>
      </c>
      <c r="B6" s="146"/>
      <c r="C6" s="92">
        <f t="shared" si="0"/>
        <v>2128240.5600000005</v>
      </c>
      <c r="D6" s="92">
        <f>SUM('CA brut produits &amp; sites'!D8:D19)</f>
        <v>645150.99000000022</v>
      </c>
      <c r="E6" s="92">
        <f>SUM('CA brut produits &amp; sites'!E8:E19)</f>
        <v>155907.26999999996</v>
      </c>
      <c r="F6" s="92">
        <f>SUM('CA brut produits &amp; sites'!F8:F19)</f>
        <v>289463.36000000004</v>
      </c>
      <c r="G6" s="92">
        <f>SUM('CA brut produits &amp; sites'!G8:G19)</f>
        <v>68489.490000000005</v>
      </c>
      <c r="H6" s="92">
        <f>SUM('CA brut produits &amp; sites'!H8:H19)</f>
        <v>31704.43</v>
      </c>
      <c r="I6" s="92">
        <f>SUM('CA brut produits &amp; sites'!I8:I19)</f>
        <v>31193.540000000012</v>
      </c>
      <c r="J6" s="92">
        <f>SUM('CA brut produits &amp; sites'!J8:J19)</f>
        <v>554001.67000000016</v>
      </c>
      <c r="K6" s="92">
        <f>SUM('CA brut produits &amp; sites'!K8:K19)</f>
        <v>267235.23999999993</v>
      </c>
      <c r="L6" s="92">
        <f>SUM('CA brut produits &amp; sites'!L8:L19)</f>
        <v>32177.919999999998</v>
      </c>
      <c r="M6" s="92">
        <f>SUM('CA brut produits &amp; sites'!M8:M19)</f>
        <v>52916.649999999994</v>
      </c>
      <c r="N6" s="92">
        <f>SUM('CA brut produits &amp; sites'!N8:N19)</f>
        <v>0</v>
      </c>
      <c r="O6" s="92">
        <f>SUM('CA brut produits &amp; sites'!O8:O19)</f>
        <v>0</v>
      </c>
      <c r="P6" s="93">
        <f>SUM('CA brut produits &amp; sites'!P8:P19)</f>
        <v>0</v>
      </c>
    </row>
    <row r="7" spans="1:16" x14ac:dyDescent="0.3">
      <c r="A7" s="87">
        <v>42125</v>
      </c>
      <c r="B7" s="146"/>
      <c r="C7" s="92">
        <f t="shared" si="0"/>
        <v>2108371.8200000003</v>
      </c>
      <c r="D7" s="92">
        <f>SUM('CA brut produits &amp; sites'!D9:D20)</f>
        <v>648435.98000000021</v>
      </c>
      <c r="E7" s="92">
        <f>SUM('CA brut produits &amp; sites'!E9:E20)</f>
        <v>153753.83000000002</v>
      </c>
      <c r="F7" s="92">
        <f>SUM('CA brut produits &amp; sites'!F9:F20)</f>
        <v>289974.28000000003</v>
      </c>
      <c r="G7" s="92">
        <f>SUM('CA brut produits &amp; sites'!G9:G20)</f>
        <v>66317.16</v>
      </c>
      <c r="H7" s="92">
        <f>SUM('CA brut produits &amp; sites'!H9:H20)</f>
        <v>32639.88</v>
      </c>
      <c r="I7" s="92">
        <f>SUM('CA brut produits &amp; sites'!I9:I20)</f>
        <v>21239.680000000004</v>
      </c>
      <c r="J7" s="92">
        <f>SUM('CA brut produits &amp; sites'!J9:J20)</f>
        <v>568233.69000000018</v>
      </c>
      <c r="K7" s="92">
        <f>SUM('CA brut produits &amp; sites'!K9:K20)</f>
        <v>249978.35999999993</v>
      </c>
      <c r="L7" s="92">
        <f>SUM('CA brut produits &amp; sites'!L9:L20)</f>
        <v>31274.11</v>
      </c>
      <c r="M7" s="92">
        <f>SUM('CA brut produits &amp; sites'!M9:M20)</f>
        <v>46524.849999999991</v>
      </c>
      <c r="N7" s="92">
        <f>SUM('CA brut produits &amp; sites'!N9:N20)</f>
        <v>0</v>
      </c>
      <c r="O7" s="92">
        <f>SUM('CA brut produits &amp; sites'!O9:O20)</f>
        <v>0</v>
      </c>
      <c r="P7" s="93">
        <f>SUM('CA brut produits &amp; sites'!P9:P20)</f>
        <v>0</v>
      </c>
    </row>
    <row r="8" spans="1:16" x14ac:dyDescent="0.3">
      <c r="A8" s="87">
        <v>42156</v>
      </c>
      <c r="B8" s="146"/>
      <c r="C8" s="92">
        <f t="shared" si="0"/>
        <v>2166236.0699999998</v>
      </c>
      <c r="D8" s="92">
        <f>SUM('CA brut produits &amp; sites'!D10:D21)</f>
        <v>674819.30000000016</v>
      </c>
      <c r="E8" s="92">
        <f>SUM('CA brut produits &amp; sites'!E10:E21)</f>
        <v>149420.74</v>
      </c>
      <c r="F8" s="92">
        <f>SUM('CA brut produits &amp; sites'!F10:F21)</f>
        <v>301012.91000000003</v>
      </c>
      <c r="G8" s="92">
        <f>SUM('CA brut produits &amp; sites'!G10:G21)</f>
        <v>67535.509999999995</v>
      </c>
      <c r="H8" s="92">
        <f>SUM('CA brut produits &amp; sites'!H10:H21)</f>
        <v>34582.19</v>
      </c>
      <c r="I8" s="92">
        <f>SUM('CA brut produits &amp; sites'!I10:I21)</f>
        <v>14524.779999999999</v>
      </c>
      <c r="J8" s="92">
        <f>SUM('CA brut produits &amp; sites'!J10:J21)</f>
        <v>597358.65</v>
      </c>
      <c r="K8" s="92">
        <f>SUM('CA brut produits &amp; sites'!K10:K21)</f>
        <v>249418.59999999992</v>
      </c>
      <c r="L8" s="92">
        <f>SUM('CA brut produits &amp; sites'!L10:L21)</f>
        <v>32726.37</v>
      </c>
      <c r="M8" s="92">
        <f>SUM('CA brut produits &amp; sites'!M10:M21)</f>
        <v>44837.01999999999</v>
      </c>
      <c r="N8" s="92">
        <f>SUM('CA brut produits &amp; sites'!N10:N21)</f>
        <v>0</v>
      </c>
      <c r="O8" s="92">
        <f>SUM('CA brut produits &amp; sites'!O10:O21)</f>
        <v>0</v>
      </c>
      <c r="P8" s="93">
        <f>SUM('CA brut produits &amp; sites'!P10:P21)</f>
        <v>0</v>
      </c>
    </row>
    <row r="9" spans="1:16" x14ac:dyDescent="0.3">
      <c r="A9" s="87">
        <v>42186</v>
      </c>
      <c r="B9" s="146"/>
      <c r="C9" s="92">
        <f t="shared" si="0"/>
        <v>2190649.54</v>
      </c>
      <c r="D9" s="92">
        <f>SUM('CA brut produits &amp; sites'!D11:D22)</f>
        <v>690984.7300000001</v>
      </c>
      <c r="E9" s="92">
        <f>SUM('CA brut produits &amp; sites'!E11:E22)</f>
        <v>164915.30000000002</v>
      </c>
      <c r="F9" s="92">
        <f>SUM('CA brut produits &amp; sites'!F11:F22)</f>
        <v>300059.48</v>
      </c>
      <c r="G9" s="92">
        <f>SUM('CA brut produits &amp; sites'!G11:G22)</f>
        <v>70256.490000000005</v>
      </c>
      <c r="H9" s="92">
        <f>SUM('CA brut produits &amp; sites'!H11:H22)</f>
        <v>37701.01</v>
      </c>
      <c r="I9" s="92">
        <f>SUM('CA brut produits &amp; sites'!I11:I22)</f>
        <v>17196.949999999997</v>
      </c>
      <c r="J9" s="92">
        <f>SUM('CA brut produits &amp; sites'!J11:J22)</f>
        <v>574812.09</v>
      </c>
      <c r="K9" s="92">
        <f>SUM('CA brut produits &amp; sites'!K11:K22)</f>
        <v>250997.7699999999</v>
      </c>
      <c r="L9" s="92">
        <f>SUM('CA brut produits &amp; sites'!L11:L22)</f>
        <v>36405.42</v>
      </c>
      <c r="M9" s="92">
        <f>SUM('CA brut produits &amp; sites'!M11:M22)</f>
        <v>47320.299999999996</v>
      </c>
      <c r="N9" s="92">
        <f>SUM('CA brut produits &amp; sites'!N11:N22)</f>
        <v>0</v>
      </c>
      <c r="O9" s="92">
        <f>SUM('CA brut produits &amp; sites'!O11:O22)</f>
        <v>0</v>
      </c>
      <c r="P9" s="93">
        <f>SUM('CA brut produits &amp; sites'!P11:P22)</f>
        <v>0</v>
      </c>
    </row>
    <row r="10" spans="1:16" x14ac:dyDescent="0.3">
      <c r="A10" s="87">
        <v>42217</v>
      </c>
      <c r="B10" s="146"/>
      <c r="C10" s="92">
        <f t="shared" si="0"/>
        <v>2173670.15</v>
      </c>
      <c r="D10" s="92">
        <f>SUM('CA brut produits &amp; sites'!D12:D23)</f>
        <v>708467.20000000007</v>
      </c>
      <c r="E10" s="92">
        <f>SUM('CA brut produits &amp; sites'!E12:E23)</f>
        <v>156182.25</v>
      </c>
      <c r="F10" s="92">
        <f>SUM('CA brut produits &amp; sites'!F12:F23)</f>
        <v>311497.68999999994</v>
      </c>
      <c r="G10" s="92">
        <f>SUM('CA brut produits &amp; sites'!G12:G23)</f>
        <v>63168.680000000008</v>
      </c>
      <c r="H10" s="92">
        <f>SUM('CA brut produits &amp; sites'!H12:H23)</f>
        <v>39420.139999999992</v>
      </c>
      <c r="I10" s="92">
        <f>SUM('CA brut produits &amp; sites'!I12:I23)</f>
        <v>18176.82</v>
      </c>
      <c r="J10" s="92">
        <f>SUM('CA brut produits &amp; sites'!J12:J23)</f>
        <v>560375.46</v>
      </c>
      <c r="K10" s="92">
        <f>SUM('CA brut produits &amp; sites'!K12:K23)</f>
        <v>233497.55999999988</v>
      </c>
      <c r="L10" s="92">
        <f>SUM('CA brut produits &amp; sites'!L12:L23)</f>
        <v>37024.870000000003</v>
      </c>
      <c r="M10" s="92">
        <f>SUM('CA brut produits &amp; sites'!M12:M23)</f>
        <v>45859.48</v>
      </c>
      <c r="N10" s="92">
        <f>SUM('CA brut produits &amp; sites'!N12:N23)</f>
        <v>0</v>
      </c>
      <c r="O10" s="92">
        <f>SUM('CA brut produits &amp; sites'!O12:O23)</f>
        <v>0</v>
      </c>
      <c r="P10" s="93">
        <f>SUM('CA brut produits &amp; sites'!P12:P23)</f>
        <v>0</v>
      </c>
    </row>
    <row r="11" spans="1:16" x14ac:dyDescent="0.3">
      <c r="A11" s="87">
        <v>42248</v>
      </c>
      <c r="B11" s="146"/>
      <c r="C11" s="92">
        <f t="shared" si="0"/>
        <v>2190742.2600000002</v>
      </c>
      <c r="D11" s="92">
        <f>SUM('CA brut produits &amp; sites'!D13:D24)</f>
        <v>725325.50000000012</v>
      </c>
      <c r="E11" s="92">
        <f>SUM('CA brut produits &amp; sites'!E13:E24)</f>
        <v>155952.74</v>
      </c>
      <c r="F11" s="92">
        <f>SUM('CA brut produits &amp; sites'!F13:F24)</f>
        <v>322032.92</v>
      </c>
      <c r="G11" s="92">
        <f>SUM('CA brut produits &amp; sites'!G13:G24)</f>
        <v>60829.760000000002</v>
      </c>
      <c r="H11" s="92">
        <f>SUM('CA brut produits &amp; sites'!H13:H24)</f>
        <v>40479.709999999992</v>
      </c>
      <c r="I11" s="92">
        <f>SUM('CA brut produits &amp; sites'!I13:I24)</f>
        <v>24839.969999999998</v>
      </c>
      <c r="J11" s="92">
        <f>SUM('CA brut produits &amp; sites'!J13:J24)</f>
        <v>545953.32000000007</v>
      </c>
      <c r="K11" s="92">
        <f>SUM('CA brut produits &amp; sites'!K13:K24)</f>
        <v>232598.06999999986</v>
      </c>
      <c r="L11" s="92">
        <f>SUM('CA brut produits &amp; sites'!L13:L24)</f>
        <v>38464.650000000009</v>
      </c>
      <c r="M11" s="92">
        <f>SUM('CA brut produits &amp; sites'!M13:M24)</f>
        <v>44265.62</v>
      </c>
      <c r="N11" s="92">
        <f>SUM('CA brut produits &amp; sites'!N13:N24)</f>
        <v>0</v>
      </c>
      <c r="O11" s="92">
        <f>SUM('CA brut produits &amp; sites'!O13:O24)</f>
        <v>0</v>
      </c>
      <c r="P11" s="93">
        <f>SUM('CA brut produits &amp; sites'!P13:P24)</f>
        <v>0</v>
      </c>
    </row>
    <row r="12" spans="1:16" x14ac:dyDescent="0.3">
      <c r="A12" s="87">
        <v>42278</v>
      </c>
      <c r="B12" s="146"/>
      <c r="C12" s="92">
        <f t="shared" si="0"/>
        <v>2189984.1199999996</v>
      </c>
      <c r="D12" s="92">
        <f>SUM('CA brut produits &amp; sites'!D14:D25)</f>
        <v>756943.91000000015</v>
      </c>
      <c r="E12" s="92">
        <f>SUM('CA brut produits &amp; sites'!E14:E25)</f>
        <v>160813.63999999998</v>
      </c>
      <c r="F12" s="92">
        <f>SUM('CA brut produits &amp; sites'!F14:F25)</f>
        <v>306111.50000000006</v>
      </c>
      <c r="G12" s="92">
        <f>SUM('CA brut produits &amp; sites'!G14:G25)</f>
        <v>59574.850000000006</v>
      </c>
      <c r="H12" s="92">
        <f>SUM('CA brut produits &amp; sites'!H14:H25)</f>
        <v>41738.080000000002</v>
      </c>
      <c r="I12" s="92">
        <f>SUM('CA brut produits &amp; sites'!I14:I25)</f>
        <v>30666.889999999996</v>
      </c>
      <c r="J12" s="92">
        <f>SUM('CA brut produits &amp; sites'!J14:J25)</f>
        <v>522173.13999999996</v>
      </c>
      <c r="K12" s="92">
        <f>SUM('CA brut produits &amp; sites'!K14:K25)</f>
        <v>235557.40999999992</v>
      </c>
      <c r="L12" s="92">
        <f>SUM('CA brut produits &amp; sites'!L14:L25)</f>
        <v>32863.129999999997</v>
      </c>
      <c r="M12" s="92">
        <f>SUM('CA brut produits &amp; sites'!M14:M25)</f>
        <v>43541.57</v>
      </c>
      <c r="N12" s="92">
        <f>SUM('CA brut produits &amp; sites'!N14:N25)</f>
        <v>0</v>
      </c>
      <c r="O12" s="92">
        <f>SUM('CA brut produits &amp; sites'!O14:O25)</f>
        <v>0</v>
      </c>
      <c r="P12" s="93">
        <f>SUM('CA brut produits &amp; sites'!P14:P25)</f>
        <v>0</v>
      </c>
    </row>
    <row r="13" spans="1:16" x14ac:dyDescent="0.3">
      <c r="A13" s="87">
        <v>42309</v>
      </c>
      <c r="B13" s="146"/>
      <c r="C13" s="92">
        <f t="shared" si="0"/>
        <v>2184864.7599999998</v>
      </c>
      <c r="D13" s="92">
        <f>SUM('CA brut produits &amp; sites'!D15:D26)</f>
        <v>774487.67000000016</v>
      </c>
      <c r="E13" s="92">
        <f>SUM('CA brut produits &amp; sites'!E15:E26)</f>
        <v>164575.65999999997</v>
      </c>
      <c r="F13" s="92">
        <f>SUM('CA brut produits &amp; sites'!F15:F26)</f>
        <v>311073.36000000004</v>
      </c>
      <c r="G13" s="92">
        <f>SUM('CA brut produits &amp; sites'!G15:G26)</f>
        <v>59899.939999999995</v>
      </c>
      <c r="H13" s="92">
        <f>SUM('CA brut produits &amp; sites'!H15:H26)</f>
        <v>42098.74</v>
      </c>
      <c r="I13" s="92">
        <f>SUM('CA brut produits &amp; sites'!I15:I26)</f>
        <v>26233.48</v>
      </c>
      <c r="J13" s="92">
        <f>SUM('CA brut produits &amp; sites'!J15:J26)</f>
        <v>505926.41</v>
      </c>
      <c r="K13" s="92">
        <f>SUM('CA brut produits &amp; sites'!K15:K26)</f>
        <v>226672.1399999999</v>
      </c>
      <c r="L13" s="92">
        <f>SUM('CA brut produits &amp; sites'!L15:L26)</f>
        <v>32636.53</v>
      </c>
      <c r="M13" s="92">
        <f>SUM('CA brut produits &amp; sites'!M15:M26)</f>
        <v>41057.250000000007</v>
      </c>
      <c r="N13" s="92">
        <f>SUM('CA brut produits &amp; sites'!N15:N26)</f>
        <v>203.58</v>
      </c>
      <c r="O13" s="92">
        <f>SUM('CA brut produits &amp; sites'!O15:O26)</f>
        <v>0</v>
      </c>
      <c r="P13" s="93">
        <f>SUM('CA brut produits &amp; sites'!P15:P26)</f>
        <v>0</v>
      </c>
    </row>
    <row r="14" spans="1:16" x14ac:dyDescent="0.3">
      <c r="A14" s="87">
        <v>42339</v>
      </c>
      <c r="B14" s="146"/>
      <c r="C14" s="92">
        <f t="shared" si="0"/>
        <v>2199115.89</v>
      </c>
      <c r="D14" s="92">
        <f>SUM('CA brut produits &amp; sites'!D16:D27)</f>
        <v>781367.73000000021</v>
      </c>
      <c r="E14" s="92">
        <f>SUM('CA brut produits &amp; sites'!E16:E27)</f>
        <v>164014.85999999996</v>
      </c>
      <c r="F14" s="92">
        <f>SUM('CA brut produits &amp; sites'!F16:F27)</f>
        <v>318102.49</v>
      </c>
      <c r="G14" s="92">
        <f>SUM('CA brut produits &amp; sites'!G16:G27)</f>
        <v>57766.009999999995</v>
      </c>
      <c r="H14" s="92">
        <f>SUM('CA brut produits &amp; sites'!H16:H27)</f>
        <v>40440.170000000006</v>
      </c>
      <c r="I14" s="92">
        <f>SUM('CA brut produits &amp; sites'!I16:I27)</f>
        <v>27062.62</v>
      </c>
      <c r="J14" s="92">
        <f>SUM('CA brut produits &amp; sites'!J16:J27)</f>
        <v>511599.20999999996</v>
      </c>
      <c r="K14" s="92">
        <f>SUM('CA brut produits &amp; sites'!K16:K27)</f>
        <v>223965.12999999995</v>
      </c>
      <c r="L14" s="92">
        <f>SUM('CA brut produits &amp; sites'!L16:L27)</f>
        <v>36739.42</v>
      </c>
      <c r="M14" s="92">
        <f>SUM('CA brut produits &amp; sites'!M16:M27)</f>
        <v>37854.67</v>
      </c>
      <c r="N14" s="92">
        <f>SUM('CA brut produits &amp; sites'!N16:N27)</f>
        <v>203.58</v>
      </c>
      <c r="O14" s="92">
        <f>SUM('CA brut produits &amp; sites'!O16:O27)</f>
        <v>0</v>
      </c>
      <c r="P14" s="93">
        <f>SUM('CA brut produits &amp; sites'!P16:P27)</f>
        <v>0</v>
      </c>
    </row>
    <row r="15" spans="1:16" x14ac:dyDescent="0.3">
      <c r="A15" s="87">
        <v>42370</v>
      </c>
      <c r="B15" s="146"/>
      <c r="C15" s="92">
        <f t="shared" si="0"/>
        <v>2167574.6600000006</v>
      </c>
      <c r="D15" s="92">
        <f>SUM('CA brut produits &amp; sites'!D17:D28)</f>
        <v>781956.8200000003</v>
      </c>
      <c r="E15" s="92">
        <f>SUM('CA brut produits &amp; sites'!E17:E28)</f>
        <v>165315.78999999995</v>
      </c>
      <c r="F15" s="92">
        <f>SUM('CA brut produits &amp; sites'!F17:F28)</f>
        <v>318050.43</v>
      </c>
      <c r="G15" s="92">
        <f>SUM('CA brut produits &amp; sites'!G17:G28)</f>
        <v>55335.82</v>
      </c>
      <c r="H15" s="92">
        <f>SUM('CA brut produits &amp; sites'!H17:H28)</f>
        <v>38417.810000000005</v>
      </c>
      <c r="I15" s="92">
        <f>SUM('CA brut produits &amp; sites'!I17:I28)</f>
        <v>27972.359999999997</v>
      </c>
      <c r="J15" s="92">
        <f>SUM('CA brut produits &amp; sites'!J17:J28)</f>
        <v>480665.42</v>
      </c>
      <c r="K15" s="92">
        <f>SUM('CA brut produits &amp; sites'!K17:K28)</f>
        <v>227016.98999999993</v>
      </c>
      <c r="L15" s="92">
        <f>SUM('CA brut produits &amp; sites'!L17:L28)</f>
        <v>35293.579999999994</v>
      </c>
      <c r="M15" s="92">
        <f>SUM('CA brut produits &amp; sites'!M17:M28)</f>
        <v>37346.06</v>
      </c>
      <c r="N15" s="92">
        <f>SUM('CA brut produits &amp; sites'!N17:N28)</f>
        <v>203.58</v>
      </c>
      <c r="O15" s="92">
        <f>SUM('CA brut produits &amp; sites'!O17:O28)</f>
        <v>0</v>
      </c>
      <c r="P15" s="93">
        <f>SUM('CA brut produits &amp; sites'!P17:P28)</f>
        <v>0</v>
      </c>
    </row>
    <row r="16" spans="1:16" x14ac:dyDescent="0.3">
      <c r="A16" s="87">
        <v>42401</v>
      </c>
      <c r="B16" s="146"/>
      <c r="C16" s="92">
        <f t="shared" si="0"/>
        <v>2156682.5300000003</v>
      </c>
      <c r="D16" s="92">
        <f>SUM('CA brut produits &amp; sites'!D18:D29)</f>
        <v>787165.82000000018</v>
      </c>
      <c r="E16" s="92">
        <f>SUM('CA brut produits &amp; sites'!E18:E29)</f>
        <v>173048.13999999996</v>
      </c>
      <c r="F16" s="92">
        <f>SUM('CA brut produits &amp; sites'!F18:F29)</f>
        <v>322996.21000000002</v>
      </c>
      <c r="G16" s="92">
        <f>SUM('CA brut produits &amp; sites'!G18:G29)</f>
        <v>53063.409999999996</v>
      </c>
      <c r="H16" s="92">
        <f>SUM('CA brut produits &amp; sites'!H18:H29)</f>
        <v>39053.830000000009</v>
      </c>
      <c r="I16" s="92">
        <f>SUM('CA brut produits &amp; sites'!I18:I29)</f>
        <v>27343.389999999996</v>
      </c>
      <c r="J16" s="92">
        <f>SUM('CA brut produits &amp; sites'!J18:J29)</f>
        <v>444283.76999999996</v>
      </c>
      <c r="K16" s="92">
        <f>SUM('CA brut produits &amp; sites'!K18:K29)</f>
        <v>227601.74999999994</v>
      </c>
      <c r="L16" s="92">
        <f>SUM('CA brut produits &amp; sites'!L18:L29)</f>
        <v>40694.92</v>
      </c>
      <c r="M16" s="92">
        <f>SUM('CA brut produits &amp; sites'!M18:M29)</f>
        <v>37518.410000000003</v>
      </c>
      <c r="N16" s="92">
        <f>SUM('CA brut produits &amp; sites'!N18:N29)</f>
        <v>3912.8799999999997</v>
      </c>
      <c r="O16" s="92">
        <f>SUM('CA brut produits &amp; sites'!O18:O29)</f>
        <v>0</v>
      </c>
      <c r="P16" s="93">
        <f>SUM('CA brut produits &amp; sites'!P18:P29)</f>
        <v>0</v>
      </c>
    </row>
    <row r="17" spans="1:16" x14ac:dyDescent="0.3">
      <c r="A17" s="87">
        <v>42430</v>
      </c>
      <c r="B17" s="146"/>
      <c r="C17" s="92">
        <f t="shared" si="0"/>
        <v>2165577.31</v>
      </c>
      <c r="D17" s="92">
        <f>SUM('CA brut produits &amp; sites'!D19:D30)</f>
        <v>820267.7300000001</v>
      </c>
      <c r="E17" s="92">
        <f>SUM('CA brut produits &amp; sites'!E19:E30)</f>
        <v>170911.01</v>
      </c>
      <c r="F17" s="92">
        <f>SUM('CA brut produits &amp; sites'!F19:F30)</f>
        <v>318105.26</v>
      </c>
      <c r="G17" s="92">
        <f>SUM('CA brut produits &amp; sites'!G19:G30)</f>
        <v>51489.319999999992</v>
      </c>
      <c r="H17" s="92">
        <f>SUM('CA brut produits &amp; sites'!H19:H30)</f>
        <v>35297.58</v>
      </c>
      <c r="I17" s="92">
        <f>SUM('CA brut produits &amp; sites'!I19:I30)</f>
        <v>31185.62</v>
      </c>
      <c r="J17" s="92">
        <f>SUM('CA brut produits &amp; sites'!J19:J30)</f>
        <v>411074.24</v>
      </c>
      <c r="K17" s="92">
        <f>SUM('CA brut produits &amp; sites'!K19:K30)</f>
        <v>234178.09999999992</v>
      </c>
      <c r="L17" s="92">
        <f>SUM('CA brut produits &amp; sites'!L19:L30)</f>
        <v>44621.18</v>
      </c>
      <c r="M17" s="92">
        <f>SUM('CA brut produits &amp; sites'!M19:M30)</f>
        <v>43768.25</v>
      </c>
      <c r="N17" s="92">
        <f>SUM('CA brut produits &amp; sites'!N19:N30)</f>
        <v>4679.0199999999995</v>
      </c>
      <c r="O17" s="92">
        <f>SUM('CA brut produits &amp; sites'!O19:O30)</f>
        <v>0</v>
      </c>
      <c r="P17" s="93">
        <f>SUM('CA brut produits &amp; sites'!P19:P30)</f>
        <v>0</v>
      </c>
    </row>
    <row r="18" spans="1:16" x14ac:dyDescent="0.3">
      <c r="A18" s="87">
        <v>42461</v>
      </c>
      <c r="B18" s="146"/>
      <c r="C18" s="92">
        <f t="shared" si="0"/>
        <v>2139535.2199999997</v>
      </c>
      <c r="D18" s="92">
        <f>SUM('CA brut produits &amp; sites'!D20:D31)</f>
        <v>823931.66</v>
      </c>
      <c r="E18" s="92">
        <f>SUM('CA brut produits &amp; sites'!E20:E31)</f>
        <v>162382.49000000002</v>
      </c>
      <c r="F18" s="92">
        <f>SUM('CA brut produits &amp; sites'!F20:F31)</f>
        <v>321365.65000000002</v>
      </c>
      <c r="G18" s="92">
        <f>SUM('CA brut produits &amp; sites'!G20:G31)</f>
        <v>47591.999999999993</v>
      </c>
      <c r="H18" s="92">
        <f>SUM('CA brut produits &amp; sites'!H20:H31)</f>
        <v>33934.100000000006</v>
      </c>
      <c r="I18" s="92">
        <f>SUM('CA brut produits &amp; sites'!I20:I31)</f>
        <v>32180.92</v>
      </c>
      <c r="J18" s="92">
        <f>SUM('CA brut produits &amp; sites'!J20:J31)</f>
        <v>380714.37999999995</v>
      </c>
      <c r="K18" s="92">
        <f>SUM('CA brut produits &amp; sites'!K20:K31)</f>
        <v>234157.78999999995</v>
      </c>
      <c r="L18" s="92">
        <f>SUM('CA brut produits &amp; sites'!L20:L31)</f>
        <v>48034.61</v>
      </c>
      <c r="M18" s="92">
        <f>SUM('CA brut produits &amp; sites'!M20:M31)</f>
        <v>46321.340000000004</v>
      </c>
      <c r="N18" s="92">
        <f>SUM('CA brut produits &amp; sites'!N20:N31)</f>
        <v>8920.2799999999988</v>
      </c>
      <c r="O18" s="92">
        <f>SUM('CA brut produits &amp; sites'!O20:O31)</f>
        <v>0</v>
      </c>
      <c r="P18" s="93">
        <f>SUM('CA brut produits &amp; sites'!P20:P31)</f>
        <v>0</v>
      </c>
    </row>
    <row r="19" spans="1:16" x14ac:dyDescent="0.3">
      <c r="A19" s="87">
        <v>42491</v>
      </c>
      <c r="B19" s="146"/>
      <c r="C19" s="92">
        <f t="shared" si="0"/>
        <v>2194664.92</v>
      </c>
      <c r="D19" s="92">
        <f>SUM('CA brut produits &amp; sites'!D21:D32)</f>
        <v>840511.5</v>
      </c>
      <c r="E19" s="92">
        <f>SUM('CA brut produits &amp; sites'!E21:E32)</f>
        <v>170319.03000000003</v>
      </c>
      <c r="F19" s="92">
        <f>SUM('CA brut produits &amp; sites'!F21:F32)</f>
        <v>334985.29000000004</v>
      </c>
      <c r="G19" s="92">
        <f>SUM('CA brut produits &amp; sites'!G21:G32)</f>
        <v>58063.55999999999</v>
      </c>
      <c r="H19" s="92">
        <f>SUM('CA brut produits &amp; sites'!H21:H32)</f>
        <v>34106.860000000008</v>
      </c>
      <c r="I19" s="92">
        <f>SUM('CA brut produits &amp; sites'!I21:I32)</f>
        <v>33670.42</v>
      </c>
      <c r="J19" s="92">
        <f>SUM('CA brut produits &amp; sites'!J21:J32)</f>
        <v>363781.56000000006</v>
      </c>
      <c r="K19" s="92">
        <f>SUM('CA brut produits &amp; sites'!K21:K32)</f>
        <v>243253.94999999995</v>
      </c>
      <c r="L19" s="92">
        <f>SUM('CA brut produits &amp; sites'!L21:L32)</f>
        <v>51055.25</v>
      </c>
      <c r="M19" s="92">
        <f>SUM('CA brut produits &amp; sites'!M21:M32)</f>
        <v>51901.890000000007</v>
      </c>
      <c r="N19" s="92">
        <f>SUM('CA brut produits &amp; sites'!N21:N32)</f>
        <v>13015.609999999999</v>
      </c>
      <c r="O19" s="92">
        <f>SUM('CA brut produits &amp; sites'!O21:O32)</f>
        <v>0</v>
      </c>
      <c r="P19" s="93">
        <f>SUM('CA brut produits &amp; sites'!P21:P32)</f>
        <v>0</v>
      </c>
    </row>
    <row r="20" spans="1:16" x14ac:dyDescent="0.3">
      <c r="A20" s="87">
        <v>42522</v>
      </c>
      <c r="B20" s="146"/>
      <c r="C20" s="92">
        <f t="shared" si="0"/>
        <v>2180842.14</v>
      </c>
      <c r="D20" s="92">
        <f>SUM('CA brut produits &amp; sites'!D22:D33)</f>
        <v>840794.55</v>
      </c>
      <c r="E20" s="92">
        <f>SUM('CA brut produits &amp; sites'!E22:E33)</f>
        <v>171386.45</v>
      </c>
      <c r="F20" s="92">
        <f>SUM('CA brut produits &amp; sites'!F22:F33)</f>
        <v>339171.89</v>
      </c>
      <c r="G20" s="92">
        <f>SUM('CA brut produits &amp; sites'!G22:G33)</f>
        <v>56727.659999999996</v>
      </c>
      <c r="H20" s="92">
        <f>SUM('CA brut produits &amp; sites'!H22:H33)</f>
        <v>32856</v>
      </c>
      <c r="I20" s="92">
        <f>SUM('CA brut produits &amp; sites'!I22:I33)</f>
        <v>34072.75</v>
      </c>
      <c r="J20" s="92">
        <f>SUM('CA brut produits &amp; sites'!J22:J33)</f>
        <v>341932.31000000006</v>
      </c>
      <c r="K20" s="92">
        <f>SUM('CA brut produits &amp; sites'!K22:K33)</f>
        <v>242381.36999999997</v>
      </c>
      <c r="L20" s="92">
        <f>SUM('CA brut produits &amp; sites'!L22:L33)</f>
        <v>52265.97</v>
      </c>
      <c r="M20" s="92">
        <f>SUM('CA brut produits &amp; sites'!M22:M33)</f>
        <v>56020.98</v>
      </c>
      <c r="N20" s="92">
        <f>SUM('CA brut produits &amp; sites'!N22:N33)</f>
        <v>13232.21</v>
      </c>
      <c r="O20" s="92">
        <f>SUM('CA brut produits &amp; sites'!O22:O33)</f>
        <v>0</v>
      </c>
      <c r="P20" s="93">
        <f>SUM('CA brut produits &amp; sites'!P22:P33)</f>
        <v>0</v>
      </c>
    </row>
    <row r="21" spans="1:16" x14ac:dyDescent="0.3">
      <c r="A21" s="87">
        <v>42552</v>
      </c>
      <c r="B21" s="146"/>
      <c r="C21" s="92">
        <f t="shared" si="0"/>
        <v>2162792.56</v>
      </c>
      <c r="D21" s="92">
        <f>SUM('CA brut produits &amp; sites'!D23:D34)</f>
        <v>804139.48000000021</v>
      </c>
      <c r="E21" s="92">
        <f>SUM('CA brut produits &amp; sites'!E23:E34)</f>
        <v>186382.87000000002</v>
      </c>
      <c r="F21" s="92">
        <f>SUM('CA brut produits &amp; sites'!F23:F34)</f>
        <v>350573.89999999997</v>
      </c>
      <c r="G21" s="92">
        <f>SUM('CA brut produits &amp; sites'!G23:G34)</f>
        <v>54817.98</v>
      </c>
      <c r="H21" s="92">
        <f>SUM('CA brut produits &amp; sites'!H23:H34)</f>
        <v>29997.129999999997</v>
      </c>
      <c r="I21" s="92">
        <f>SUM('CA brut produits &amp; sites'!I23:I34)</f>
        <v>33721.430000000008</v>
      </c>
      <c r="J21" s="92">
        <f>SUM('CA brut produits &amp; sites'!J23:J34)</f>
        <v>338122.82000000007</v>
      </c>
      <c r="K21" s="92">
        <f>SUM('CA brut produits &amp; sites'!K23:K34)</f>
        <v>244929.21999999994</v>
      </c>
      <c r="L21" s="92">
        <f>SUM('CA brut produits &amp; sites'!L23:L34)</f>
        <v>49715.399999999994</v>
      </c>
      <c r="M21" s="92">
        <f>SUM('CA brut produits &amp; sites'!M23:M34)</f>
        <v>57160.119999999995</v>
      </c>
      <c r="N21" s="92">
        <f>SUM('CA brut produits &amp; sites'!N23:N34)</f>
        <v>13232.21</v>
      </c>
      <c r="O21" s="92">
        <f>SUM('CA brut produits &amp; sites'!O23:O34)</f>
        <v>0</v>
      </c>
      <c r="P21" s="93">
        <f>SUM('CA brut produits &amp; sites'!P23:P34)</f>
        <v>0</v>
      </c>
    </row>
    <row r="22" spans="1:16" x14ac:dyDescent="0.3">
      <c r="A22" s="87">
        <v>42583</v>
      </c>
      <c r="B22" s="146"/>
      <c r="C22" s="92">
        <f t="shared" si="0"/>
        <v>2160840.85</v>
      </c>
      <c r="D22" s="92">
        <f>SUM('CA brut produits &amp; sites'!D24:D35)</f>
        <v>793139.73000000021</v>
      </c>
      <c r="E22" s="92">
        <f>SUM('CA brut produits &amp; sites'!E24:E35)</f>
        <v>213140.81000000003</v>
      </c>
      <c r="F22" s="92">
        <f>SUM('CA brut produits &amp; sites'!F24:F35)</f>
        <v>346431.66</v>
      </c>
      <c r="G22" s="92">
        <f>SUM('CA brut produits &amp; sites'!G24:G35)</f>
        <v>56291.79</v>
      </c>
      <c r="H22" s="92">
        <f>SUM('CA brut produits &amp; sites'!H24:H35)</f>
        <v>29114.07</v>
      </c>
      <c r="I22" s="92">
        <f>SUM('CA brut produits &amp; sites'!I24:I35)</f>
        <v>32002.180000000004</v>
      </c>
      <c r="J22" s="92">
        <f>SUM('CA brut produits &amp; sites'!J24:J35)</f>
        <v>317547.68</v>
      </c>
      <c r="K22" s="92">
        <f>SUM('CA brut produits &amp; sites'!K24:K35)</f>
        <v>250312.91999999995</v>
      </c>
      <c r="L22" s="92">
        <f>SUM('CA brut produits &amp; sites'!L24:L35)</f>
        <v>50129.299999999996</v>
      </c>
      <c r="M22" s="92">
        <f>SUM('CA brut produits &amp; sites'!M24:M35)</f>
        <v>59498.500000000007</v>
      </c>
      <c r="N22" s="92">
        <f>SUM('CA brut produits &amp; sites'!N24:N35)</f>
        <v>13232.21</v>
      </c>
      <c r="O22" s="92">
        <f>SUM('CA brut produits &amp; sites'!O24:O35)</f>
        <v>0</v>
      </c>
      <c r="P22" s="93">
        <f>SUM('CA brut produits &amp; sites'!P24:P35)</f>
        <v>0</v>
      </c>
    </row>
    <row r="23" spans="1:16" x14ac:dyDescent="0.3">
      <c r="A23" s="87">
        <v>42614</v>
      </c>
      <c r="B23" s="146"/>
      <c r="C23" s="92">
        <f t="shared" si="0"/>
        <v>2179102.1000000006</v>
      </c>
      <c r="D23" s="92">
        <f>SUM('CA brut produits &amp; sites'!D25:D36)</f>
        <v>800671.49000000022</v>
      </c>
      <c r="E23" s="92">
        <f>SUM('CA brut produits &amp; sites'!E25:E36)</f>
        <v>215882.43000000002</v>
      </c>
      <c r="F23" s="92">
        <f>SUM('CA brut produits &amp; sites'!F25:F36)</f>
        <v>341336.88</v>
      </c>
      <c r="G23" s="92">
        <f>SUM('CA brut produits &amp; sites'!G25:G36)</f>
        <v>57419.490000000005</v>
      </c>
      <c r="H23" s="92">
        <f>SUM('CA brut produits &amp; sites'!H25:H36)</f>
        <v>30450.140000000003</v>
      </c>
      <c r="I23" s="92">
        <f>SUM('CA brut produits &amp; sites'!I25:I36)</f>
        <v>29994</v>
      </c>
      <c r="J23" s="92">
        <f>SUM('CA brut produits &amp; sites'!J25:J36)</f>
        <v>301690.42</v>
      </c>
      <c r="K23" s="92">
        <f>SUM('CA brut produits &amp; sites'!K25:K36)</f>
        <v>260540.5199999999</v>
      </c>
      <c r="L23" s="92">
        <f>SUM('CA brut produits &amp; sites'!L25:L36)</f>
        <v>64204.239999999991</v>
      </c>
      <c r="M23" s="92">
        <f>SUM('CA brut produits &amp; sites'!M25:M36)</f>
        <v>63096.220000000008</v>
      </c>
      <c r="N23" s="92">
        <f>SUM('CA brut produits &amp; sites'!N25:N36)</f>
        <v>13816.269999999999</v>
      </c>
      <c r="O23" s="92">
        <f>SUM('CA brut produits &amp; sites'!O25:O36)</f>
        <v>0</v>
      </c>
      <c r="P23" s="93">
        <f>SUM('CA brut produits &amp; sites'!P25:P36)</f>
        <v>0</v>
      </c>
    </row>
    <row r="24" spans="1:16" x14ac:dyDescent="0.3">
      <c r="A24" s="87">
        <v>42644</v>
      </c>
      <c r="B24" s="146"/>
      <c r="C24" s="92">
        <f t="shared" si="0"/>
        <v>2150425.89</v>
      </c>
      <c r="D24" s="92">
        <f>SUM('CA brut produits &amp; sites'!D26:D37)</f>
        <v>791886.29000000027</v>
      </c>
      <c r="E24" s="92">
        <f>SUM('CA brut produits &amp; sites'!E26:E37)</f>
        <v>206417.72000000003</v>
      </c>
      <c r="F24" s="92">
        <f>SUM('CA brut produits &amp; sites'!F26:F37)</f>
        <v>361180.85</v>
      </c>
      <c r="G24" s="92">
        <f>SUM('CA brut produits &amp; sites'!G26:G37)</f>
        <v>53806.590000000004</v>
      </c>
      <c r="H24" s="92">
        <f>SUM('CA brut produits &amp; sites'!H26:H37)</f>
        <v>29791.899999999998</v>
      </c>
      <c r="I24" s="92">
        <f>SUM('CA brut produits &amp; sites'!I26:I37)</f>
        <v>23118.400000000005</v>
      </c>
      <c r="J24" s="92">
        <f>SUM('CA brut produits &amp; sites'!J26:J37)</f>
        <v>272003.70999999996</v>
      </c>
      <c r="K24" s="92">
        <f>SUM('CA brut produits &amp; sites'!K26:K37)</f>
        <v>268329.34999999986</v>
      </c>
      <c r="L24" s="92">
        <f>SUM('CA brut produits &amp; sites'!L26:L37)</f>
        <v>64196.63</v>
      </c>
      <c r="M24" s="92">
        <f>SUM('CA brut produits &amp; sites'!M26:M37)</f>
        <v>64200.470000000008</v>
      </c>
      <c r="N24" s="92">
        <f>SUM('CA brut produits &amp; sites'!N26:N37)</f>
        <v>15493.98</v>
      </c>
      <c r="O24" s="92">
        <f>SUM('CA brut produits &amp; sites'!O26:O37)</f>
        <v>0</v>
      </c>
      <c r="P24" s="93">
        <f>SUM('CA brut produits &amp; sites'!P26:P37)</f>
        <v>0</v>
      </c>
    </row>
    <row r="25" spans="1:16" x14ac:dyDescent="0.3">
      <c r="A25" s="87">
        <v>42675</v>
      </c>
      <c r="B25" s="146"/>
      <c r="C25" s="92">
        <f t="shared" si="0"/>
        <v>2179418.0100000002</v>
      </c>
      <c r="D25" s="92">
        <f>SUM('CA brut produits &amp; sites'!D27:D38)</f>
        <v>797624.43</v>
      </c>
      <c r="E25" s="92">
        <f>SUM('CA brut produits &amp; sites'!E27:E38)</f>
        <v>198000.09000000005</v>
      </c>
      <c r="F25" s="92">
        <f>SUM('CA brut produits &amp; sites'!F27:F38)</f>
        <v>378567.38</v>
      </c>
      <c r="G25" s="92">
        <f>SUM('CA brut produits &amp; sites'!G27:G38)</f>
        <v>62522.780000000006</v>
      </c>
      <c r="H25" s="92">
        <f>SUM('CA brut produits &amp; sites'!H27:H38)</f>
        <v>30556.58</v>
      </c>
      <c r="I25" s="92">
        <f>SUM('CA brut produits &amp; sites'!I27:I38)</f>
        <v>29792.030000000006</v>
      </c>
      <c r="J25" s="92">
        <f>SUM('CA brut produits &amp; sites'!J27:J38)</f>
        <v>260409.61</v>
      </c>
      <c r="K25" s="92">
        <f>SUM('CA brut produits &amp; sites'!K27:K38)</f>
        <v>272916.52999999991</v>
      </c>
      <c r="L25" s="92">
        <f>SUM('CA brut produits &amp; sites'!L27:L38)</f>
        <v>66266.209999999992</v>
      </c>
      <c r="M25" s="92">
        <f>SUM('CA brut produits &amp; sites'!M27:M38)</f>
        <v>66983.45</v>
      </c>
      <c r="N25" s="92">
        <f>SUM('CA brut produits &amp; sites'!N27:N38)</f>
        <v>15778.919999999998</v>
      </c>
      <c r="O25" s="92">
        <f>SUM('CA brut produits &amp; sites'!O27:O38)</f>
        <v>0</v>
      </c>
      <c r="P25" s="93">
        <f>SUM('CA brut produits &amp; sites'!P27:P38)</f>
        <v>0</v>
      </c>
    </row>
    <row r="26" spans="1:16" x14ac:dyDescent="0.3">
      <c r="A26" s="87">
        <v>42705</v>
      </c>
      <c r="B26" s="146"/>
      <c r="C26" s="92">
        <f t="shared" si="0"/>
        <v>2132627.35</v>
      </c>
      <c r="D26" s="92">
        <f>SUM('CA brut produits &amp; sites'!D28:D39)</f>
        <v>797474.52</v>
      </c>
      <c r="E26" s="92">
        <f>SUM('CA brut produits &amp; sites'!E28:E39)</f>
        <v>193828.85000000003</v>
      </c>
      <c r="F26" s="92">
        <f>SUM('CA brut produits &amp; sites'!F28:F39)</f>
        <v>375546.03</v>
      </c>
      <c r="G26" s="92">
        <f>SUM('CA brut produits &amp; sites'!G28:G39)</f>
        <v>62673.570000000007</v>
      </c>
      <c r="H26" s="92">
        <f>SUM('CA brut produits &amp; sites'!H28:H39)</f>
        <v>40232.950000000004</v>
      </c>
      <c r="I26" s="92">
        <f>SUM('CA brut produits &amp; sites'!I28:I39)</f>
        <v>29313.960000000003</v>
      </c>
      <c r="J26" s="92">
        <f>SUM('CA brut produits &amp; sites'!J28:J39)</f>
        <v>197539.39000000004</v>
      </c>
      <c r="K26" s="92">
        <f>SUM('CA brut produits &amp; sites'!K28:K39)</f>
        <v>281166.00999999989</v>
      </c>
      <c r="L26" s="92">
        <f>SUM('CA brut produits &amp; sites'!L28:L39)</f>
        <v>62744.45</v>
      </c>
      <c r="M26" s="92">
        <f>SUM('CA brut produits &amp; sites'!M28:M39)</f>
        <v>71929.540000000008</v>
      </c>
      <c r="N26" s="92">
        <f>SUM('CA brut produits &amp; sites'!N28:N39)</f>
        <v>20178.079999999998</v>
      </c>
      <c r="O26" s="92">
        <f>SUM('CA brut produits &amp; sites'!O28:O39)</f>
        <v>0</v>
      </c>
      <c r="P26" s="93">
        <f>SUM('CA brut produits &amp; sites'!P28:P39)</f>
        <v>0</v>
      </c>
    </row>
    <row r="27" spans="1:16" x14ac:dyDescent="0.3">
      <c r="A27" s="87">
        <v>42736</v>
      </c>
      <c r="B27" s="146"/>
      <c r="C27" s="92">
        <f t="shared" si="0"/>
        <v>2154059.6</v>
      </c>
      <c r="D27" s="92">
        <f>SUM('CA brut produits &amp; sites'!D29:D40)</f>
        <v>800140.00000000012</v>
      </c>
      <c r="E27" s="92">
        <f>SUM('CA brut produits &amp; sites'!E29:E40)</f>
        <v>193752.98000000004</v>
      </c>
      <c r="F27" s="92">
        <f>SUM('CA brut produits &amp; sites'!F29:F40)</f>
        <v>388909.95</v>
      </c>
      <c r="G27" s="92">
        <f>SUM('CA brut produits &amp; sites'!G29:G40)</f>
        <v>61953.590000000004</v>
      </c>
      <c r="H27" s="92">
        <f>SUM('CA brut produits &amp; sites'!H29:H40)</f>
        <v>41874.160000000003</v>
      </c>
      <c r="I27" s="92">
        <f>SUM('CA brut produits &amp; sites'!I29:I40)</f>
        <v>31464.89</v>
      </c>
      <c r="J27" s="92">
        <f>SUM('CA brut produits &amp; sites'!J29:J40)</f>
        <v>192132.03</v>
      </c>
      <c r="K27" s="92">
        <f>SUM('CA brut produits &amp; sites'!K29:K40)</f>
        <v>274484.33999999991</v>
      </c>
      <c r="L27" s="92">
        <f>SUM('CA brut produits &amp; sites'!L29:L40)</f>
        <v>66257.59</v>
      </c>
      <c r="M27" s="92">
        <f>SUM('CA brut produits &amp; sites'!M29:M40)</f>
        <v>77134.819999999992</v>
      </c>
      <c r="N27" s="92">
        <f>SUM('CA brut produits &amp; sites'!N29:N40)</f>
        <v>25955.25</v>
      </c>
      <c r="O27" s="92">
        <f>SUM('CA brut produits &amp; sites'!O29:O40)</f>
        <v>0</v>
      </c>
      <c r="P27" s="93">
        <f>SUM('CA brut produits &amp; sites'!P29:P40)</f>
        <v>0</v>
      </c>
    </row>
    <row r="28" spans="1:16" x14ac:dyDescent="0.3">
      <c r="A28" s="87">
        <v>42767</v>
      </c>
      <c r="B28" s="146"/>
      <c r="C28" s="92">
        <f t="shared" si="0"/>
        <v>2126066.7200000002</v>
      </c>
      <c r="D28" s="92">
        <f>SUM('CA brut produits &amp; sites'!D30:D41)</f>
        <v>797027.38000000012</v>
      </c>
      <c r="E28" s="92">
        <f>SUM('CA brut produits &amp; sites'!E30:E41)</f>
        <v>181499.37000000005</v>
      </c>
      <c r="F28" s="92">
        <f>SUM('CA brut produits &amp; sites'!F30:F41)</f>
        <v>379954.35</v>
      </c>
      <c r="G28" s="92">
        <f>SUM('CA brut produits &amp; sites'!G30:G41)</f>
        <v>60675.26</v>
      </c>
      <c r="H28" s="92">
        <f>SUM('CA brut produits &amp; sites'!H30:H41)</f>
        <v>44106.87</v>
      </c>
      <c r="I28" s="92">
        <f>SUM('CA brut produits &amp; sites'!I30:I41)</f>
        <v>34355.520000000004</v>
      </c>
      <c r="J28" s="92">
        <f>SUM('CA brut produits &amp; sites'!J30:J41)</f>
        <v>198257.66999999998</v>
      </c>
      <c r="K28" s="92">
        <f>SUM('CA brut produits &amp; sites'!K30:K41)</f>
        <v>270906.90999999992</v>
      </c>
      <c r="L28" s="92">
        <f>SUM('CA brut produits &amp; sites'!L30:L41)</f>
        <v>62179.619999999995</v>
      </c>
      <c r="M28" s="92">
        <f>SUM('CA brut produits &amp; sites'!M30:M41)</f>
        <v>74620.989999999991</v>
      </c>
      <c r="N28" s="92">
        <f>SUM('CA brut produits &amp; sites'!N30:N41)</f>
        <v>22482.78</v>
      </c>
      <c r="O28" s="92">
        <f>SUM('CA brut produits &amp; sites'!O30:O41)</f>
        <v>0</v>
      </c>
      <c r="P28" s="93">
        <f>SUM('CA brut produits &amp; sites'!P30:P41)</f>
        <v>0</v>
      </c>
    </row>
    <row r="29" spans="1:16" x14ac:dyDescent="0.3">
      <c r="A29" s="87">
        <v>42795</v>
      </c>
      <c r="B29" s="146"/>
      <c r="C29" s="92">
        <f t="shared" si="0"/>
        <v>2170033.1</v>
      </c>
      <c r="D29" s="92">
        <f>SUM('CA brut produits &amp; sites'!D31:D42)</f>
        <v>817664.63000000012</v>
      </c>
      <c r="E29" s="92">
        <f>SUM('CA brut produits &amp; sites'!E31:E42)</f>
        <v>179566.18000000002</v>
      </c>
      <c r="F29" s="92">
        <f>SUM('CA brut produits &amp; sites'!F31:F42)</f>
        <v>404925.8600000001</v>
      </c>
      <c r="G29" s="92">
        <f>SUM('CA brut produits &amp; sites'!G31:G42)</f>
        <v>62268.890000000007</v>
      </c>
      <c r="H29" s="92">
        <f>SUM('CA brut produits &amp; sites'!H31:H42)</f>
        <v>49796.01</v>
      </c>
      <c r="I29" s="92">
        <f>SUM('CA brut produits &amp; sites'!I31:I42)</f>
        <v>45719.53</v>
      </c>
      <c r="J29" s="92">
        <f>SUM('CA brut produits &amp; sites'!J31:J42)</f>
        <v>185110.25</v>
      </c>
      <c r="K29" s="92">
        <f>SUM('CA brut produits &amp; sites'!K31:K42)</f>
        <v>269261.40999999992</v>
      </c>
      <c r="L29" s="92">
        <f>SUM('CA brut produits &amp; sites'!L31:L42)</f>
        <v>60871.839999999997</v>
      </c>
      <c r="M29" s="92">
        <f>SUM('CA brut produits &amp; sites'!M31:M42)</f>
        <v>71016.12</v>
      </c>
      <c r="N29" s="92">
        <f>SUM('CA brut produits &amp; sites'!N31:N42)</f>
        <v>23832.379999999997</v>
      </c>
      <c r="O29" s="92">
        <f>SUM('CA brut produits &amp; sites'!O31:O42)</f>
        <v>0</v>
      </c>
      <c r="P29" s="93">
        <f>SUM('CA brut produits &amp; sites'!P31:P42)</f>
        <v>0</v>
      </c>
    </row>
    <row r="30" spans="1:16" x14ac:dyDescent="0.3">
      <c r="A30" s="87">
        <v>42826</v>
      </c>
      <c r="B30" s="146"/>
      <c r="C30" s="92">
        <f t="shared" si="0"/>
        <v>2158639</v>
      </c>
      <c r="D30" s="92">
        <f>SUM('CA brut produits &amp; sites'!D32:D43)</f>
        <v>820913.77000000014</v>
      </c>
      <c r="E30" s="92">
        <f>SUM('CA brut produits &amp; sites'!E32:E43)</f>
        <v>177092.88000000003</v>
      </c>
      <c r="F30" s="92">
        <f>SUM('CA brut produits &amp; sites'!F32:F43)</f>
        <v>408549.27000000008</v>
      </c>
      <c r="G30" s="92">
        <f>SUM('CA brut produits &amp; sites'!G32:G43)</f>
        <v>62152.62</v>
      </c>
      <c r="H30" s="92">
        <f>SUM('CA brut produits &amp; sites'!H32:H43)</f>
        <v>52718.94</v>
      </c>
      <c r="I30" s="92">
        <f>SUM('CA brut produits &amp; sites'!I32:I43)</f>
        <v>43972.99</v>
      </c>
      <c r="J30" s="92">
        <f>SUM('CA brut produits &amp; sites'!J32:J43)</f>
        <v>172749.29999999996</v>
      </c>
      <c r="K30" s="92">
        <f>SUM('CA brut produits &amp; sites'!K32:K43)</f>
        <v>267083.04999999993</v>
      </c>
      <c r="L30" s="92">
        <f>SUM('CA brut produits &amp; sites'!L32:L43)</f>
        <v>59135.409999999989</v>
      </c>
      <c r="M30" s="92">
        <f>SUM('CA brut produits &amp; sites'!M32:M43)</f>
        <v>72593.06</v>
      </c>
      <c r="N30" s="92">
        <f>SUM('CA brut produits &amp; sites'!N32:N43)</f>
        <v>21677.710000000003</v>
      </c>
      <c r="O30" s="92">
        <f>SUM('CA brut produits &amp; sites'!O32:O43)</f>
        <v>0</v>
      </c>
      <c r="P30" s="93">
        <f>SUM('CA brut produits &amp; sites'!P32:P43)</f>
        <v>0</v>
      </c>
    </row>
    <row r="31" spans="1:16" x14ac:dyDescent="0.3">
      <c r="A31" s="87">
        <v>42856</v>
      </c>
      <c r="B31" s="146"/>
      <c r="C31" s="92">
        <f t="shared" si="0"/>
        <v>2161978.7499999995</v>
      </c>
      <c r="D31" s="92">
        <f>SUM('CA brut produits &amp; sites'!D33:D44)</f>
        <v>825775.09</v>
      </c>
      <c r="E31" s="92">
        <f>SUM('CA brut produits &amp; sites'!E33:E44)</f>
        <v>176394.10000000003</v>
      </c>
      <c r="F31" s="92">
        <f>SUM('CA brut produits &amp; sites'!F33:F44)</f>
        <v>414379.9</v>
      </c>
      <c r="G31" s="92">
        <f>SUM('CA brut produits &amp; sites'!G33:G44)</f>
        <v>52491.07</v>
      </c>
      <c r="H31" s="92">
        <f>SUM('CA brut produits &amp; sites'!H33:H44)</f>
        <v>56205.03</v>
      </c>
      <c r="I31" s="92">
        <f>SUM('CA brut produits &amp; sites'!I33:I44)</f>
        <v>44978.81</v>
      </c>
      <c r="J31" s="92">
        <f>SUM('CA brut produits &amp; sites'!J33:J44)</f>
        <v>164913.13999999998</v>
      </c>
      <c r="K31" s="92">
        <f>SUM('CA brut produits &amp; sites'!K33:K44)</f>
        <v>271578.64999999991</v>
      </c>
      <c r="L31" s="92">
        <f>SUM('CA brut produits &amp; sites'!L33:L44)</f>
        <v>59400.189999999988</v>
      </c>
      <c r="M31" s="92">
        <f>SUM('CA brut produits &amp; sites'!M33:M44)</f>
        <v>76508.489999999991</v>
      </c>
      <c r="N31" s="92">
        <f>SUM('CA brut produits &amp; sites'!N33:N44)</f>
        <v>19354.28</v>
      </c>
      <c r="O31" s="92">
        <f>SUM('CA brut produits &amp; sites'!O33:O44)</f>
        <v>0</v>
      </c>
      <c r="P31" s="93">
        <f>SUM('CA brut produits &amp; sites'!P33:P44)</f>
        <v>0</v>
      </c>
    </row>
    <row r="32" spans="1:16" x14ac:dyDescent="0.3">
      <c r="A32" s="87">
        <v>42887</v>
      </c>
      <c r="B32" s="146"/>
      <c r="C32" s="92">
        <f t="shared" si="0"/>
        <v>2192248.7799999998</v>
      </c>
      <c r="D32" s="92">
        <f>SUM('CA brut produits &amp; sites'!D34:D45)</f>
        <v>842267.22</v>
      </c>
      <c r="E32" s="92">
        <f>SUM('CA brut produits &amp; sites'!E34:E45)</f>
        <v>182568.13</v>
      </c>
      <c r="F32" s="92">
        <f>SUM('CA brut produits &amp; sites'!F34:F45)</f>
        <v>413466.67999999993</v>
      </c>
      <c r="G32" s="92">
        <f>SUM('CA brut produits &amp; sites'!G34:G45)</f>
        <v>50225.06</v>
      </c>
      <c r="H32" s="92">
        <f>SUM('CA brut produits &amp; sites'!H34:H45)</f>
        <v>59421.57</v>
      </c>
      <c r="I32" s="92">
        <f>SUM('CA brut produits &amp; sites'!I34:I45)</f>
        <v>45792.549999999996</v>
      </c>
      <c r="J32" s="92">
        <f>SUM('CA brut produits &amp; sites'!J34:J45)</f>
        <v>157407.79</v>
      </c>
      <c r="K32" s="92">
        <f>SUM('CA brut produits &amp; sites'!K34:K45)</f>
        <v>285601.38999999996</v>
      </c>
      <c r="L32" s="92">
        <f>SUM('CA brut produits &amp; sites'!L34:L45)</f>
        <v>62004.079999999987</v>
      </c>
      <c r="M32" s="92">
        <f>SUM('CA brut produits &amp; sites'!M34:M45)</f>
        <v>72015.569999999992</v>
      </c>
      <c r="N32" s="92">
        <f>SUM('CA brut produits &amp; sites'!N34:N45)</f>
        <v>21478.74</v>
      </c>
      <c r="O32" s="92">
        <f>SUM('CA brut produits &amp; sites'!O34:O45)</f>
        <v>0</v>
      </c>
      <c r="P32" s="93">
        <f>SUM('CA brut produits &amp; sites'!P34:P45)</f>
        <v>0</v>
      </c>
    </row>
    <row r="33" spans="1:16" x14ac:dyDescent="0.3">
      <c r="A33" s="87">
        <v>42917</v>
      </c>
      <c r="B33" s="146"/>
      <c r="C33" s="92">
        <f t="shared" si="0"/>
        <v>2202048.5500000003</v>
      </c>
      <c r="D33" s="92">
        <f>SUM('CA brut produits &amp; sites'!D35:D46)</f>
        <v>853586.51</v>
      </c>
      <c r="E33" s="92">
        <f>SUM('CA brut produits &amp; sites'!E35:E46)</f>
        <v>183725.64</v>
      </c>
      <c r="F33" s="92">
        <f>SUM('CA brut produits &amp; sites'!F35:F46)</f>
        <v>417546.44999999995</v>
      </c>
      <c r="G33" s="92">
        <f>SUM('CA brut produits &amp; sites'!G35:G46)</f>
        <v>50855.770000000004</v>
      </c>
      <c r="H33" s="92">
        <f>SUM('CA brut produits &amp; sites'!H35:H46)</f>
        <v>59356.060000000005</v>
      </c>
      <c r="I33" s="92">
        <f>SUM('CA brut produits &amp; sites'!I35:I46)</f>
        <v>46142.11</v>
      </c>
      <c r="J33" s="92">
        <f>SUM('CA brut produits &amp; sites'!J35:J46)</f>
        <v>139988.29</v>
      </c>
      <c r="K33" s="92">
        <f>SUM('CA brut produits &amp; sites'!K35:K46)</f>
        <v>294648.14999999991</v>
      </c>
      <c r="L33" s="92">
        <f>SUM('CA brut produits &amp; sites'!L35:L46)</f>
        <v>63679.189999999988</v>
      </c>
      <c r="M33" s="92">
        <f>SUM('CA brut produits &amp; sites'!M35:M46)</f>
        <v>70763.17</v>
      </c>
      <c r="N33" s="92">
        <f>SUM('CA brut produits &amp; sites'!N35:N46)</f>
        <v>21757.210000000003</v>
      </c>
      <c r="O33" s="92">
        <f>SUM('CA brut produits &amp; sites'!O35:O46)</f>
        <v>0</v>
      </c>
      <c r="P33" s="93">
        <f>SUM('CA brut produits &amp; sites'!P35:P46)</f>
        <v>0</v>
      </c>
    </row>
    <row r="34" spans="1:16" x14ac:dyDescent="0.3">
      <c r="A34" s="87">
        <v>42948</v>
      </c>
      <c r="B34" s="146"/>
      <c r="C34" s="92">
        <f t="shared" si="0"/>
        <v>2230824.6999999997</v>
      </c>
      <c r="D34" s="92">
        <f>SUM('CA brut produits &amp; sites'!D36:D47)</f>
        <v>908825.7</v>
      </c>
      <c r="E34" s="92">
        <f>SUM('CA brut produits &amp; sites'!E36:E47)</f>
        <v>158250.06</v>
      </c>
      <c r="F34" s="92">
        <f>SUM('CA brut produits &amp; sites'!F36:F47)</f>
        <v>407944.85000000003</v>
      </c>
      <c r="G34" s="92">
        <f>SUM('CA brut produits &amp; sites'!G36:G47)</f>
        <v>49404.310000000005</v>
      </c>
      <c r="H34" s="92">
        <f>SUM('CA brut produits &amp; sites'!H36:H47)</f>
        <v>61135.260000000009</v>
      </c>
      <c r="I34" s="92">
        <f>SUM('CA brut produits &amp; sites'!I36:I47)</f>
        <v>51737.49</v>
      </c>
      <c r="J34" s="92">
        <f>SUM('CA brut produits &amp; sites'!J36:J47)</f>
        <v>142500.64000000001</v>
      </c>
      <c r="K34" s="92">
        <f>SUM('CA brut produits &amp; sites'!K36:K47)</f>
        <v>294434.15999999992</v>
      </c>
      <c r="L34" s="92">
        <f>SUM('CA brut produits &amp; sites'!L36:L47)</f>
        <v>63294.869999999981</v>
      </c>
      <c r="M34" s="92">
        <f>SUM('CA brut produits &amp; sites'!M36:M47)</f>
        <v>71104.010000000009</v>
      </c>
      <c r="N34" s="92">
        <f>SUM('CA brut produits &amp; sites'!N36:N47)</f>
        <v>22193.350000000002</v>
      </c>
      <c r="O34" s="92">
        <f>SUM('CA brut produits &amp; sites'!O36:O47)</f>
        <v>0</v>
      </c>
      <c r="P34" s="93">
        <f>SUM('CA brut produits &amp; sites'!P36:P47)</f>
        <v>0</v>
      </c>
    </row>
    <row r="35" spans="1:16" x14ac:dyDescent="0.3">
      <c r="A35" s="87">
        <v>42979</v>
      </c>
      <c r="B35" s="146"/>
      <c r="C35" s="92">
        <f t="shared" si="0"/>
        <v>2203862.8199999998</v>
      </c>
      <c r="D35" s="92">
        <f>SUM('CA brut produits &amp; sites'!D37:D48)</f>
        <v>925692.64000000013</v>
      </c>
      <c r="E35" s="92">
        <f>SUM('CA brut produits &amp; sites'!E37:E48)</f>
        <v>150844.06000000003</v>
      </c>
      <c r="F35" s="92">
        <f>SUM('CA brut produits &amp; sites'!F37:F48)</f>
        <v>394489.63999999996</v>
      </c>
      <c r="G35" s="92">
        <f>SUM('CA brut produits &amp; sites'!G37:G48)</f>
        <v>47901.1</v>
      </c>
      <c r="H35" s="92">
        <f>SUM('CA brut produits &amp; sites'!H37:H48)</f>
        <v>60591.170000000013</v>
      </c>
      <c r="I35" s="92">
        <f>SUM('CA brut produits &amp; sites'!I37:I48)</f>
        <v>51392.12</v>
      </c>
      <c r="J35" s="92">
        <f>SUM('CA brut produits &amp; sites'!J37:J48)</f>
        <v>118229.42</v>
      </c>
      <c r="K35" s="92">
        <f>SUM('CA brut produits &amp; sites'!K37:K48)</f>
        <v>297355.94999999995</v>
      </c>
      <c r="L35" s="92">
        <f>SUM('CA brut produits &amp; sites'!L37:L48)</f>
        <v>62179.069999999992</v>
      </c>
      <c r="M35" s="92">
        <f>SUM('CA brut produits &amp; sites'!M37:M48)</f>
        <v>72583.13</v>
      </c>
      <c r="N35" s="92">
        <f>SUM('CA brut produits &amp; sites'!N37:N48)</f>
        <v>22604.520000000004</v>
      </c>
      <c r="O35" s="92">
        <f>SUM('CA brut produits &amp; sites'!O37:O48)</f>
        <v>0</v>
      </c>
      <c r="P35" s="93">
        <f>SUM('CA brut produits &amp; sites'!P37:P48)</f>
        <v>0</v>
      </c>
    </row>
    <row r="36" spans="1:16" x14ac:dyDescent="0.3">
      <c r="A36" s="87">
        <v>43009</v>
      </c>
      <c r="B36" s="146"/>
      <c r="C36" s="92">
        <f t="shared" si="0"/>
        <v>2211199.6900000004</v>
      </c>
      <c r="D36" s="92">
        <f>SUM('CA brut produits &amp; sites'!D38:D49)</f>
        <v>918782.76</v>
      </c>
      <c r="E36" s="92">
        <f>SUM('CA brut produits &amp; sites'!E38:E49)</f>
        <v>144253.38</v>
      </c>
      <c r="F36" s="92">
        <f>SUM('CA brut produits &amp; sites'!F38:F49)</f>
        <v>398142</v>
      </c>
      <c r="G36" s="92">
        <f>SUM('CA brut produits &amp; sites'!G38:G49)</f>
        <v>48981.62</v>
      </c>
      <c r="H36" s="92">
        <f>SUM('CA brut produits &amp; sites'!H38:H49)</f>
        <v>63709.180000000008</v>
      </c>
      <c r="I36" s="92">
        <f>SUM('CA brut produits &amp; sites'!I38:I49)</f>
        <v>58664.32</v>
      </c>
      <c r="J36" s="92">
        <f>SUM('CA brut produits &amp; sites'!J38:J49)</f>
        <v>125503.8</v>
      </c>
      <c r="K36" s="92">
        <f>SUM('CA brut produits &amp; sites'!K38:K49)</f>
        <v>289054.49000000005</v>
      </c>
      <c r="L36" s="92">
        <f>SUM('CA brut produits &amp; sites'!L38:L49)</f>
        <v>65463.039999999994</v>
      </c>
      <c r="M36" s="92">
        <f>SUM('CA brut produits &amp; sites'!M38:M49)</f>
        <v>75481.51999999999</v>
      </c>
      <c r="N36" s="92">
        <f>SUM('CA brut produits &amp; sites'!N38:N49)</f>
        <v>23163.58</v>
      </c>
      <c r="O36" s="92">
        <f>SUM('CA brut produits &amp; sites'!O38:O49)</f>
        <v>0</v>
      </c>
      <c r="P36" s="93">
        <f>SUM('CA brut produits &amp; sites'!P38:P49)</f>
        <v>0</v>
      </c>
    </row>
    <row r="37" spans="1:16" x14ac:dyDescent="0.3">
      <c r="A37" s="87">
        <v>43040</v>
      </c>
      <c r="B37" s="146"/>
      <c r="C37" s="92">
        <f t="shared" si="0"/>
        <v>2262054.5600000005</v>
      </c>
      <c r="D37" s="92">
        <f>SUM('CA brut produits &amp; sites'!D39:D50)</f>
        <v>936710.87000000011</v>
      </c>
      <c r="E37" s="92">
        <f>SUM('CA brut produits &amp; sites'!E39:E50)</f>
        <v>151656.66000000003</v>
      </c>
      <c r="F37" s="92">
        <f>SUM('CA brut produits &amp; sites'!F39:F50)</f>
        <v>386480.91000000003</v>
      </c>
      <c r="G37" s="92">
        <f>SUM('CA brut produits &amp; sites'!G39:G50)</f>
        <v>54495.21</v>
      </c>
      <c r="H37" s="92">
        <f>SUM('CA brut produits &amp; sites'!H39:H50)</f>
        <v>63412.530000000013</v>
      </c>
      <c r="I37" s="92">
        <f>SUM('CA brut produits &amp; sites'!I39:I50)</f>
        <v>57681.74</v>
      </c>
      <c r="J37" s="92">
        <f>SUM('CA brut produits &amp; sites'!J39:J50)</f>
        <v>150135.03</v>
      </c>
      <c r="K37" s="92">
        <f>SUM('CA brut produits &amp; sites'!K39:K50)</f>
        <v>293473.81999999995</v>
      </c>
      <c r="L37" s="92">
        <f>SUM('CA brut produits &amp; sites'!L39:L50)</f>
        <v>64535.42</v>
      </c>
      <c r="M37" s="92">
        <f>SUM('CA brut produits &amp; sites'!M39:M50)</f>
        <v>76549.47</v>
      </c>
      <c r="N37" s="92">
        <f>SUM('CA brut produits &amp; sites'!N39:N50)</f>
        <v>26922.9</v>
      </c>
      <c r="O37" s="92">
        <f>SUM('CA brut produits &amp; sites'!O39:O50)</f>
        <v>0</v>
      </c>
      <c r="P37" s="93">
        <f>SUM('CA brut produits &amp; sites'!P39:P50)</f>
        <v>0</v>
      </c>
    </row>
    <row r="38" spans="1:16" x14ac:dyDescent="0.3">
      <c r="A38" s="87">
        <v>43070</v>
      </c>
      <c r="B38" s="146"/>
      <c r="C38" s="92">
        <f t="shared" si="0"/>
        <v>2291108.17</v>
      </c>
      <c r="D38" s="92">
        <f>SUM('CA brut produits &amp; sites'!D40:D51)</f>
        <v>929838.71000000008</v>
      </c>
      <c r="E38" s="92">
        <f>SUM('CA brut produits &amp; sites'!E40:E51)</f>
        <v>148455.32</v>
      </c>
      <c r="F38" s="92">
        <f>SUM('CA brut produits &amp; sites'!F40:F51)</f>
        <v>417040.47</v>
      </c>
      <c r="G38" s="92">
        <f>SUM('CA brut produits &amp; sites'!G40:G51)</f>
        <v>54650.41</v>
      </c>
      <c r="H38" s="92">
        <f>SUM('CA brut produits &amp; sites'!H40:H51)</f>
        <v>59828.680000000008</v>
      </c>
      <c r="I38" s="92">
        <f>SUM('CA brut produits &amp; sites'!I40:I51)</f>
        <v>62557.59</v>
      </c>
      <c r="J38" s="92">
        <f>SUM('CA brut produits &amp; sites'!J40:J51)</f>
        <v>155580.94999999998</v>
      </c>
      <c r="K38" s="92">
        <f>SUM('CA brut produits &amp; sites'!K40:K51)</f>
        <v>292494.33</v>
      </c>
      <c r="L38" s="92">
        <f>SUM('CA brut produits &amp; sites'!L40:L51)</f>
        <v>65364.290000000008</v>
      </c>
      <c r="M38" s="92">
        <f>SUM('CA brut produits &amp; sites'!M40:M51)</f>
        <v>78030.259999999995</v>
      </c>
      <c r="N38" s="92">
        <f>SUM('CA brut produits &amp; sites'!N40:N51)</f>
        <v>27267.159999999996</v>
      </c>
      <c r="O38" s="92">
        <f>SUM('CA brut produits &amp; sites'!O40:O51)</f>
        <v>0</v>
      </c>
      <c r="P38" s="93">
        <f>SUM('CA brut produits &amp; sites'!P40:P51)</f>
        <v>0</v>
      </c>
    </row>
    <row r="39" spans="1:16" x14ac:dyDescent="0.3">
      <c r="A39" s="87">
        <v>43101</v>
      </c>
      <c r="B39" s="146"/>
      <c r="C39" s="92">
        <f t="shared" ref="C39:C66" si="1">SUM(D39:P39)</f>
        <v>2307358.9399999995</v>
      </c>
      <c r="D39" s="92">
        <f>SUM('CA brut produits &amp; sites'!D41:D52)</f>
        <v>948020.23</v>
      </c>
      <c r="E39" s="92">
        <f>SUM('CA brut produits &amp; sites'!E41:E52)</f>
        <v>147803.18000000002</v>
      </c>
      <c r="F39" s="92">
        <f>SUM('CA brut produits &amp; sites'!F41:F52)</f>
        <v>406888.92</v>
      </c>
      <c r="G39" s="92">
        <f>SUM('CA brut produits &amp; sites'!G41:G52)</f>
        <v>54301.340000000004</v>
      </c>
      <c r="H39" s="92">
        <f>SUM('CA brut produits &amp; sites'!H41:H52)</f>
        <v>61901.04</v>
      </c>
      <c r="I39" s="92">
        <f>SUM('CA brut produits &amp; sites'!I41:I52)</f>
        <v>61289.06</v>
      </c>
      <c r="J39" s="92">
        <f>SUM('CA brut produits &amp; sites'!J41:J52)</f>
        <v>155430.94999999998</v>
      </c>
      <c r="K39" s="92">
        <f>SUM('CA brut produits &amp; sites'!K41:K52)</f>
        <v>310656.13999999996</v>
      </c>
      <c r="L39" s="92">
        <f>SUM('CA brut produits &amp; sites'!L41:L52)</f>
        <v>64588.090000000011</v>
      </c>
      <c r="M39" s="92">
        <f>SUM('CA brut produits &amp; sites'!M41:M52)</f>
        <v>74976.38</v>
      </c>
      <c r="N39" s="92">
        <f>SUM('CA brut produits &amp; sites'!N41:N52)</f>
        <v>23748.609999999997</v>
      </c>
      <c r="O39" s="92">
        <f>SUM('CA brut produits &amp; sites'!O41:O52)</f>
        <v>0</v>
      </c>
      <c r="P39" s="93">
        <f>SUM('CA brut produits &amp; sites'!P41:P52)</f>
        <v>-2245</v>
      </c>
    </row>
    <row r="40" spans="1:16" x14ac:dyDescent="0.3">
      <c r="A40" s="87">
        <v>43132</v>
      </c>
      <c r="B40" s="146"/>
      <c r="C40" s="92">
        <f t="shared" si="1"/>
        <v>2325557.2699999996</v>
      </c>
      <c r="D40" s="92">
        <f>SUM('CA brut produits &amp; sites'!D42:D53)</f>
        <v>971404.25</v>
      </c>
      <c r="E40" s="92">
        <f>SUM('CA brut produits &amp; sites'!E42:E53)</f>
        <v>144034.67000000001</v>
      </c>
      <c r="F40" s="92">
        <f>SUM('CA brut produits &amp; sites'!F42:F53)</f>
        <v>416648.27999999991</v>
      </c>
      <c r="G40" s="92">
        <f>SUM('CA brut produits &amp; sites'!G42:G53)</f>
        <v>54807.600000000006</v>
      </c>
      <c r="H40" s="92">
        <f>SUM('CA brut produits &amp; sites'!H42:H53)</f>
        <v>59888.030000000006</v>
      </c>
      <c r="I40" s="92">
        <f>SUM('CA brut produits &amp; sites'!I42:I53)</f>
        <v>60454.45</v>
      </c>
      <c r="J40" s="92">
        <f>SUM('CA brut produits &amp; sites'!J42:J53)</f>
        <v>136727.18</v>
      </c>
      <c r="K40" s="92">
        <f>SUM('CA brut produits &amp; sites'!K42:K53)</f>
        <v>317078.39</v>
      </c>
      <c r="L40" s="92">
        <f>SUM('CA brut produits &amp; sites'!L42:L53)</f>
        <v>65824.300000000017</v>
      </c>
      <c r="M40" s="92">
        <f>SUM('CA brut produits &amp; sites'!M42:M53)</f>
        <v>77499.650000000009</v>
      </c>
      <c r="N40" s="92">
        <f>SUM('CA brut produits &amp; sites'!N42:N53)</f>
        <v>23105.469999999994</v>
      </c>
      <c r="O40" s="92">
        <f>SUM('CA brut produits &amp; sites'!O42:O53)</f>
        <v>0</v>
      </c>
      <c r="P40" s="93">
        <f>SUM('CA brut produits &amp; sites'!P42:P53)</f>
        <v>-1915</v>
      </c>
    </row>
    <row r="41" spans="1:16" x14ac:dyDescent="0.3">
      <c r="A41" s="87">
        <v>43160</v>
      </c>
      <c r="B41" s="146"/>
      <c r="C41" s="92">
        <f t="shared" si="1"/>
        <v>2293919.79</v>
      </c>
      <c r="D41" s="92">
        <f>SUM('CA brut produits &amp; sites'!D43:D54)</f>
        <v>946684.11999999988</v>
      </c>
      <c r="E41" s="92">
        <f>SUM('CA brut produits &amp; sites'!E43:E54)</f>
        <v>141373.63</v>
      </c>
      <c r="F41" s="92">
        <f>SUM('CA brut produits &amp; sites'!F43:F54)</f>
        <v>403790.51</v>
      </c>
      <c r="G41" s="92">
        <f>SUM('CA brut produits &amp; sites'!G43:G54)</f>
        <v>52813.890000000007</v>
      </c>
      <c r="H41" s="92">
        <f>SUM('CA brut produits &amp; sites'!H43:H54)</f>
        <v>66415.839999999997</v>
      </c>
      <c r="I41" s="92">
        <f>SUM('CA brut produits &amp; sites'!I43:I54)</f>
        <v>47033.259999999995</v>
      </c>
      <c r="J41" s="92">
        <f>SUM('CA brut produits &amp; sites'!J43:J54)</f>
        <v>135426.06</v>
      </c>
      <c r="K41" s="92">
        <f>SUM('CA brut produits &amp; sites'!K43:K54)</f>
        <v>322136.45999999996</v>
      </c>
      <c r="L41" s="92">
        <f>SUM('CA brut produits &amp; sites'!L43:L54)</f>
        <v>70912.160000000003</v>
      </c>
      <c r="M41" s="92">
        <f>SUM('CA brut produits &amp; sites'!M43:M54)</f>
        <v>78988.23</v>
      </c>
      <c r="N41" s="92">
        <f>SUM('CA brut produits &amp; sites'!N43:N54)</f>
        <v>28464.629999999997</v>
      </c>
      <c r="O41" s="92">
        <f>SUM('CA brut produits &amp; sites'!O43:O54)</f>
        <v>0</v>
      </c>
      <c r="P41" s="93">
        <f>SUM('CA brut produits &amp; sites'!P43:P54)</f>
        <v>-119</v>
      </c>
    </row>
    <row r="42" spans="1:16" x14ac:dyDescent="0.3">
      <c r="A42" s="87">
        <v>43191</v>
      </c>
      <c r="B42" s="146"/>
      <c r="C42" s="92">
        <f t="shared" si="1"/>
        <v>2310273.14</v>
      </c>
      <c r="D42" s="92">
        <f>SUM('CA brut produits &amp; sites'!D44:D55)</f>
        <v>948801.89</v>
      </c>
      <c r="E42" s="92">
        <f>SUM('CA brut produits &amp; sites'!E44:E55)</f>
        <v>134648.82</v>
      </c>
      <c r="F42" s="92">
        <f>SUM('CA brut produits &amp; sites'!F44:F55)</f>
        <v>415535.58999999997</v>
      </c>
      <c r="G42" s="92">
        <f>SUM('CA brut produits &amp; sites'!G44:G55)</f>
        <v>52712.11</v>
      </c>
      <c r="H42" s="92">
        <f>SUM('CA brut produits &amp; sites'!H44:H55)</f>
        <v>66845.899999999994</v>
      </c>
      <c r="I42" s="92">
        <f>SUM('CA brut produits &amp; sites'!I44:I55)</f>
        <v>50053.240000000005</v>
      </c>
      <c r="J42" s="92">
        <f>SUM('CA brut produits &amp; sites'!J44:J55)</f>
        <v>135520.76</v>
      </c>
      <c r="K42" s="92">
        <f>SUM('CA brut produits &amp; sites'!K44:K55)</f>
        <v>326126.63</v>
      </c>
      <c r="L42" s="92">
        <f>SUM('CA brut produits &amp; sites'!L44:L55)</f>
        <v>73542.510000000009</v>
      </c>
      <c r="M42" s="92">
        <f>SUM('CA brut produits &amp; sites'!M44:M55)</f>
        <v>77095.209999999992</v>
      </c>
      <c r="N42" s="92">
        <f>SUM('CA brut produits &amp; sites'!N44:N55)</f>
        <v>29159.48</v>
      </c>
      <c r="O42" s="92">
        <f>SUM('CA brut produits &amp; sites'!O44:O55)</f>
        <v>0</v>
      </c>
      <c r="P42" s="93">
        <f>SUM('CA brut produits &amp; sites'!P44:P55)</f>
        <v>231</v>
      </c>
    </row>
    <row r="43" spans="1:16" x14ac:dyDescent="0.3">
      <c r="A43" s="87">
        <v>43221</v>
      </c>
      <c r="B43" s="146"/>
      <c r="C43" s="92">
        <f t="shared" si="1"/>
        <v>2342215.94</v>
      </c>
      <c r="D43" s="92">
        <f>SUM('CA brut produits &amp; sites'!D45:D56)</f>
        <v>938220.82999999984</v>
      </c>
      <c r="E43" s="92">
        <f>SUM('CA brut produits &amp; sites'!E45:E56)</f>
        <v>142793.09</v>
      </c>
      <c r="F43" s="92">
        <f>SUM('CA brut produits &amp; sites'!F45:F56)</f>
        <v>419809.84999999992</v>
      </c>
      <c r="G43" s="92">
        <f>SUM('CA brut produits &amp; sites'!G45:G56)</f>
        <v>51626.560000000005</v>
      </c>
      <c r="H43" s="92">
        <f>SUM('CA brut produits &amp; sites'!H45:H56)</f>
        <v>62524.08</v>
      </c>
      <c r="I43" s="92">
        <f>SUM('CA brut produits &amp; sites'!I45:I56)</f>
        <v>47936.74</v>
      </c>
      <c r="J43" s="92">
        <f>SUM('CA brut produits &amp; sites'!J45:J56)</f>
        <v>164027.96</v>
      </c>
      <c r="K43" s="92">
        <f>SUM('CA brut produits &amp; sites'!K45:K56)</f>
        <v>325601.84999999998</v>
      </c>
      <c r="L43" s="92">
        <f>SUM('CA brut produits &amp; sites'!L45:L56)</f>
        <v>85463.96</v>
      </c>
      <c r="M43" s="92">
        <f>SUM('CA brut produits &amp; sites'!M45:M56)</f>
        <v>75387.94</v>
      </c>
      <c r="N43" s="92">
        <f>SUM('CA brut produits &amp; sites'!N45:N56)</f>
        <v>27857.079999999998</v>
      </c>
      <c r="O43" s="92">
        <f>SUM('CA brut produits &amp; sites'!O45:O56)</f>
        <v>0</v>
      </c>
      <c r="P43" s="93">
        <f>SUM('CA brut produits &amp; sites'!P45:P56)</f>
        <v>966</v>
      </c>
    </row>
    <row r="44" spans="1:16" x14ac:dyDescent="0.3">
      <c r="A44" s="87">
        <v>43252</v>
      </c>
      <c r="B44" s="146"/>
      <c r="C44" s="92">
        <f t="shared" si="1"/>
        <v>2360356.0900000003</v>
      </c>
      <c r="D44" s="92">
        <f>SUM('CA brut produits &amp; sites'!D46:D57)</f>
        <v>971250.52</v>
      </c>
      <c r="E44" s="92">
        <f>SUM('CA brut produits &amp; sites'!E46:E57)</f>
        <v>142962.25</v>
      </c>
      <c r="F44" s="92">
        <f>SUM('CA brut produits &amp; sites'!F46:F57)</f>
        <v>420095.81</v>
      </c>
      <c r="G44" s="92">
        <f>SUM('CA brut produits &amp; sites'!G46:G57)</f>
        <v>50802.950000000012</v>
      </c>
      <c r="H44" s="92">
        <f>SUM('CA brut produits &amp; sites'!H46:H57)</f>
        <v>66217.490000000005</v>
      </c>
      <c r="I44" s="92">
        <f>SUM('CA brut produits &amp; sites'!I46:I57)</f>
        <v>50159.29</v>
      </c>
      <c r="J44" s="92">
        <f>SUM('CA brut produits &amp; sites'!J46:J57)</f>
        <v>141346.03</v>
      </c>
      <c r="K44" s="92">
        <f>SUM('CA brut produits &amp; sites'!K46:K57)</f>
        <v>326062.71000000008</v>
      </c>
      <c r="L44" s="92">
        <f>SUM('CA brut produits &amp; sites'!L46:L57)</f>
        <v>87801.2</v>
      </c>
      <c r="M44" s="92">
        <f>SUM('CA brut produits &amp; sites'!M46:M57)</f>
        <v>75786.150000000009</v>
      </c>
      <c r="N44" s="92">
        <f>SUM('CA brut produits &amp; sites'!N46:N57)</f>
        <v>25780.69</v>
      </c>
      <c r="O44" s="92">
        <f>SUM('CA brut produits &amp; sites'!O46:O57)</f>
        <v>0</v>
      </c>
      <c r="P44" s="93">
        <f>SUM('CA brut produits &amp; sites'!P46:P57)</f>
        <v>2091</v>
      </c>
    </row>
    <row r="45" spans="1:16" x14ac:dyDescent="0.3">
      <c r="A45" s="87">
        <v>43282</v>
      </c>
      <c r="B45" s="146"/>
      <c r="C45" s="92">
        <f t="shared" si="1"/>
        <v>2410683.0400000005</v>
      </c>
      <c r="D45" s="92">
        <f>SUM('CA brut produits &amp; sites'!D47:D58)</f>
        <v>991749.48000000021</v>
      </c>
      <c r="E45" s="92">
        <f>SUM('CA brut produits &amp; sites'!E47:E58)</f>
        <v>111752.31000000001</v>
      </c>
      <c r="F45" s="92">
        <f>SUM('CA brut produits &amp; sites'!F47:F58)</f>
        <v>415008.76</v>
      </c>
      <c r="G45" s="92">
        <f>SUM('CA brut produits &amp; sites'!G47:G58)</f>
        <v>50819.820000000007</v>
      </c>
      <c r="H45" s="92">
        <f>SUM('CA brut produits &amp; sites'!H47:H58)</f>
        <v>102832.04000000001</v>
      </c>
      <c r="I45" s="92">
        <f>SUM('CA brut produits &amp; sites'!I47:I58)</f>
        <v>50081.409999999996</v>
      </c>
      <c r="J45" s="92">
        <f>SUM('CA brut produits &amp; sites'!J47:J58)</f>
        <v>152049.45000000001</v>
      </c>
      <c r="K45" s="92">
        <f>SUM('CA brut produits &amp; sites'!K47:K58)</f>
        <v>331194.01000000007</v>
      </c>
      <c r="L45" s="92">
        <f>SUM('CA brut produits &amp; sites'!L47:L58)</f>
        <v>95090.579999999987</v>
      </c>
      <c r="M45" s="92">
        <f>SUM('CA brut produits &amp; sites'!M47:M58)</f>
        <v>74859.72</v>
      </c>
      <c r="N45" s="92">
        <f>SUM('CA brut produits &amp; sites'!N47:N58)</f>
        <v>33124.649999999994</v>
      </c>
      <c r="O45" s="92">
        <f>SUM('CA brut produits &amp; sites'!O47:O58)</f>
        <v>0</v>
      </c>
      <c r="P45" s="93">
        <f>SUM('CA brut produits &amp; sites'!P47:P58)</f>
        <v>2120.81</v>
      </c>
    </row>
    <row r="46" spans="1:16" x14ac:dyDescent="0.3">
      <c r="A46" s="87">
        <v>43313</v>
      </c>
      <c r="B46" s="146"/>
      <c r="C46" s="92">
        <f t="shared" si="1"/>
        <v>2390395.7600000002</v>
      </c>
      <c r="D46" s="92">
        <f>SUM('CA brut produits &amp; sites'!D48:D59)</f>
        <v>934031.87000000011</v>
      </c>
      <c r="E46" s="92">
        <f>SUM('CA brut produits &amp; sites'!E48:E59)</f>
        <v>124974.82999999999</v>
      </c>
      <c r="F46" s="92">
        <f>SUM('CA brut produits &amp; sites'!F48:F59)</f>
        <v>416385.08999999997</v>
      </c>
      <c r="G46" s="92">
        <f>SUM('CA brut produits &amp; sites'!G48:G59)</f>
        <v>52334.790000000008</v>
      </c>
      <c r="H46" s="92">
        <f>SUM('CA brut produits &amp; sites'!H48:H59)</f>
        <v>102272.69999999998</v>
      </c>
      <c r="I46" s="92">
        <f>SUM('CA brut produits &amp; sites'!I48:I59)</f>
        <v>49820.42</v>
      </c>
      <c r="J46" s="92">
        <f>SUM('CA brut produits &amp; sites'!J48:J59)</f>
        <v>162305.31</v>
      </c>
      <c r="K46" s="92">
        <f>SUM('CA brut produits &amp; sites'!K48:K59)</f>
        <v>329390.10000000009</v>
      </c>
      <c r="L46" s="92">
        <f>SUM('CA brut produits &amp; sites'!L48:L59)</f>
        <v>105293.15</v>
      </c>
      <c r="M46" s="92">
        <f>SUM('CA brut produits &amp; sites'!M48:M59)</f>
        <v>78193.179999999993</v>
      </c>
      <c r="N46" s="92">
        <f>SUM('CA brut produits &amp; sites'!N48:N59)</f>
        <v>32688.51</v>
      </c>
      <c r="O46" s="92">
        <f>SUM('CA brut produits &amp; sites'!O48:O59)</f>
        <v>0</v>
      </c>
      <c r="P46" s="93">
        <f>SUM('CA brut produits &amp; sites'!P48:P59)</f>
        <v>2705.81</v>
      </c>
    </row>
    <row r="47" spans="1:16" x14ac:dyDescent="0.3">
      <c r="A47" s="87">
        <v>43344</v>
      </c>
      <c r="B47" s="146"/>
      <c r="C47" s="92">
        <f t="shared" si="1"/>
        <v>2342078.19</v>
      </c>
      <c r="D47" s="92">
        <f>SUM('CA brut produits &amp; sites'!D49:D60)</f>
        <v>884722.58000000019</v>
      </c>
      <c r="E47" s="92">
        <f>SUM('CA brut produits &amp; sites'!E49:E60)</f>
        <v>128782.79000000001</v>
      </c>
      <c r="F47" s="92">
        <f>SUM('CA brut produits &amp; sites'!F49:F60)</f>
        <v>424405.63999999996</v>
      </c>
      <c r="G47" s="92">
        <f>SUM('CA brut produits &amp; sites'!G49:G60)</f>
        <v>52885.380000000012</v>
      </c>
      <c r="H47" s="92">
        <f>SUM('CA brut produits &amp; sites'!H49:H60)</f>
        <v>102730.62999999999</v>
      </c>
      <c r="I47" s="92">
        <f>SUM('CA brut produits &amp; sites'!I49:I60)</f>
        <v>52401.96</v>
      </c>
      <c r="J47" s="92">
        <f>SUM('CA brut produits &amp; sites'!J49:J60)</f>
        <v>161764.67000000001</v>
      </c>
      <c r="K47" s="92">
        <f>SUM('CA brut produits &amp; sites'!K49:K60)</f>
        <v>319579.20000000007</v>
      </c>
      <c r="L47" s="92">
        <f>SUM('CA brut produits &amp; sites'!L49:L60)</f>
        <v>99532.049999999988</v>
      </c>
      <c r="M47" s="92">
        <f>SUM('CA brut produits &amp; sites'!M49:M60)</f>
        <v>78294.83</v>
      </c>
      <c r="N47" s="92">
        <f>SUM('CA brut produits &amp; sites'!N49:N60)</f>
        <v>34177.65</v>
      </c>
      <c r="O47" s="92">
        <f>SUM('CA brut produits &amp; sites'!O49:O60)</f>
        <v>0</v>
      </c>
      <c r="P47" s="93">
        <f>SUM('CA brut produits &amp; sites'!P49:P60)</f>
        <v>2800.81</v>
      </c>
    </row>
    <row r="48" spans="1:16" x14ac:dyDescent="0.3">
      <c r="A48" s="87">
        <v>43374</v>
      </c>
      <c r="B48" s="146"/>
      <c r="C48" s="92">
        <f t="shared" si="1"/>
        <v>2377861.0300000003</v>
      </c>
      <c r="D48" s="92">
        <f>SUM('CA brut produits &amp; sites'!D50:D61)</f>
        <v>877756.75</v>
      </c>
      <c r="E48" s="92">
        <f>SUM('CA brut produits &amp; sites'!E50:E61)</f>
        <v>127761.62</v>
      </c>
      <c r="F48" s="92">
        <f>SUM('CA brut produits &amp; sites'!F50:F61)</f>
        <v>418299.11</v>
      </c>
      <c r="G48" s="92">
        <f>SUM('CA brut produits &amp; sites'!G50:G61)</f>
        <v>52648.210000000014</v>
      </c>
      <c r="H48" s="92">
        <f>SUM('CA brut produits &amp; sites'!H50:H61)</f>
        <v>105196.32999999999</v>
      </c>
      <c r="I48" s="92">
        <f>SUM('CA brut produits &amp; sites'!I50:I61)</f>
        <v>63131.41</v>
      </c>
      <c r="J48" s="92">
        <f>SUM('CA brut produits &amp; sites'!J50:J61)</f>
        <v>181882.28999999998</v>
      </c>
      <c r="K48" s="92">
        <f>SUM('CA brut produits &amp; sites'!K50:K61)</f>
        <v>326621.02000000008</v>
      </c>
      <c r="L48" s="92">
        <f>SUM('CA brut produits &amp; sites'!L50:L61)</f>
        <v>98962.53</v>
      </c>
      <c r="M48" s="92">
        <f>SUM('CA brut produits &amp; sites'!M50:M61)</f>
        <v>80658</v>
      </c>
      <c r="N48" s="92">
        <f>SUM('CA brut produits &amp; sites'!N50:N61)</f>
        <v>32251.949999999997</v>
      </c>
      <c r="O48" s="92">
        <f>SUM('CA brut produits &amp; sites'!O50:O61)</f>
        <v>0</v>
      </c>
      <c r="P48" s="93">
        <f>SUM('CA brut produits &amp; sites'!P50:P61)</f>
        <v>12691.81</v>
      </c>
    </row>
    <row r="49" spans="1:16" x14ac:dyDescent="0.3">
      <c r="A49" s="87">
        <v>43405</v>
      </c>
      <c r="B49" s="146"/>
      <c r="C49" s="92">
        <f t="shared" si="1"/>
        <v>2415517</v>
      </c>
      <c r="D49" s="92">
        <f>SUM('CA brut produits &amp; sites'!D51:D62)</f>
        <v>846930.02</v>
      </c>
      <c r="E49" s="92">
        <f>SUM('CA brut produits &amp; sites'!E51:E62)</f>
        <v>134863.46</v>
      </c>
      <c r="F49" s="92">
        <f>SUM('CA brut produits &amp; sites'!F51:F62)</f>
        <v>410920.7300000001</v>
      </c>
      <c r="G49" s="92">
        <f>SUM('CA brut produits &amp; sites'!G51:G62)</f>
        <v>37517.24</v>
      </c>
      <c r="H49" s="92">
        <f>SUM('CA brut produits &amp; sites'!H51:H62)</f>
        <v>106003.84999999999</v>
      </c>
      <c r="I49" s="92">
        <f>SUM('CA brut produits &amp; sites'!I51:I62)</f>
        <v>129456.12000000001</v>
      </c>
      <c r="J49" s="92">
        <f>SUM('CA brut produits &amp; sites'!J51:J62)</f>
        <v>149794.22</v>
      </c>
      <c r="K49" s="92">
        <f>SUM('CA brut produits &amp; sites'!K51:K62)</f>
        <v>351539.40000000014</v>
      </c>
      <c r="L49" s="92">
        <f>SUM('CA brut produits &amp; sites'!L51:L62)</f>
        <v>118772.41</v>
      </c>
      <c r="M49" s="92">
        <f>SUM('CA brut produits &amp; sites'!M51:M62)</f>
        <v>83291.17</v>
      </c>
      <c r="N49" s="92">
        <f>SUM('CA brut produits &amp; sites'!N51:N62)</f>
        <v>32976.57</v>
      </c>
      <c r="O49" s="92">
        <f>SUM('CA brut produits &amp; sites'!O51:O62)</f>
        <v>0</v>
      </c>
      <c r="P49" s="93">
        <f>SUM('CA brut produits &amp; sites'!P51:P62)</f>
        <v>13451.81</v>
      </c>
    </row>
    <row r="50" spans="1:16" x14ac:dyDescent="0.3">
      <c r="A50" s="87">
        <v>43435</v>
      </c>
      <c r="B50" s="146"/>
      <c r="C50" s="92">
        <f t="shared" si="1"/>
        <v>2401885.77</v>
      </c>
      <c r="D50" s="92">
        <f>SUM('CA brut produits &amp; sites'!D52:D63)</f>
        <v>851183.46</v>
      </c>
      <c r="E50" s="92">
        <f>SUM('CA brut produits &amp; sites'!E52:E63)</f>
        <v>131654.47</v>
      </c>
      <c r="F50" s="92">
        <f>SUM('CA brut produits &amp; sites'!F52:F63)</f>
        <v>390739.15000000008</v>
      </c>
      <c r="G50" s="92">
        <f>SUM('CA brut produits &amp; sites'!G52:G63)</f>
        <v>36444.339999999997</v>
      </c>
      <c r="H50" s="92">
        <f>SUM('CA brut produits &amp; sites'!H52:H63)</f>
        <v>104001.34999999999</v>
      </c>
      <c r="I50" s="92">
        <f>SUM('CA brut produits &amp; sites'!I52:I63)</f>
        <v>125420.88</v>
      </c>
      <c r="J50" s="92">
        <f>SUM('CA brut produits &amp; sites'!J52:J63)</f>
        <v>139109.49000000002</v>
      </c>
      <c r="K50" s="92">
        <f>SUM('CA brut produits &amp; sites'!K52:K63)</f>
        <v>349654.24999999994</v>
      </c>
      <c r="L50" s="92">
        <f>SUM('CA brut produits &amp; sites'!L52:L63)</f>
        <v>131996.03</v>
      </c>
      <c r="M50" s="92">
        <f>SUM('CA brut produits &amp; sites'!M52:M63)</f>
        <v>85409.36</v>
      </c>
      <c r="N50" s="92">
        <f>SUM('CA brut produits &amp; sites'!N52:N63)</f>
        <v>29575.079999999998</v>
      </c>
      <c r="O50" s="92">
        <f>SUM('CA brut produits &amp; sites'!O52:O63)</f>
        <v>0</v>
      </c>
      <c r="P50" s="93">
        <f>SUM('CA brut produits &amp; sites'!P52:P63)</f>
        <v>26697.91</v>
      </c>
    </row>
    <row r="51" spans="1:16" x14ac:dyDescent="0.3">
      <c r="A51" s="87">
        <v>43466</v>
      </c>
      <c r="B51" s="146"/>
      <c r="C51" s="92">
        <f t="shared" si="1"/>
        <v>2451122.52</v>
      </c>
      <c r="D51" s="92">
        <f>SUM('CA brut produits &amp; sites'!D53:D64)</f>
        <v>843733.87</v>
      </c>
      <c r="E51" s="92">
        <f>SUM('CA brut produits &amp; sites'!E53:E64)</f>
        <v>143206.04999999999</v>
      </c>
      <c r="F51" s="92">
        <f>SUM('CA brut produits &amp; sites'!F53:F64)</f>
        <v>390605.15</v>
      </c>
      <c r="G51" s="92">
        <f>SUM('CA brut produits &amp; sites'!G53:G64)</f>
        <v>38742.479999999996</v>
      </c>
      <c r="H51" s="92">
        <f>SUM('CA brut produits &amp; sites'!H53:H64)</f>
        <v>104977.68999999999</v>
      </c>
      <c r="I51" s="92">
        <f>SUM('CA brut produits &amp; sites'!I53:I64)</f>
        <v>126590.69</v>
      </c>
      <c r="J51" s="92">
        <f>SUM('CA brut produits &amp; sites'!J53:J64)</f>
        <v>144975.44000000003</v>
      </c>
      <c r="K51" s="92">
        <f>SUM('CA brut produits &amp; sites'!K53:K64)</f>
        <v>361763.92999999993</v>
      </c>
      <c r="L51" s="92">
        <f>SUM('CA brut produits &amp; sites'!L53:L64)</f>
        <v>149202.47</v>
      </c>
      <c r="M51" s="92">
        <f>SUM('CA brut produits &amp; sites'!M53:M64)</f>
        <v>90232.2</v>
      </c>
      <c r="N51" s="92">
        <f>SUM('CA brut produits &amp; sites'!N53:N64)</f>
        <v>27580.289999999997</v>
      </c>
      <c r="O51" s="92">
        <f>SUM('CA brut produits &amp; sites'!O53:O64)</f>
        <v>0</v>
      </c>
      <c r="P51" s="93">
        <f>SUM('CA brut produits &amp; sites'!P53:P64)</f>
        <v>29512.260000000002</v>
      </c>
    </row>
    <row r="52" spans="1:16" x14ac:dyDescent="0.3">
      <c r="A52" s="87">
        <v>43497</v>
      </c>
      <c r="B52" s="146"/>
      <c r="C52" s="92">
        <f t="shared" si="1"/>
        <v>2528782.4699999997</v>
      </c>
      <c r="D52" s="92">
        <f>SUM('CA brut produits &amp; sites'!D54:D65)</f>
        <v>852719.15</v>
      </c>
      <c r="E52" s="92">
        <f>SUM('CA brut produits &amp; sites'!E54:E65)</f>
        <v>150486.22999999998</v>
      </c>
      <c r="F52" s="92">
        <f>SUM('CA brut produits &amp; sites'!F54:F65)</f>
        <v>397935.63</v>
      </c>
      <c r="G52" s="92">
        <f>SUM('CA brut produits &amp; sites'!G54:G65)</f>
        <v>39833.78</v>
      </c>
      <c r="H52" s="92">
        <f>SUM('CA brut produits &amp; sites'!H54:H65)</f>
        <v>107612.04999999999</v>
      </c>
      <c r="I52" s="92">
        <f>SUM('CA brut produits &amp; sites'!I54:I65)</f>
        <v>128883.85</v>
      </c>
      <c r="J52" s="92">
        <f>SUM('CA brut produits &amp; sites'!J54:J65)</f>
        <v>152455.31000000003</v>
      </c>
      <c r="K52" s="92">
        <f>SUM('CA brut produits &amp; sites'!K54:K65)</f>
        <v>381079.5</v>
      </c>
      <c r="L52" s="92">
        <f>SUM('CA brut produits &amp; sites'!L54:L65)</f>
        <v>162197.57999999999</v>
      </c>
      <c r="M52" s="92">
        <f>SUM('CA brut produits &amp; sites'!M54:M65)</f>
        <v>97664.320000000007</v>
      </c>
      <c r="N52" s="92">
        <f>SUM('CA brut produits &amp; sites'!N54:N65)</f>
        <v>28216.560000000001</v>
      </c>
      <c r="O52" s="92">
        <f>SUM('CA brut produits &amp; sites'!O54:O65)</f>
        <v>0</v>
      </c>
      <c r="P52" s="93">
        <f>SUM('CA brut produits &amp; sites'!P54:P65)</f>
        <v>29698.51</v>
      </c>
    </row>
    <row r="53" spans="1:16" x14ac:dyDescent="0.3">
      <c r="A53" s="87">
        <v>43525</v>
      </c>
      <c r="B53" s="146"/>
      <c r="C53" s="92">
        <f t="shared" si="1"/>
        <v>2554452.15</v>
      </c>
      <c r="D53" s="92">
        <f>SUM('CA brut produits &amp; sites'!D55:D66)</f>
        <v>876118.48</v>
      </c>
      <c r="E53" s="92">
        <f>SUM('CA brut produits &amp; sites'!E55:E66)</f>
        <v>154023.25999999998</v>
      </c>
      <c r="F53" s="92">
        <f>SUM('CA brut produits &amp; sites'!F55:F66)</f>
        <v>389141.7</v>
      </c>
      <c r="G53" s="92">
        <f>SUM('CA brut produits &amp; sites'!G55:G66)</f>
        <v>47348.86</v>
      </c>
      <c r="H53" s="92">
        <f>SUM('CA brut produits &amp; sites'!H55:H66)</f>
        <v>99625.47</v>
      </c>
      <c r="I53" s="92">
        <f>SUM('CA brut produits &amp; sites'!I55:I66)</f>
        <v>127898.68000000001</v>
      </c>
      <c r="J53" s="92">
        <f>SUM('CA brut produits &amp; sites'!J55:J66)</f>
        <v>153064.89000000001</v>
      </c>
      <c r="K53" s="92">
        <f>SUM('CA brut produits &amp; sites'!K55:K66)</f>
        <v>386354.52</v>
      </c>
      <c r="L53" s="92">
        <f>SUM('CA brut produits &amp; sites'!L55:L66)</f>
        <v>166819.12</v>
      </c>
      <c r="M53" s="92">
        <f>SUM('CA brut produits &amp; sites'!M55:M66)</f>
        <v>101774.95</v>
      </c>
      <c r="N53" s="92">
        <f>SUM('CA brut produits &amp; sites'!N55:N66)</f>
        <v>22750.71</v>
      </c>
      <c r="O53" s="92">
        <f>SUM('CA brut produits &amp; sites'!O55:O66)</f>
        <v>0</v>
      </c>
      <c r="P53" s="93">
        <f>SUM('CA brut produits &amp; sites'!P55:P66)</f>
        <v>29531.51</v>
      </c>
    </row>
    <row r="54" spans="1:16" x14ac:dyDescent="0.3">
      <c r="A54" s="87">
        <v>43556</v>
      </c>
      <c r="B54" s="146"/>
      <c r="C54" s="92">
        <f t="shared" si="1"/>
        <v>2588780.1900000004</v>
      </c>
      <c r="D54" s="92">
        <f>SUM('CA brut produits &amp; sites'!D56:D67)</f>
        <v>874650.38</v>
      </c>
      <c r="E54" s="92">
        <f>SUM('CA brut produits &amp; sites'!E56:E67)</f>
        <v>171477.66999999998</v>
      </c>
      <c r="F54" s="92">
        <f>SUM('CA brut produits &amp; sites'!F56:F67)</f>
        <v>376417.59</v>
      </c>
      <c r="G54" s="92">
        <f>SUM('CA brut produits &amp; sites'!G56:G67)</f>
        <v>48673.039999999994</v>
      </c>
      <c r="H54" s="92">
        <f>SUM('CA brut produits &amp; sites'!H56:H67)</f>
        <v>100824.64000000001</v>
      </c>
      <c r="I54" s="92">
        <f>SUM('CA brut produits &amp; sites'!I56:I67)</f>
        <v>136771.24000000002</v>
      </c>
      <c r="J54" s="92">
        <f>SUM('CA brut produits &amp; sites'!J56:J67)</f>
        <v>148176.34</v>
      </c>
      <c r="K54" s="92">
        <f>SUM('CA brut produits &amp; sites'!K56:K67)</f>
        <v>389753.94999999995</v>
      </c>
      <c r="L54" s="92">
        <f>SUM('CA brut produits &amp; sites'!L56:L67)</f>
        <v>177348.58</v>
      </c>
      <c r="M54" s="92">
        <f>SUM('CA brut produits &amp; sites'!M56:M67)</f>
        <v>110956.17000000001</v>
      </c>
      <c r="N54" s="92">
        <f>SUM('CA brut produits &amp; sites'!N56:N67)</f>
        <v>22779.08</v>
      </c>
      <c r="O54" s="92">
        <f>SUM('CA brut produits &amp; sites'!O56:O67)</f>
        <v>0</v>
      </c>
      <c r="P54" s="93">
        <f>SUM('CA brut produits &amp; sites'!P56:P67)</f>
        <v>30951.51</v>
      </c>
    </row>
    <row r="55" spans="1:16" x14ac:dyDescent="0.3">
      <c r="A55" s="87">
        <v>43586</v>
      </c>
      <c r="B55" s="146"/>
      <c r="C55" s="92">
        <f t="shared" si="1"/>
        <v>2551744.8200000003</v>
      </c>
      <c r="D55" s="92">
        <f>SUM('CA brut produits &amp; sites'!D57:D68)</f>
        <v>868385.55000000016</v>
      </c>
      <c r="E55" s="92">
        <f>SUM('CA brut produits &amp; sites'!E57:E68)</f>
        <v>154802.89999999997</v>
      </c>
      <c r="F55" s="92">
        <f>SUM('CA brut produits &amp; sites'!F57:F68)</f>
        <v>358576.77</v>
      </c>
      <c r="G55" s="92">
        <f>SUM('CA brut produits &amp; sites'!G57:G68)</f>
        <v>48149.710000000006</v>
      </c>
      <c r="H55" s="92">
        <f>SUM('CA brut produits &amp; sites'!H57:H68)</f>
        <v>104825.23000000001</v>
      </c>
      <c r="I55" s="92">
        <f>SUM('CA brut produits &amp; sites'!I57:I68)</f>
        <v>137462.96000000002</v>
      </c>
      <c r="J55" s="92">
        <f>SUM('CA brut produits &amp; sites'!J57:J68)</f>
        <v>144339.26999999999</v>
      </c>
      <c r="K55" s="92">
        <f>SUM('CA brut produits &amp; sites'!K57:K68)</f>
        <v>386061.32999999996</v>
      </c>
      <c r="L55" s="92">
        <f>SUM('CA brut produits &amp; sites'!L57:L68)</f>
        <v>174167.37999999998</v>
      </c>
      <c r="M55" s="92">
        <f>SUM('CA brut produits &amp; sites'!M57:M68)</f>
        <v>117160.22</v>
      </c>
      <c r="N55" s="92">
        <f>SUM('CA brut produits &amp; sites'!N57:N68)</f>
        <v>22551.99</v>
      </c>
      <c r="O55" s="92">
        <f>SUM('CA brut produits &amp; sites'!O57:O68)</f>
        <v>0</v>
      </c>
      <c r="P55" s="93">
        <f>SUM('CA brut produits &amp; sites'!P57:P68)</f>
        <v>35261.509999999995</v>
      </c>
    </row>
    <row r="56" spans="1:16" x14ac:dyDescent="0.3">
      <c r="A56" s="87">
        <v>43617</v>
      </c>
      <c r="B56" s="146"/>
      <c r="C56" s="92">
        <f t="shared" si="1"/>
        <v>2537744.8899999997</v>
      </c>
      <c r="D56" s="92">
        <f>SUM('CA brut produits &amp; sites'!D58:D69)</f>
        <v>804525.73</v>
      </c>
      <c r="E56" s="92">
        <f>SUM('CA brut produits &amp; sites'!E58:E69)</f>
        <v>140579.31000000003</v>
      </c>
      <c r="F56" s="92">
        <f>SUM('CA brut produits &amp; sites'!F58:F69)</f>
        <v>360191.49999999994</v>
      </c>
      <c r="G56" s="92">
        <f>SUM('CA brut produits &amp; sites'!G58:G69)</f>
        <v>50810.820000000007</v>
      </c>
      <c r="H56" s="92">
        <f>SUM('CA brut produits &amp; sites'!H58:H69)</f>
        <v>103618.78</v>
      </c>
      <c r="I56" s="92">
        <f>SUM('CA brut produits &amp; sites'!I58:I69)</f>
        <v>148917.06000000003</v>
      </c>
      <c r="J56" s="92">
        <f>SUM('CA brut produits &amp; sites'!J58:J69)</f>
        <v>166707.96999999997</v>
      </c>
      <c r="K56" s="92">
        <f>SUM('CA brut produits &amp; sites'!K58:K69)</f>
        <v>392283.62999999989</v>
      </c>
      <c r="L56" s="92">
        <f>SUM('CA brut produits &amp; sites'!L58:L69)</f>
        <v>185796.75999999998</v>
      </c>
      <c r="M56" s="92">
        <f>SUM('CA brut produits &amp; sites'!M58:M69)</f>
        <v>127344.62</v>
      </c>
      <c r="N56" s="92">
        <f>SUM('CA brut produits &amp; sites'!N58:N69)</f>
        <v>22541.7</v>
      </c>
      <c r="O56" s="92">
        <f>SUM('CA brut produits &amp; sites'!O58:O69)</f>
        <v>0</v>
      </c>
      <c r="P56" s="93">
        <f>SUM('CA brut produits &amp; sites'!P58:P69)</f>
        <v>34427.009999999995</v>
      </c>
    </row>
    <row r="57" spans="1:16" x14ac:dyDescent="0.3">
      <c r="A57" s="87">
        <v>43647</v>
      </c>
      <c r="B57" s="146"/>
      <c r="C57" s="92">
        <f t="shared" si="1"/>
        <v>2514024.2800000003</v>
      </c>
      <c r="D57" s="92">
        <f>SUM('CA brut produits &amp; sites'!D59:D70)</f>
        <v>779339.65999999992</v>
      </c>
      <c r="E57" s="92">
        <f>SUM('CA brut produits &amp; sites'!E59:E70)</f>
        <v>139350.92000000001</v>
      </c>
      <c r="F57" s="92">
        <f>SUM('CA brut produits &amp; sites'!F59:F70)</f>
        <v>382884.92</v>
      </c>
      <c r="G57" s="92">
        <f>SUM('CA brut produits &amp; sites'!G59:G70)</f>
        <v>53824.23000000001</v>
      </c>
      <c r="H57" s="92">
        <f>SUM('CA brut produits &amp; sites'!H59:H70)</f>
        <v>86052.599999999991</v>
      </c>
      <c r="I57" s="92">
        <f>SUM('CA brut produits &amp; sites'!I59:I70)</f>
        <v>147420.96</v>
      </c>
      <c r="J57" s="92">
        <f>SUM('CA brut produits &amp; sites'!J59:J70)</f>
        <v>172210.32999999996</v>
      </c>
      <c r="K57" s="92">
        <f>SUM('CA brut produits &amp; sites'!K59:K70)</f>
        <v>380790.34999999992</v>
      </c>
      <c r="L57" s="92">
        <f>SUM('CA brut produits &amp; sites'!L59:L70)</f>
        <v>186864.22999999998</v>
      </c>
      <c r="M57" s="92">
        <f>SUM('CA brut produits &amp; sites'!M59:M70)</f>
        <v>133703.90999999997</v>
      </c>
      <c r="N57" s="92">
        <f>SUM('CA brut produits &amp; sites'!N59:N70)</f>
        <v>15852.269999999997</v>
      </c>
      <c r="O57" s="92">
        <f>SUM('CA brut produits &amp; sites'!O59:O70)</f>
        <v>0</v>
      </c>
      <c r="P57" s="93">
        <f>SUM('CA brut produits &amp; sites'!P59:P70)</f>
        <v>35729.899999999994</v>
      </c>
    </row>
    <row r="58" spans="1:16" x14ac:dyDescent="0.3">
      <c r="A58" s="87">
        <v>43678</v>
      </c>
      <c r="B58" s="146"/>
      <c r="C58" s="92">
        <f t="shared" si="1"/>
        <v>2517154.4799999995</v>
      </c>
      <c r="D58" s="92">
        <f>SUM('CA brut produits &amp; sites'!D60:D71)</f>
        <v>769982.32</v>
      </c>
      <c r="E58" s="92">
        <f>SUM('CA brut produits &amp; sites'!E60:E71)</f>
        <v>127919.54</v>
      </c>
      <c r="F58" s="92">
        <f>SUM('CA brut produits &amp; sites'!F60:F71)</f>
        <v>384020.4</v>
      </c>
      <c r="G58" s="92">
        <f>SUM('CA brut produits &amp; sites'!G60:G71)</f>
        <v>52592.46</v>
      </c>
      <c r="H58" s="92">
        <f>SUM('CA brut produits &amp; sites'!H60:H71)</f>
        <v>86352.19</v>
      </c>
      <c r="I58" s="92">
        <f>SUM('CA brut produits &amp; sites'!I60:I71)</f>
        <v>154485.25</v>
      </c>
      <c r="J58" s="92">
        <f>SUM('CA brut produits &amp; sites'!J60:J71)</f>
        <v>170030.56</v>
      </c>
      <c r="K58" s="92">
        <f>SUM('CA brut produits &amp; sites'!K60:K71)</f>
        <v>375567.70999999996</v>
      </c>
      <c r="L58" s="92">
        <f>SUM('CA brut produits &amp; sites'!L60:L71)</f>
        <v>211966.90999999997</v>
      </c>
      <c r="M58" s="92">
        <f>SUM('CA brut produits &amp; sites'!M60:M71)</f>
        <v>131232.57</v>
      </c>
      <c r="N58" s="92">
        <f>SUM('CA brut produits &amp; sites'!N60:N71)</f>
        <v>15852.269999999997</v>
      </c>
      <c r="O58" s="92">
        <f>SUM('CA brut produits &amp; sites'!O60:O71)</f>
        <v>0</v>
      </c>
      <c r="P58" s="93">
        <f>SUM('CA brut produits &amp; sites'!P60:P71)</f>
        <v>37152.299999999996</v>
      </c>
    </row>
    <row r="59" spans="1:16" x14ac:dyDescent="0.3">
      <c r="A59" s="87">
        <v>43709</v>
      </c>
      <c r="B59" s="146"/>
      <c r="C59" s="92">
        <f t="shared" si="1"/>
        <v>2608999.6999999997</v>
      </c>
      <c r="D59" s="92">
        <f>SUM('CA brut produits &amp; sites'!D61:D72)</f>
        <v>816899.67999999993</v>
      </c>
      <c r="E59" s="92">
        <f>SUM('CA brut produits &amp; sites'!E61:E72)</f>
        <v>128937.44</v>
      </c>
      <c r="F59" s="92">
        <f>SUM('CA brut produits &amp; sites'!F61:F72)</f>
        <v>396504.93000000005</v>
      </c>
      <c r="G59" s="92">
        <f>SUM('CA brut produits &amp; sites'!G61:G72)</f>
        <v>48256.189999999995</v>
      </c>
      <c r="H59" s="92">
        <f>SUM('CA brut produits &amp; sites'!H61:H72)</f>
        <v>88974.78</v>
      </c>
      <c r="I59" s="92">
        <f>SUM('CA brut produits &amp; sites'!I61:I72)</f>
        <v>156902.82999999999</v>
      </c>
      <c r="J59" s="92">
        <f>SUM('CA brut produits &amp; sites'!J61:J72)</f>
        <v>175504.01000000004</v>
      </c>
      <c r="K59" s="92">
        <f>SUM('CA brut produits &amp; sites'!K61:K72)</f>
        <v>391097.04</v>
      </c>
      <c r="L59" s="92">
        <f>SUM('CA brut produits &amp; sites'!L61:L72)</f>
        <v>223931.83</v>
      </c>
      <c r="M59" s="92">
        <f>SUM('CA brut produits &amp; sites'!M61:M72)</f>
        <v>130555.77</v>
      </c>
      <c r="N59" s="92">
        <f>SUM('CA brut produits &amp; sites'!N61:N72)</f>
        <v>13367.899999999998</v>
      </c>
      <c r="O59" s="92">
        <f>SUM('CA brut produits &amp; sites'!O61:O72)</f>
        <v>0</v>
      </c>
      <c r="P59" s="93">
        <f>SUM('CA brut produits &amp; sites'!P61:P72)</f>
        <v>38067.299999999996</v>
      </c>
    </row>
    <row r="60" spans="1:16" x14ac:dyDescent="0.3">
      <c r="A60" s="87">
        <v>43739</v>
      </c>
      <c r="B60" s="146"/>
      <c r="C60" s="92">
        <f t="shared" si="1"/>
        <v>2596534.2499999995</v>
      </c>
      <c r="D60" s="92">
        <f>SUM('CA brut produits &amp; sites'!D62:D73)</f>
        <v>835710.19</v>
      </c>
      <c r="E60" s="92">
        <f>SUM('CA brut produits &amp; sites'!E62:E73)</f>
        <v>157935.90000000002</v>
      </c>
      <c r="F60" s="92">
        <f>SUM('CA brut produits &amp; sites'!F62:F73)</f>
        <v>400761.81000000006</v>
      </c>
      <c r="G60" s="92">
        <f>SUM('CA brut produits &amp; sites'!G62:G73)</f>
        <v>49150.229999999996</v>
      </c>
      <c r="H60" s="92">
        <f>SUM('CA brut produits &amp; sites'!H62:H73)</f>
        <v>87260.329999999987</v>
      </c>
      <c r="I60" s="92">
        <f>SUM('CA brut produits &amp; sites'!I62:I73)</f>
        <v>139414.70000000001</v>
      </c>
      <c r="J60" s="92">
        <f>SUM('CA brut produits &amp; sites'!J62:J73)</f>
        <v>142717.69</v>
      </c>
      <c r="K60" s="92">
        <f>SUM('CA brut produits &amp; sites'!K62:K73)</f>
        <v>384295.79</v>
      </c>
      <c r="L60" s="92">
        <f>SUM('CA brut produits &amp; sites'!L62:L73)</f>
        <v>226562.72999999998</v>
      </c>
      <c r="M60" s="92">
        <f>SUM('CA brut produits &amp; sites'!M62:M73)</f>
        <v>130355.75</v>
      </c>
      <c r="N60" s="92">
        <f>SUM('CA brut produits &amp; sites'!N62:N73)</f>
        <v>13056.829999999998</v>
      </c>
      <c r="O60" s="92">
        <f>SUM('CA brut produits &amp; sites'!O62:O73)</f>
        <v>0</v>
      </c>
      <c r="P60" s="93">
        <f>SUM('CA brut produits &amp; sites'!P62:P73)</f>
        <v>29312.300000000003</v>
      </c>
    </row>
    <row r="61" spans="1:16" x14ac:dyDescent="0.3">
      <c r="A61" s="87">
        <v>43770</v>
      </c>
      <c r="B61" s="146"/>
      <c r="C61" s="92">
        <f t="shared" si="1"/>
        <v>2538750.1300000004</v>
      </c>
      <c r="D61" s="92">
        <f>SUM('CA brut produits &amp; sites'!D63:D74)</f>
        <v>848498.23</v>
      </c>
      <c r="E61" s="92">
        <f>SUM('CA brut produits &amp; sites'!E63:E74)</f>
        <v>145308.37</v>
      </c>
      <c r="F61" s="92">
        <f>SUM('CA brut produits &amp; sites'!F63:F74)</f>
        <v>400819.95000000007</v>
      </c>
      <c r="G61" s="92">
        <f>SUM('CA brut produits &amp; sites'!G63:G74)</f>
        <v>51162.99</v>
      </c>
      <c r="H61" s="92">
        <f>SUM('CA brut produits &amp; sites'!H63:H74)</f>
        <v>88498.76</v>
      </c>
      <c r="I61" s="92">
        <f>SUM('CA brut produits &amp; sites'!I63:I74)</f>
        <v>82372.83</v>
      </c>
      <c r="J61" s="92">
        <f>SUM('CA brut produits &amp; sites'!J63:J74)</f>
        <v>141767.69</v>
      </c>
      <c r="K61" s="92">
        <f>SUM('CA brut produits &amp; sites'!K63:K74)</f>
        <v>359909.61</v>
      </c>
      <c r="L61" s="92">
        <f>SUM('CA brut produits &amp; sites'!L63:L74)</f>
        <v>232662.06</v>
      </c>
      <c r="M61" s="92">
        <f>SUM('CA brut produits &amp; sites'!M63:M74)</f>
        <v>135283.64000000001</v>
      </c>
      <c r="N61" s="92">
        <f>SUM('CA brut produits &amp; sites'!N63:N74)</f>
        <v>8204.369999999999</v>
      </c>
      <c r="O61" s="92">
        <f>SUM('CA brut produits &amp; sites'!O63:O74)</f>
        <v>14194.33</v>
      </c>
      <c r="P61" s="93">
        <f>SUM('CA brut produits &amp; sites'!P63:P74)</f>
        <v>30067.300000000003</v>
      </c>
    </row>
    <row r="62" spans="1:16" x14ac:dyDescent="0.3">
      <c r="A62" s="87">
        <v>43800</v>
      </c>
      <c r="B62" s="146"/>
      <c r="C62" s="92">
        <f t="shared" si="1"/>
        <v>2515792.8500000006</v>
      </c>
      <c r="D62" s="92">
        <f>SUM('CA brut produits &amp; sites'!D64:D75)</f>
        <v>840555.03</v>
      </c>
      <c r="E62" s="92">
        <f>SUM('CA brut produits &amp; sites'!E64:E75)</f>
        <v>154276.77000000002</v>
      </c>
      <c r="F62" s="92">
        <f>SUM('CA brut produits &amp; sites'!F64:F75)</f>
        <v>386247.65</v>
      </c>
      <c r="G62" s="92">
        <f>SUM('CA brut produits &amp; sites'!G64:G75)</f>
        <v>50460.829999999994</v>
      </c>
      <c r="H62" s="92">
        <f>SUM('CA brut produits &amp; sites'!H64:H75)</f>
        <v>91570.43</v>
      </c>
      <c r="I62" s="92">
        <f>SUM('CA brut produits &amp; sites'!I64:I75)</f>
        <v>88187.13</v>
      </c>
      <c r="J62" s="92">
        <f>SUM('CA brut produits &amp; sites'!J64:J75)</f>
        <v>141271.62</v>
      </c>
      <c r="K62" s="92">
        <f>SUM('CA brut produits &amp; sites'!K64:K75)</f>
        <v>359704.66000000003</v>
      </c>
      <c r="L62" s="92">
        <f>SUM('CA brut produits &amp; sites'!L64:L75)</f>
        <v>225037.56999999998</v>
      </c>
      <c r="M62" s="92">
        <f>SUM('CA brut produits &amp; sites'!M64:M75)</f>
        <v>132123.42000000001</v>
      </c>
      <c r="N62" s="92">
        <f>SUM('CA brut produits &amp; sites'!N64:N75)</f>
        <v>8242.7099999999991</v>
      </c>
      <c r="O62" s="92">
        <f>SUM('CA brut produits &amp; sites'!O64:O75)</f>
        <v>14194.33</v>
      </c>
      <c r="P62" s="93">
        <f>SUM('CA brut produits &amp; sites'!P64:P75)</f>
        <v>23920.7</v>
      </c>
    </row>
    <row r="63" spans="1:16" x14ac:dyDescent="0.3">
      <c r="A63" s="87">
        <v>43831</v>
      </c>
      <c r="B63" s="146"/>
      <c r="C63" s="92">
        <f t="shared" si="1"/>
        <v>2422519.35</v>
      </c>
      <c r="D63" s="92">
        <f>SUM('CA brut produits &amp; sites'!D65:D76)</f>
        <v>815972.75</v>
      </c>
      <c r="E63" s="92">
        <f>SUM('CA brut produits &amp; sites'!E65:E76)</f>
        <v>137897.53000000003</v>
      </c>
      <c r="F63" s="92">
        <f>SUM('CA brut produits &amp; sites'!F65:F76)</f>
        <v>381149.69000000012</v>
      </c>
      <c r="G63" s="92">
        <f>SUM('CA brut produits &amp; sites'!G65:G76)</f>
        <v>48673.929999999993</v>
      </c>
      <c r="H63" s="92">
        <f>SUM('CA brut produits &amp; sites'!H65:H76)</f>
        <v>90670.799999999988</v>
      </c>
      <c r="I63" s="92">
        <f>SUM('CA brut produits &amp; sites'!I65:I76)</f>
        <v>90551.900000000009</v>
      </c>
      <c r="J63" s="92">
        <f>SUM('CA brut produits &amp; sites'!J65:J76)</f>
        <v>134392.44999999998</v>
      </c>
      <c r="K63" s="92">
        <f>SUM('CA brut produits &amp; sites'!K65:K76)</f>
        <v>330151.28999999998</v>
      </c>
      <c r="L63" s="92">
        <f>SUM('CA brut produits &amp; sites'!L65:L76)</f>
        <v>214639.43999999997</v>
      </c>
      <c r="M63" s="92">
        <f>SUM('CA brut produits &amp; sites'!M65:M76)</f>
        <v>132414.51</v>
      </c>
      <c r="N63" s="92">
        <f>SUM('CA brut produits &amp; sites'!N65:N76)</f>
        <v>7978.8799999999992</v>
      </c>
      <c r="O63" s="92">
        <f>SUM('CA brut produits &amp; sites'!O65:O76)</f>
        <v>14194.33</v>
      </c>
      <c r="P63" s="93">
        <f>SUM('CA brut produits &amp; sites'!P65:P76)</f>
        <v>23831.85</v>
      </c>
    </row>
    <row r="64" spans="1:16" x14ac:dyDescent="0.3">
      <c r="A64" s="87">
        <v>43862</v>
      </c>
      <c r="B64" s="146"/>
      <c r="C64" s="92">
        <f t="shared" si="1"/>
        <v>2424747.7799999998</v>
      </c>
      <c r="D64" s="92">
        <f>SUM('CA brut produits &amp; sites'!D66:D77)</f>
        <v>805742.47</v>
      </c>
      <c r="E64" s="92">
        <f>SUM('CA brut produits &amp; sites'!E66:E77)</f>
        <v>136396.29</v>
      </c>
      <c r="F64" s="92">
        <f>SUM('CA brut produits &amp; sites'!F66:F77)</f>
        <v>393722.43</v>
      </c>
      <c r="G64" s="92">
        <f>SUM('CA brut produits &amp; sites'!G66:G77)</f>
        <v>47226.5</v>
      </c>
      <c r="H64" s="92">
        <f>SUM('CA brut produits &amp; sites'!H66:H77)</f>
        <v>92966.829999999987</v>
      </c>
      <c r="I64" s="92">
        <f>SUM('CA brut produits &amp; sites'!I66:I77)</f>
        <v>90641.590000000011</v>
      </c>
      <c r="J64" s="92">
        <f>SUM('CA brut produits &amp; sites'!J66:J77)</f>
        <v>133631.15</v>
      </c>
      <c r="K64" s="92">
        <f>SUM('CA brut produits &amp; sites'!K66:K77)</f>
        <v>317701.75999999995</v>
      </c>
      <c r="L64" s="92">
        <f>SUM('CA brut produits &amp; sites'!L66:L77)</f>
        <v>207054.58</v>
      </c>
      <c r="M64" s="92">
        <f>SUM('CA brut produits &amp; sites'!M66:M77)</f>
        <v>126815.07</v>
      </c>
      <c r="N64" s="92">
        <f>SUM('CA brut produits &amp; sites'!N66:N77)</f>
        <v>7748.92</v>
      </c>
      <c r="O64" s="92">
        <f>SUM('CA brut produits &amp; sites'!O66:O77)</f>
        <v>39302.089999999997</v>
      </c>
      <c r="P64" s="93">
        <f>SUM('CA brut produits &amp; sites'!P66:P77)</f>
        <v>25798.1</v>
      </c>
    </row>
    <row r="65" spans="1:16" x14ac:dyDescent="0.3">
      <c r="A65" s="87">
        <v>43891</v>
      </c>
      <c r="B65" s="146"/>
      <c r="C65" s="92">
        <f t="shared" si="1"/>
        <v>2281742.1899999995</v>
      </c>
      <c r="D65" s="92">
        <f>SUM('CA brut produits &amp; sites'!D67:D78)</f>
        <v>755574.62999999989</v>
      </c>
      <c r="E65" s="92">
        <f>SUM('CA brut produits &amp; sites'!E67:E78)</f>
        <v>128972.9</v>
      </c>
      <c r="F65" s="92">
        <f>SUM('CA brut produits &amp; sites'!F67:F78)</f>
        <v>390510.50000000006</v>
      </c>
      <c r="G65" s="92">
        <f>SUM('CA brut produits &amp; sites'!G67:G78)</f>
        <v>37743.64</v>
      </c>
      <c r="H65" s="92">
        <f>SUM('CA brut produits &amp; sites'!H67:H78)</f>
        <v>88840.50999999998</v>
      </c>
      <c r="I65" s="92">
        <f>SUM('CA brut produits &amp; sites'!I67:I78)</f>
        <v>88157.150000000009</v>
      </c>
      <c r="J65" s="92">
        <f>SUM('CA brut produits &amp; sites'!J67:J78)</f>
        <v>129909.89</v>
      </c>
      <c r="K65" s="92">
        <f>SUM('CA brut produits &amp; sites'!K67:K78)</f>
        <v>290004.59000000003</v>
      </c>
      <c r="L65" s="92">
        <f>SUM('CA brut produits &amp; sites'!L67:L78)</f>
        <v>197743.95999999996</v>
      </c>
      <c r="M65" s="92">
        <f>SUM('CA brut produits &amp; sites'!M67:M78)</f>
        <v>116923.36000000002</v>
      </c>
      <c r="N65" s="92">
        <f>SUM('CA brut produits &amp; sites'!N67:N78)</f>
        <v>5739.8700000000008</v>
      </c>
      <c r="O65" s="92">
        <f>SUM('CA brut produits &amp; sites'!O67:O78)</f>
        <v>27332.089999999997</v>
      </c>
      <c r="P65" s="93">
        <f>SUM('CA brut produits &amp; sites'!P67:P78)</f>
        <v>24289.1</v>
      </c>
    </row>
    <row r="66" spans="1:16" x14ac:dyDescent="0.3">
      <c r="A66" s="87">
        <v>43922</v>
      </c>
      <c r="B66" s="146"/>
      <c r="C66" s="92">
        <f t="shared" si="1"/>
        <v>2105028.4500000002</v>
      </c>
      <c r="D66" s="92">
        <f>SUM('CA brut produits &amp; sites'!D68:D79)</f>
        <v>714280.94999999984</v>
      </c>
      <c r="E66" s="92">
        <f>SUM('CA brut produits &amp; sites'!E68:E79)</f>
        <v>108274.71</v>
      </c>
      <c r="F66" s="92">
        <f>SUM('CA brut produits &amp; sites'!F68:F79)</f>
        <v>362040.95</v>
      </c>
      <c r="G66" s="92">
        <f>SUM('CA brut produits &amp; sites'!G68:G79)</f>
        <v>33898.799999999996</v>
      </c>
      <c r="H66" s="92">
        <f>SUM('CA brut produits &amp; sites'!H68:H79)</f>
        <v>80887.939999999988</v>
      </c>
      <c r="I66" s="92">
        <f>SUM('CA brut produits &amp; sites'!I68:I79)</f>
        <v>75124.23</v>
      </c>
      <c r="J66" s="92">
        <f>SUM('CA brut produits &amp; sites'!J68:J79)</f>
        <v>127362.73999999999</v>
      </c>
      <c r="K66" s="92">
        <f>SUM('CA brut produits &amp; sites'!K68:K79)</f>
        <v>266076.68000000005</v>
      </c>
      <c r="L66" s="92">
        <f>SUM('CA brut produits &amp; sites'!L68:L79)</f>
        <v>181638</v>
      </c>
      <c r="M66" s="92">
        <f>SUM('CA brut produits &amp; sites'!M68:M79)</f>
        <v>102191.53000000001</v>
      </c>
      <c r="N66" s="92">
        <f>SUM('CA brut produits &amp; sites'!N68:N79)</f>
        <v>3149.81</v>
      </c>
      <c r="O66" s="92">
        <f>SUM('CA brut produits &amp; sites'!O68:O79)</f>
        <v>27583.009999999995</v>
      </c>
      <c r="P66" s="93">
        <f>SUM('CA brut produits &amp; sites'!P68:P79)</f>
        <v>22519.1</v>
      </c>
    </row>
    <row r="67" spans="1:16" x14ac:dyDescent="0.3">
      <c r="A67" s="87">
        <v>43952</v>
      </c>
      <c r="B67" s="146"/>
      <c r="C67" s="92">
        <f t="shared" ref="C67" si="2">SUM(D67:P67)</f>
        <v>1997486.7900000005</v>
      </c>
      <c r="D67" s="92">
        <f>SUM('CA brut produits &amp; sites'!D69:D80)</f>
        <v>700959.23</v>
      </c>
      <c r="E67" s="92">
        <f>SUM('CA brut produits &amp; sites'!E69:E80)</f>
        <v>103838.54999999999</v>
      </c>
      <c r="F67" s="92">
        <f>SUM('CA brut produits &amp; sites'!F69:F80)</f>
        <v>349477.02999999997</v>
      </c>
      <c r="G67" s="92">
        <f>SUM('CA brut produits &amp; sites'!G69:G80)</f>
        <v>34105.81</v>
      </c>
      <c r="H67" s="92">
        <f>SUM('CA brut produits &amp; sites'!H69:H80)</f>
        <v>76859.87</v>
      </c>
      <c r="I67" s="92">
        <f>SUM('CA brut produits &amp; sites'!I69:I80)</f>
        <v>73701.48</v>
      </c>
      <c r="J67" s="92">
        <f>SUM('CA brut produits &amp; sites'!J69:J80)</f>
        <v>95266.81</v>
      </c>
      <c r="K67" s="92">
        <f>SUM('CA brut produits &amp; sites'!K69:K80)</f>
        <v>249702.56000000006</v>
      </c>
      <c r="L67" s="92">
        <f>SUM('CA brut produits &amp; sites'!L69:L80)</f>
        <v>173562.29999999996</v>
      </c>
      <c r="M67" s="92">
        <f>SUM('CA brut produits &amp; sites'!M69:M80)</f>
        <v>91838.640000000029</v>
      </c>
      <c r="N67" s="92">
        <f>SUM('CA brut produits &amp; sites'!N69:N80)</f>
        <v>2907.4</v>
      </c>
      <c r="O67" s="92">
        <f>SUM('CA brut produits &amp; sites'!O69:O80)</f>
        <v>27583.009999999995</v>
      </c>
      <c r="P67" s="93">
        <f>SUM('CA brut produits &amp; sites'!P69:P80)</f>
        <v>17684.099999999999</v>
      </c>
    </row>
    <row r="68" spans="1:16" x14ac:dyDescent="0.3">
      <c r="A68" s="87">
        <v>43983</v>
      </c>
      <c r="B68" s="146"/>
      <c r="C68" s="92">
        <f t="shared" ref="C68" si="3">SUM(D68:P68)</f>
        <v>1931951.23</v>
      </c>
      <c r="D68" s="92">
        <f>SUM('CA brut produits &amp; sites'!D70:D81)</f>
        <v>740034.03</v>
      </c>
      <c r="E68" s="92">
        <f>SUM('CA brut produits &amp; sites'!E70:E81)</f>
        <v>99133.859999999986</v>
      </c>
      <c r="F68" s="92">
        <f>SUM('CA brut produits &amp; sites'!F70:F81)</f>
        <v>319906.55999999994</v>
      </c>
      <c r="G68" s="92">
        <f>SUM('CA brut produits &amp; sites'!G70:G81)</f>
        <v>29830.959999999999</v>
      </c>
      <c r="H68" s="92">
        <f>SUM('CA brut produits &amp; sites'!H70:H81)</f>
        <v>68500.62</v>
      </c>
      <c r="I68" s="92">
        <f>SUM('CA brut produits &amp; sites'!I70:I81)</f>
        <v>57160.62000000001</v>
      </c>
      <c r="J68" s="92">
        <f>SUM('CA brut produits &amp; sites'!J70:J81)</f>
        <v>73597.759999999995</v>
      </c>
      <c r="K68" s="92">
        <f>SUM('CA brut produits &amp; sites'!K70:K81)</f>
        <v>216351.98000000004</v>
      </c>
      <c r="L68" s="92">
        <f>SUM('CA brut produits &amp; sites'!L70:L81)</f>
        <v>158106.75999999998</v>
      </c>
      <c r="M68" s="92">
        <f>SUM('CA brut produits &amp; sites'!M70:M81)</f>
        <v>81360.650000000009</v>
      </c>
      <c r="N68" s="92">
        <f>SUM('CA brut produits &amp; sites'!N70:N81)</f>
        <v>42790.82</v>
      </c>
      <c r="O68" s="92">
        <f>SUM('CA brut produits &amp; sites'!O70:O81)</f>
        <v>27583.009999999995</v>
      </c>
      <c r="P68" s="93">
        <f>SUM('CA brut produits &amp; sites'!P70:P81)</f>
        <v>17593.599999999999</v>
      </c>
    </row>
    <row r="69" spans="1:16" x14ac:dyDescent="0.3">
      <c r="A69" s="87">
        <v>44013</v>
      </c>
      <c r="B69" s="146"/>
      <c r="C69" s="92">
        <f t="shared" ref="C69" si="4">SUM(D69:P69)</f>
        <v>1863338.4099999995</v>
      </c>
      <c r="D69" s="92">
        <f>SUM('CA brut produits &amp; sites'!D71:D82)</f>
        <v>764377.45000000007</v>
      </c>
      <c r="E69" s="92">
        <f>SUM('CA brut produits &amp; sites'!E71:E82)</f>
        <v>94729.569999999978</v>
      </c>
      <c r="F69" s="92">
        <f>SUM('CA brut produits &amp; sites'!F71:F82)</f>
        <v>286117.46000000002</v>
      </c>
      <c r="G69" s="92">
        <f>SUM('CA brut produits &amp; sites'!G71:G82)</f>
        <v>26760.25</v>
      </c>
      <c r="H69" s="92">
        <f>SUM('CA brut produits &amp; sites'!H71:H82)</f>
        <v>48280.950000000004</v>
      </c>
      <c r="I69" s="92">
        <f>SUM('CA brut produits &amp; sites'!I71:I82)</f>
        <v>63774.900000000009</v>
      </c>
      <c r="J69" s="92">
        <f>SUM('CA brut produits &amp; sites'!J71:J82)</f>
        <v>58599.979999999996</v>
      </c>
      <c r="K69" s="92">
        <f>SUM('CA brut produits &amp; sites'!K71:K82)</f>
        <v>197697.08000000002</v>
      </c>
      <c r="L69" s="92">
        <f>SUM('CA brut produits &amp; sites'!L71:L82)</f>
        <v>151722.88999999998</v>
      </c>
      <c r="M69" s="92">
        <f>SUM('CA brut produits &amp; sites'!M71:M82)</f>
        <v>74331.88</v>
      </c>
      <c r="N69" s="92">
        <f>SUM('CA brut produits &amp; sites'!N71:N82)</f>
        <v>45855.72</v>
      </c>
      <c r="O69" s="92">
        <f>SUM('CA brut produits &amp; sites'!O71:O82)</f>
        <v>29694.379999999994</v>
      </c>
      <c r="P69" s="93">
        <f>SUM('CA brut produits &amp; sites'!P71:P82)</f>
        <v>21395.9</v>
      </c>
    </row>
    <row r="70" spans="1:16" x14ac:dyDescent="0.3">
      <c r="A70" s="87">
        <v>44044</v>
      </c>
      <c r="B70" s="146"/>
      <c r="C70" s="92">
        <f t="shared" ref="C70" si="5">SUM(D70:P70)</f>
        <v>1801619.1299999997</v>
      </c>
      <c r="D70" s="92">
        <f>SUM('CA brut produits &amp; sites'!D72:D83)</f>
        <v>763432.59000000008</v>
      </c>
      <c r="E70" s="92">
        <f>SUM('CA brut produits &amp; sites'!E72:E83)</f>
        <v>89126.309999999983</v>
      </c>
      <c r="F70" s="92">
        <f>SUM('CA brut produits &amp; sites'!F72:F83)</f>
        <v>274220.19</v>
      </c>
      <c r="G70" s="92">
        <f>SUM('CA brut produits &amp; sites'!G72:G83)</f>
        <v>26471.93</v>
      </c>
      <c r="H70" s="92">
        <f>SUM('CA brut produits &amp; sites'!H72:H83)</f>
        <v>46102.43</v>
      </c>
      <c r="I70" s="92">
        <f>SUM('CA brut produits &amp; sites'!I72:I83)</f>
        <v>50803.960000000006</v>
      </c>
      <c r="J70" s="92">
        <f>SUM('CA brut produits &amp; sites'!J72:J83)</f>
        <v>67648.75</v>
      </c>
      <c r="K70" s="92">
        <f>SUM('CA brut produits &amp; sites'!K72:K83)</f>
        <v>190847.48000000004</v>
      </c>
      <c r="L70" s="92">
        <f>SUM('CA brut produits &amp; sites'!L72:L83)</f>
        <v>120458.44</v>
      </c>
      <c r="M70" s="92">
        <f>SUM('CA brut produits &amp; sites'!M72:M83)</f>
        <v>72352.19</v>
      </c>
      <c r="N70" s="92">
        <f>SUM('CA brut produits &amp; sites'!N72:N83)</f>
        <v>45855.72</v>
      </c>
      <c r="O70" s="92">
        <f>SUM('CA brut produits &amp; sites'!O72:O83)</f>
        <v>34570.639999999992</v>
      </c>
      <c r="P70" s="93">
        <f>SUM('CA brut produits &amp; sites'!P72:P83)</f>
        <v>19728.5</v>
      </c>
    </row>
    <row r="71" spans="1:16" x14ac:dyDescent="0.3">
      <c r="A71" s="87">
        <v>44075</v>
      </c>
      <c r="B71" s="146"/>
      <c r="C71" s="92">
        <f t="shared" ref="C71" si="6">SUM(D71:P71)</f>
        <v>1705417.79</v>
      </c>
      <c r="D71" s="92">
        <f>SUM('CA brut produits &amp; sites'!D73:D84)</f>
        <v>725337.54000000015</v>
      </c>
      <c r="E71" s="92">
        <f>SUM('CA brut produits &amp; sites'!E73:E84)</f>
        <v>80452.979999999981</v>
      </c>
      <c r="F71" s="92">
        <f>SUM('CA brut produits &amp; sites'!F73:F84)</f>
        <v>270887.26999999996</v>
      </c>
      <c r="G71" s="92">
        <f>SUM('CA brut produits &amp; sites'!G73:G84)</f>
        <v>29804.62</v>
      </c>
      <c r="H71" s="92">
        <f>SUM('CA brut produits &amp; sites'!H73:H84)</f>
        <v>42522.18</v>
      </c>
      <c r="I71" s="92">
        <f>SUM('CA brut produits &amp; sites'!I73:I84)</f>
        <v>55246.200000000004</v>
      </c>
      <c r="J71" s="92">
        <f>SUM('CA brut produits &amp; sites'!J73:J84)</f>
        <v>57626.350000000006</v>
      </c>
      <c r="K71" s="92">
        <f>SUM('CA brut produits &amp; sites'!K73:K84)</f>
        <v>169779.23</v>
      </c>
      <c r="L71" s="92">
        <f>SUM('CA brut produits &amp; sites'!L73:L84)</f>
        <v>104464.71</v>
      </c>
      <c r="M71" s="92">
        <f>SUM('CA brut produits &amp; sites'!M73:M84)</f>
        <v>72294.61</v>
      </c>
      <c r="N71" s="92">
        <f>SUM('CA brut produits &amp; sites'!N73:N84)</f>
        <v>45855.72</v>
      </c>
      <c r="O71" s="92">
        <f>SUM('CA brut produits &amp; sites'!O73:O84)</f>
        <v>32367.87999999999</v>
      </c>
      <c r="P71" s="93">
        <f>SUM('CA brut produits &amp; sites'!P73:P84)</f>
        <v>18778.5</v>
      </c>
    </row>
    <row r="72" spans="1:16" x14ac:dyDescent="0.3">
      <c r="A72" s="87">
        <v>44105</v>
      </c>
      <c r="B72" s="146"/>
      <c r="C72" s="92">
        <f t="shared" ref="C72" si="7">SUM(D72:P72)</f>
        <v>1623868.38</v>
      </c>
      <c r="D72" s="92">
        <f>SUM('CA brut produits &amp; sites'!D74:D85)</f>
        <v>686900.68</v>
      </c>
      <c r="E72" s="92">
        <f>SUM('CA brut produits &amp; sites'!E74:E85)</f>
        <v>53579.73</v>
      </c>
      <c r="F72" s="92">
        <f>SUM('CA brut produits &amp; sites'!F74:F85)</f>
        <v>248090.2</v>
      </c>
      <c r="G72" s="92">
        <f>SUM('CA brut produits &amp; sites'!G74:G85)</f>
        <v>28655.480000000003</v>
      </c>
      <c r="H72" s="92">
        <f>SUM('CA brut produits &amp; sites'!H74:H85)</f>
        <v>42501.239999999991</v>
      </c>
      <c r="I72" s="92">
        <f>SUM('CA brut produits &amp; sites'!I74:I85)</f>
        <v>56798.15</v>
      </c>
      <c r="J72" s="92">
        <f>SUM('CA brut produits &amp; sites'!J74:J85)</f>
        <v>57189.25</v>
      </c>
      <c r="K72" s="92">
        <f>SUM('CA brut produits &amp; sites'!K74:K85)</f>
        <v>166446.49</v>
      </c>
      <c r="L72" s="92">
        <f>SUM('CA brut produits &amp; sites'!L74:L85)</f>
        <v>108957.90000000001</v>
      </c>
      <c r="M72" s="92">
        <f>SUM('CA brut produits &amp; sites'!M74:M85)</f>
        <v>69853.069999999992</v>
      </c>
      <c r="N72" s="92">
        <f>SUM('CA brut produits &amp; sites'!N74:N85)</f>
        <v>48583.14</v>
      </c>
      <c r="O72" s="92">
        <f>SUM('CA brut produits &amp; sites'!O74:O85)</f>
        <v>37202.549999999988</v>
      </c>
      <c r="P72" s="93">
        <f>SUM('CA brut produits &amp; sites'!P74:P85)</f>
        <v>19110.5</v>
      </c>
    </row>
    <row r="73" spans="1:16" x14ac:dyDescent="0.3">
      <c r="A73" s="87">
        <v>44136</v>
      </c>
      <c r="B73" s="146"/>
      <c r="C73" s="92">
        <f t="shared" ref="C73:C74" si="8">SUM(D73:P73)</f>
        <v>1572954.8299999996</v>
      </c>
      <c r="D73" s="92">
        <f>SUM('CA brut produits &amp; sites'!D75:D86)</f>
        <v>642158.82999999996</v>
      </c>
      <c r="E73" s="92">
        <f>SUM('CA brut produits &amp; sites'!E75:E86)</f>
        <v>50954.240000000005</v>
      </c>
      <c r="F73" s="92">
        <f>SUM('CA brut produits &amp; sites'!F75:F86)</f>
        <v>245437.78000000003</v>
      </c>
      <c r="G73" s="92">
        <f>SUM('CA brut produits &amp; sites'!G75:G86)</f>
        <v>24795.380000000005</v>
      </c>
      <c r="H73" s="92">
        <f>SUM('CA brut produits &amp; sites'!H75:H86)</f>
        <v>68754.070000000007</v>
      </c>
      <c r="I73" s="92">
        <f>SUM('CA brut produits &amp; sites'!I75:I86)</f>
        <v>56122.369999999995</v>
      </c>
      <c r="J73" s="92">
        <f>SUM('CA brut produits &amp; sites'!J75:J86)</f>
        <v>58419.25</v>
      </c>
      <c r="K73" s="92">
        <f>SUM('CA brut produits &amp; sites'!K75:K86)</f>
        <v>165280.63999999998</v>
      </c>
      <c r="L73" s="92">
        <f>SUM('CA brut produits &amp; sites'!L75:L86)</f>
        <v>88914.340000000011</v>
      </c>
      <c r="M73" s="92">
        <f>SUM('CA brut produits &amp; sites'!M75:M86)</f>
        <v>61774.64</v>
      </c>
      <c r="N73" s="92">
        <f>SUM('CA brut produits &amp; sites'!N75:N86)</f>
        <v>48463.14</v>
      </c>
      <c r="O73" s="92">
        <f>SUM('CA brut produits &amp; sites'!O75:O86)</f>
        <v>44284.649999999994</v>
      </c>
      <c r="P73" s="93">
        <f>SUM('CA brut produits &amp; sites'!P75:P86)</f>
        <v>17595.5</v>
      </c>
    </row>
    <row r="74" spans="1:16" ht="15" thickBot="1" x14ac:dyDescent="0.35">
      <c r="A74" s="108">
        <v>44166</v>
      </c>
      <c r="B74" s="146"/>
      <c r="C74" s="92">
        <f t="shared" si="8"/>
        <v>1569873.72</v>
      </c>
      <c r="D74" s="92">
        <f>SUM('CA brut produits &amp; sites'!D76:D87)</f>
        <v>647756.84</v>
      </c>
      <c r="E74" s="92">
        <f>SUM('CA brut produits &amp; sites'!E76:E87)</f>
        <v>40170.220000000008</v>
      </c>
      <c r="F74" s="92">
        <f>SUM('CA brut produits &amp; sites'!F76:F87)</f>
        <v>243106.81</v>
      </c>
      <c r="G74" s="92">
        <f>SUM('CA brut produits &amp; sites'!G76:G87)</f>
        <v>24345.989999999998</v>
      </c>
      <c r="H74" s="92">
        <f>SUM('CA brut produits &amp; sites'!H76:H87)</f>
        <v>62976.399999999994</v>
      </c>
      <c r="I74" s="92">
        <f>SUM('CA brut produits &amp; sites'!I76:I87)</f>
        <v>49570.710000000006</v>
      </c>
      <c r="J74" s="92">
        <f>SUM('CA brut produits &amp; sites'!J76:J87)</f>
        <v>65888.03</v>
      </c>
      <c r="K74" s="92">
        <f>SUM('CA brut produits &amp; sites'!K76:K87)</f>
        <v>174243.59999999998</v>
      </c>
      <c r="L74" s="92">
        <f>SUM('CA brut produits &amp; sites'!L76:L87)</f>
        <v>91207.450000000012</v>
      </c>
      <c r="M74" s="92">
        <f>SUM('CA brut produits &amp; sites'!M76:M87)</f>
        <v>59143.4</v>
      </c>
      <c r="N74" s="92">
        <f>SUM('CA brut produits &amp; sites'!N76:N87)</f>
        <v>48407.280000000006</v>
      </c>
      <c r="O74" s="92">
        <f>SUM('CA brut produits &amp; sites'!O76:O87)</f>
        <v>52062.489999999991</v>
      </c>
      <c r="P74" s="93">
        <f>SUM('CA brut produits &amp; sites'!P76:P87)</f>
        <v>10994.5</v>
      </c>
    </row>
    <row r="75" spans="1:16" x14ac:dyDescent="0.3">
      <c r="A75" s="87">
        <v>44197</v>
      </c>
      <c r="B75" s="146"/>
      <c r="C75" s="92">
        <f t="shared" ref="C75" si="9">SUM(D75:P75)</f>
        <v>1613252.47</v>
      </c>
      <c r="D75" s="92">
        <f>SUM('CA brut produits &amp; sites'!D77:D88)</f>
        <v>667482.5</v>
      </c>
      <c r="E75" s="92">
        <f>SUM('CA brut produits &amp; sites'!E77:E88)</f>
        <v>38589.350000000006</v>
      </c>
      <c r="F75" s="92">
        <f>SUM('CA brut produits &amp; sites'!F77:F88)</f>
        <v>243328.65999999997</v>
      </c>
      <c r="G75" s="92">
        <f>SUM('CA brut produits &amp; sites'!G77:G88)</f>
        <v>24485.480000000003</v>
      </c>
      <c r="H75" s="92">
        <f>SUM('CA brut produits &amp; sites'!H77:H88)</f>
        <v>59057.319999999992</v>
      </c>
      <c r="I75" s="92">
        <f>SUM('CA brut produits &amp; sites'!I77:I88)</f>
        <v>60961.22</v>
      </c>
      <c r="J75" s="92">
        <f>SUM('CA brut produits &amp; sites'!J77:J88)</f>
        <v>66258.25</v>
      </c>
      <c r="K75" s="92">
        <f>SUM('CA brut produits &amp; sites'!K77:K88)</f>
        <v>189813.41</v>
      </c>
      <c r="L75" s="92">
        <f>SUM('CA brut produits &amp; sites'!L77:L88)</f>
        <v>96657.93</v>
      </c>
      <c r="M75" s="92">
        <f>SUM('CA brut produits &amp; sites'!M77:M88)</f>
        <v>54065.810000000005</v>
      </c>
      <c r="N75" s="92">
        <f>SUM('CA brut produits &amp; sites'!N77:N88)</f>
        <v>48887.310000000005</v>
      </c>
      <c r="O75" s="92">
        <f>SUM('CA brut produits &amp; sites'!O77:O88)</f>
        <v>53083.729999999989</v>
      </c>
      <c r="P75" s="93">
        <f>SUM('CA brut produits &amp; sites'!P77:P88)</f>
        <v>10581.5</v>
      </c>
    </row>
    <row r="76" spans="1:16" x14ac:dyDescent="0.3">
      <c r="A76" s="87">
        <v>44228</v>
      </c>
      <c r="B76" s="146"/>
      <c r="C76" s="92">
        <f t="shared" ref="C76" si="10">SUM(D76:P76)</f>
        <v>1483356.33</v>
      </c>
      <c r="D76" s="92">
        <f>SUM('CA brut produits &amp; sites'!D78:D89)</f>
        <v>632198.6</v>
      </c>
      <c r="E76" s="92">
        <f>SUM('CA brut produits &amp; sites'!E78:E89)</f>
        <v>30848.41</v>
      </c>
      <c r="F76" s="92">
        <f>SUM('CA brut produits &amp; sites'!F78:F89)</f>
        <v>207701.51999999996</v>
      </c>
      <c r="G76" s="92">
        <f>SUM('CA brut produits &amp; sites'!G78:G89)</f>
        <v>23753.84</v>
      </c>
      <c r="H76" s="92">
        <f>SUM('CA brut produits &amp; sites'!H78:H89)</f>
        <v>52315.549999999996</v>
      </c>
      <c r="I76" s="92">
        <f>SUM('CA brut produits &amp; sites'!I78:I89)</f>
        <v>57985.83</v>
      </c>
      <c r="J76" s="92">
        <f>SUM('CA brut produits &amp; sites'!J78:J89)</f>
        <v>56309.670000000006</v>
      </c>
      <c r="K76" s="92">
        <f>SUM('CA brut produits &amp; sites'!K78:K89)</f>
        <v>173564.53</v>
      </c>
      <c r="L76" s="92">
        <f>SUM('CA brut produits &amp; sites'!L78:L89)</f>
        <v>93694.700000000012</v>
      </c>
      <c r="M76" s="92">
        <f>SUM('CA brut produits &amp; sites'!M78:M89)</f>
        <v>51019.83</v>
      </c>
      <c r="N76" s="92">
        <f>SUM('CA brut produits &amp; sites'!N78:N89)</f>
        <v>50120.790000000008</v>
      </c>
      <c r="O76" s="92">
        <f>SUM('CA brut produits &amp; sites'!O78:O89)</f>
        <v>41486.559999999998</v>
      </c>
      <c r="P76" s="93">
        <f>SUM('CA brut produits &amp; sites'!P78:P89)</f>
        <v>12356.5</v>
      </c>
    </row>
    <row r="77" spans="1:16" x14ac:dyDescent="0.3">
      <c r="A77" s="87">
        <v>44256</v>
      </c>
      <c r="B77" s="146"/>
      <c r="C77" s="92">
        <f t="shared" ref="C77" si="11">SUM(D77:P77)</f>
        <v>1588598.4300000002</v>
      </c>
      <c r="D77" s="92">
        <f>SUM('CA brut produits &amp; sites'!D79:D90)</f>
        <v>653546.76</v>
      </c>
      <c r="E77" s="92">
        <f>SUM('CA brut produits &amp; sites'!E79:E90)</f>
        <v>29115.08</v>
      </c>
      <c r="F77" s="92">
        <f>SUM('CA brut produits &amp; sites'!F79:F90)</f>
        <v>218696.05</v>
      </c>
      <c r="G77" s="92">
        <f>SUM('CA brut produits &amp; sites'!G79:G90)</f>
        <v>24863.960000000003</v>
      </c>
      <c r="H77" s="92">
        <f>SUM('CA brut produits &amp; sites'!H79:H90)</f>
        <v>54077.05</v>
      </c>
      <c r="I77" s="92">
        <f>SUM('CA brut produits &amp; sites'!I79:I90)</f>
        <v>77699.34</v>
      </c>
      <c r="J77" s="92">
        <f>SUM('CA brut produits &amp; sites'!J79:J90)</f>
        <v>57469.37</v>
      </c>
      <c r="K77" s="92">
        <f>SUM('CA brut produits &amp; sites'!K79:K90)</f>
        <v>185445.09000000003</v>
      </c>
      <c r="L77" s="92">
        <f>SUM('CA brut produits &amp; sites'!L79:L90)</f>
        <v>99401.300000000017</v>
      </c>
      <c r="M77" s="92">
        <f>SUM('CA brut produits &amp; sites'!M79:M90)</f>
        <v>58439.210000000006</v>
      </c>
      <c r="N77" s="92">
        <f>SUM('CA brut produits &amp; sites'!N79:N90)</f>
        <v>50986.500000000007</v>
      </c>
      <c r="O77" s="92">
        <f>SUM('CA brut produits &amp; sites'!O79:O90)</f>
        <v>66325.72</v>
      </c>
      <c r="P77" s="93">
        <f>SUM('CA brut produits &amp; sites'!P79:P90)</f>
        <v>12533</v>
      </c>
    </row>
    <row r="78" spans="1:16" x14ac:dyDescent="0.3">
      <c r="A78" s="87">
        <v>44287</v>
      </c>
      <c r="B78" s="146"/>
      <c r="C78" s="92">
        <f t="shared" ref="C78" si="12">SUM(D78:P78)</f>
        <v>1672387.25</v>
      </c>
      <c r="D78" s="92">
        <f>SUM('CA brut produits &amp; sites'!D80:D91)</f>
        <v>658473.45000000007</v>
      </c>
      <c r="E78" s="92">
        <f>SUM('CA brut produits &amp; sites'!E80:E91)</f>
        <v>33367.229999999996</v>
      </c>
      <c r="F78" s="92">
        <f>SUM('CA brut produits &amp; sites'!F80:F91)</f>
        <v>234552.97999999995</v>
      </c>
      <c r="G78" s="92">
        <f>SUM('CA brut produits &amp; sites'!G80:G91)</f>
        <v>26716.059999999998</v>
      </c>
      <c r="H78" s="92">
        <f>SUM('CA brut produits &amp; sites'!H80:H91)</f>
        <v>56204.100000000006</v>
      </c>
      <c r="I78" s="92">
        <f>SUM('CA brut produits &amp; sites'!I80:I91)</f>
        <v>83517.569999999992</v>
      </c>
      <c r="J78" s="92">
        <f>SUM('CA brut produits &amp; sites'!J80:J91)</f>
        <v>62656.12</v>
      </c>
      <c r="K78" s="92">
        <f>SUM('CA brut produits &amp; sites'!K80:K91)</f>
        <v>206606.01</v>
      </c>
      <c r="L78" s="92">
        <f>SUM('CA brut produits &amp; sites'!L80:L91)</f>
        <v>108707.17</v>
      </c>
      <c r="M78" s="92">
        <f>SUM('CA brut produits &amp; sites'!M80:M91)</f>
        <v>64937.860000000008</v>
      </c>
      <c r="N78" s="92">
        <f>SUM('CA brut produits &amp; sites'!N80:N91)</f>
        <v>51147.570000000007</v>
      </c>
      <c r="O78" s="92">
        <f>SUM('CA brut produits &amp; sites'!O80:O91)</f>
        <v>73141.13</v>
      </c>
      <c r="P78" s="93">
        <f>SUM('CA brut produits &amp; sites'!P80:P91)</f>
        <v>12360</v>
      </c>
    </row>
    <row r="79" spans="1:16" x14ac:dyDescent="0.3">
      <c r="A79" s="87">
        <v>44317</v>
      </c>
      <c r="B79" s="146"/>
      <c r="C79" s="92">
        <f t="shared" ref="C79" si="13">SUM(D79:P79)</f>
        <v>1710426.85</v>
      </c>
      <c r="D79" s="92">
        <f>SUM('CA brut produits &amp; sites'!D81:D92)</f>
        <v>647408.96000000008</v>
      </c>
      <c r="E79" s="92">
        <f>SUM('CA brut produits &amp; sites'!E81:E92)</f>
        <v>34578</v>
      </c>
      <c r="F79" s="92">
        <f>SUM('CA brut produits &amp; sites'!F81:F92)</f>
        <v>241016.68999999997</v>
      </c>
      <c r="G79" s="92">
        <f>SUM('CA brut produits &amp; sites'!G81:G92)</f>
        <v>27058.27</v>
      </c>
      <c r="H79" s="92">
        <f>SUM('CA brut produits &amp; sites'!H81:H92)</f>
        <v>55144.69</v>
      </c>
      <c r="I79" s="92">
        <f>SUM('CA brut produits &amp; sites'!I81:I92)</f>
        <v>85359.17</v>
      </c>
      <c r="J79" s="92">
        <f>SUM('CA brut produits &amp; sites'!J81:J92)</f>
        <v>66023.13</v>
      </c>
      <c r="K79" s="92">
        <f>SUM('CA brut produits &amp; sites'!K81:K92)</f>
        <v>213970.63</v>
      </c>
      <c r="L79" s="92">
        <f>SUM('CA brut produits &amp; sites'!L81:L92)</f>
        <v>113707.06</v>
      </c>
      <c r="M79" s="92">
        <f>SUM('CA brut produits &amp; sites'!M81:M92)</f>
        <v>72522.400000000023</v>
      </c>
      <c r="N79" s="92">
        <f>SUM('CA brut produits &amp; sites'!N81:N92)</f>
        <v>53864.310000000005</v>
      </c>
      <c r="O79" s="92">
        <f>SUM('CA brut produits &amp; sites'!O81:O92)</f>
        <v>81668.540000000008</v>
      </c>
      <c r="P79" s="93">
        <f>SUM('CA brut produits &amp; sites'!P81:P92)</f>
        <v>18105</v>
      </c>
    </row>
    <row r="80" spans="1:16" x14ac:dyDescent="0.3">
      <c r="A80" s="87">
        <v>44348</v>
      </c>
      <c r="B80" s="146"/>
      <c r="C80" s="92">
        <f t="shared" ref="C80" si="14">SUM(D80:P80)</f>
        <v>1703377.0599999994</v>
      </c>
      <c r="D80" s="92">
        <f>SUM('CA brut produits &amp; sites'!D82:D93)</f>
        <v>609556.42999999993</v>
      </c>
      <c r="E80" s="92">
        <f>SUM('CA brut produits &amp; sites'!E82:E93)</f>
        <v>35303.4</v>
      </c>
      <c r="F80" s="92">
        <f>SUM('CA brut produits &amp; sites'!F82:F93)</f>
        <v>252282.25999999995</v>
      </c>
      <c r="G80" s="92">
        <f>SUM('CA brut produits &amp; sites'!G82:G93)</f>
        <v>28289.589999999997</v>
      </c>
      <c r="H80" s="92">
        <f>SUM('CA brut produits &amp; sites'!H82:H93)</f>
        <v>58495</v>
      </c>
      <c r="I80" s="92">
        <f>SUM('CA brut produits &amp; sites'!I82:I93)</f>
        <v>98498</v>
      </c>
      <c r="J80" s="92">
        <f>SUM('CA brut produits &amp; sites'!J82:J93)</f>
        <v>60344.140000000007</v>
      </c>
      <c r="K80" s="92">
        <f>SUM('CA brut produits &amp; sites'!K82:K93)</f>
        <v>232155.66</v>
      </c>
      <c r="L80" s="92">
        <f>SUM('CA brut produits &amp; sites'!L82:L93)</f>
        <v>118504.85999999999</v>
      </c>
      <c r="M80" s="92">
        <f>SUM('CA brut produits &amp; sites'!M82:M93)</f>
        <v>76816.23000000001</v>
      </c>
      <c r="N80" s="92">
        <f>SUM('CA brut produits &amp; sites'!N82:N93)</f>
        <v>14344.78</v>
      </c>
      <c r="O80" s="92">
        <f>SUM('CA brut produits &amp; sites'!O82:O93)</f>
        <v>100554.16</v>
      </c>
      <c r="P80" s="93">
        <f>SUM('CA brut produits &amp; sites'!P82:P93)</f>
        <v>18232.55</v>
      </c>
    </row>
    <row r="81" spans="1:16" x14ac:dyDescent="0.3">
      <c r="A81" s="87">
        <v>44378</v>
      </c>
      <c r="B81" s="146"/>
      <c r="C81" s="92">
        <f t="shared" ref="C81" si="15">SUM(D81:P81)</f>
        <v>1723491.6500000001</v>
      </c>
      <c r="D81" s="92">
        <f>SUM('CA brut produits &amp; sites'!D83:D94)</f>
        <v>595808.02</v>
      </c>
      <c r="E81" s="92">
        <f>SUM('CA brut produits &amp; sites'!E83:E94)</f>
        <v>35719.39</v>
      </c>
      <c r="F81" s="92">
        <f>SUM('CA brut produits &amp; sites'!F83:F94)</f>
        <v>256405.11</v>
      </c>
      <c r="G81" s="92">
        <f>SUM('CA brut produits &amp; sites'!G83:G94)</f>
        <v>29294.87</v>
      </c>
      <c r="H81" s="92">
        <f>SUM('CA brut produits &amp; sites'!H83:H94)</f>
        <v>61814.21</v>
      </c>
      <c r="I81" s="92">
        <f>SUM('CA brut produits &amp; sites'!I83:I94)</f>
        <v>88480.939999999988</v>
      </c>
      <c r="J81" s="92">
        <f>SUM('CA brut produits &amp; sites'!J83:J94)</f>
        <v>68080.960000000006</v>
      </c>
      <c r="K81" s="92">
        <f>SUM('CA brut produits &amp; sites'!K83:K94)</f>
        <v>244912.31</v>
      </c>
      <c r="L81" s="92">
        <f>SUM('CA brut produits &amp; sites'!L83:L94)</f>
        <v>119689</v>
      </c>
      <c r="M81" s="92">
        <f>SUM('CA brut produits &amp; sites'!M83:M94)</f>
        <v>85601.690000000017</v>
      </c>
      <c r="N81" s="92">
        <f>SUM('CA brut produits &amp; sites'!N83:N94)</f>
        <v>10798.59</v>
      </c>
      <c r="O81" s="92">
        <f>SUM('CA brut produits &amp; sites'!O83:O94)</f>
        <v>113005.01000000001</v>
      </c>
      <c r="P81" s="93">
        <f>SUM('CA brut produits &amp; sites'!P83:P94)</f>
        <v>13881.55</v>
      </c>
    </row>
    <row r="82" spans="1:16" x14ac:dyDescent="0.3">
      <c r="A82" s="87">
        <v>44409</v>
      </c>
      <c r="B82" s="146"/>
      <c r="C82" s="92">
        <f t="shared" ref="C82" si="16">SUM(D82:P82)</f>
        <v>1701825.0199999998</v>
      </c>
      <c r="D82" s="92">
        <f>SUM('CA brut produits &amp; sites'!D84:D95)</f>
        <v>585459.70000000007</v>
      </c>
      <c r="E82" s="92">
        <f>SUM('CA brut produits &amp; sites'!E84:E95)</f>
        <v>35319.46</v>
      </c>
      <c r="F82" s="92">
        <f>SUM('CA brut produits &amp; sites'!F84:F95)</f>
        <v>251509.62</v>
      </c>
      <c r="G82" s="92">
        <f>SUM('CA brut produits &amp; sites'!G84:G95)</f>
        <v>29569.599999999999</v>
      </c>
      <c r="H82" s="92">
        <f>SUM('CA brut produits &amp; sites'!H84:H95)</f>
        <v>66426.209999999992</v>
      </c>
      <c r="I82" s="92">
        <f>SUM('CA brut produits &amp; sites'!I84:I95)</f>
        <v>88952.54</v>
      </c>
      <c r="J82" s="92">
        <f>SUM('CA brut produits &amp; sites'!J84:J95)</f>
        <v>51241.96</v>
      </c>
      <c r="K82" s="92">
        <f>SUM('CA brut produits &amp; sites'!K84:K95)</f>
        <v>246883.74</v>
      </c>
      <c r="L82" s="92">
        <f>SUM('CA brut produits &amp; sites'!L84:L95)</f>
        <v>119518.13999999998</v>
      </c>
      <c r="M82" s="92">
        <f>SUM('CA brut produits &amp; sites'!M84:M95)</f>
        <v>88467.160000000018</v>
      </c>
      <c r="N82" s="92">
        <f>SUM('CA brut produits &amp; sites'!N84:N95)</f>
        <v>11211.59</v>
      </c>
      <c r="O82" s="92">
        <f>SUM('CA brut produits &amp; sites'!O84:O95)</f>
        <v>113654.75</v>
      </c>
      <c r="P82" s="93">
        <f>SUM('CA brut produits &amp; sites'!P84:P95)</f>
        <v>13610.55</v>
      </c>
    </row>
    <row r="83" spans="1:16" x14ac:dyDescent="0.3">
      <c r="A83" s="87">
        <v>44440</v>
      </c>
      <c r="B83" s="146"/>
      <c r="C83" s="92">
        <f t="shared" ref="C83:C88" si="17">SUM(D83:P83)</f>
        <v>1711079.5900000003</v>
      </c>
      <c r="D83" s="92">
        <f>SUM('CA brut produits &amp; sites'!D85:D96)</f>
        <v>580182.49</v>
      </c>
      <c r="E83" s="92">
        <f>SUM('CA brut produits &amp; sites'!E85:E96)</f>
        <v>46701.09</v>
      </c>
      <c r="F83" s="92">
        <f>SUM('CA brut produits &amp; sites'!F85:F96)</f>
        <v>237904.31000000003</v>
      </c>
      <c r="G83" s="92">
        <f>SUM('CA brut produits &amp; sites'!G85:G96)</f>
        <v>30315.23</v>
      </c>
      <c r="H83" s="92">
        <f>SUM('CA brut produits &amp; sites'!H85:H96)</f>
        <v>70182.39</v>
      </c>
      <c r="I83" s="92">
        <f>SUM('CA brut produits &amp; sites'!I85:I96)</f>
        <v>82925.039999999994</v>
      </c>
      <c r="J83" s="92">
        <f>SUM('CA brut produits &amp; sites'!J85:J96)</f>
        <v>44199.69</v>
      </c>
      <c r="K83" s="92">
        <f>SUM('CA brut produits &amp; sites'!K85:K96)</f>
        <v>253090.31</v>
      </c>
      <c r="L83" s="92">
        <f>SUM('CA brut produits &amp; sites'!L85:L96)</f>
        <v>123414.08</v>
      </c>
      <c r="M83" s="92">
        <f>SUM('CA brut produits &amp; sites'!M85:M96)</f>
        <v>91392.37000000001</v>
      </c>
      <c r="N83" s="92">
        <f>SUM('CA brut produits &amp; sites'!N85:N96)</f>
        <v>12729.11</v>
      </c>
      <c r="O83" s="92">
        <f>SUM('CA brut produits &amp; sites'!O85:O96)</f>
        <v>122133.93000000001</v>
      </c>
      <c r="P83" s="93">
        <f>SUM('CA brut produits &amp; sites'!P85:P96)</f>
        <v>15909.55</v>
      </c>
    </row>
    <row r="84" spans="1:16" x14ac:dyDescent="0.3">
      <c r="A84" s="87">
        <v>44470</v>
      </c>
      <c r="B84" s="146"/>
      <c r="C84" s="92">
        <f t="shared" si="17"/>
        <v>1752074.11</v>
      </c>
      <c r="D84" s="92">
        <f>SUM('CA brut produits &amp; sites'!D86:D97)</f>
        <v>581239.64</v>
      </c>
      <c r="E84" s="92">
        <f>SUM('CA brut produits &amp; sites'!E86:E97)</f>
        <v>52674.609999999993</v>
      </c>
      <c r="F84" s="92">
        <f>SUM('CA brut produits &amp; sites'!F86:F97)</f>
        <v>243762.49000000002</v>
      </c>
      <c r="G84" s="92">
        <f>SUM('CA brut produits &amp; sites'!G86:G97)</f>
        <v>29258.53</v>
      </c>
      <c r="H84" s="92">
        <f>SUM('CA brut produits &amp; sites'!H86:H97)</f>
        <v>103311.98</v>
      </c>
      <c r="I84" s="92">
        <f>SUM('CA brut produits &amp; sites'!I86:I97)</f>
        <v>83943.33</v>
      </c>
      <c r="J84" s="92">
        <f>SUM('CA brut produits &amp; sites'!J86:J97)</f>
        <v>42682.21</v>
      </c>
      <c r="K84" s="92">
        <f>SUM('CA brut produits &amp; sites'!K86:K97)</f>
        <v>256732.59999999998</v>
      </c>
      <c r="L84" s="92">
        <f>SUM('CA brut produits &amp; sites'!L86:L97)</f>
        <v>120444.15</v>
      </c>
      <c r="M84" s="92">
        <f>SUM('CA brut produits &amp; sites'!M86:M97)</f>
        <v>88884.12000000001</v>
      </c>
      <c r="N84" s="92">
        <f>SUM('CA brut produits &amp; sites'!N86:N97)</f>
        <v>12536.929999999998</v>
      </c>
      <c r="O84" s="92">
        <f>SUM('CA brut produits &amp; sites'!O86:O97)</f>
        <v>121601.97000000002</v>
      </c>
      <c r="P84" s="93">
        <f>SUM('CA brut produits &amp; sites'!P86:P97)</f>
        <v>15001.55</v>
      </c>
    </row>
    <row r="85" spans="1:16" x14ac:dyDescent="0.3">
      <c r="A85" s="87">
        <v>44501</v>
      </c>
      <c r="B85" s="146"/>
      <c r="C85" s="92">
        <f t="shared" si="17"/>
        <v>1707538.5799999998</v>
      </c>
      <c r="D85" s="92">
        <f>SUM('CA brut produits &amp; sites'!D87:D98)</f>
        <v>588898.21000000008</v>
      </c>
      <c r="E85" s="92">
        <f>SUM('CA brut produits &amp; sites'!E87:E98)</f>
        <v>64086.039999999994</v>
      </c>
      <c r="F85" s="92">
        <f>SUM('CA brut produits &amp; sites'!F87:F98)</f>
        <v>245704.69000000003</v>
      </c>
      <c r="G85" s="92">
        <f>SUM('CA brut produits &amp; sites'!G87:G98)</f>
        <v>28922.159999999996</v>
      </c>
      <c r="H85" s="92">
        <f>SUM('CA brut produits &amp; sites'!H87:H98)</f>
        <v>80818.39</v>
      </c>
      <c r="I85" s="92">
        <f>SUM('CA brut produits &amp; sites'!I87:I98)</f>
        <v>77793.899999999994</v>
      </c>
      <c r="J85" s="92">
        <f>SUM('CA brut produits &amp; sites'!J87:J98)</f>
        <v>44932.21</v>
      </c>
      <c r="K85" s="92">
        <f>SUM('CA brut produits &amp; sites'!K87:K98)</f>
        <v>241879.16999999998</v>
      </c>
      <c r="L85" s="92">
        <f>SUM('CA brut produits &amp; sites'!L87:L98)</f>
        <v>116090.69999999998</v>
      </c>
      <c r="M85" s="92">
        <f>SUM('CA brut produits &amp; sites'!M87:M98)</f>
        <v>87453.180000000008</v>
      </c>
      <c r="N85" s="92">
        <f>SUM('CA brut produits &amp; sites'!N87:N98)</f>
        <v>13917.14</v>
      </c>
      <c r="O85" s="92">
        <f>SUM('CA brut produits &amp; sites'!O87:O98)</f>
        <v>100478.74</v>
      </c>
      <c r="P85" s="93">
        <f>SUM('CA brut produits &amp; sites'!P87:P98)</f>
        <v>16564.05</v>
      </c>
    </row>
    <row r="86" spans="1:16" x14ac:dyDescent="0.3">
      <c r="A86" s="87">
        <v>44531</v>
      </c>
      <c r="B86" s="146"/>
      <c r="C86" s="92">
        <f t="shared" si="17"/>
        <v>1674777.67</v>
      </c>
      <c r="D86" s="92">
        <f>SUM('CA brut produits &amp; sites'!D88:D99)</f>
        <v>568315.21000000008</v>
      </c>
      <c r="E86" s="92">
        <f>SUM('CA brut produits &amp; sites'!E88:E99)</f>
        <v>63846.869999999988</v>
      </c>
      <c r="F86" s="92">
        <f>SUM('CA brut produits &amp; sites'!F88:F99)</f>
        <v>240275.22999999998</v>
      </c>
      <c r="G86" s="92">
        <f>SUM('CA brut produits &amp; sites'!G88:G99)</f>
        <v>28579.799999999996</v>
      </c>
      <c r="H86" s="92">
        <f>SUM('CA brut produits &amp; sites'!H88:H99)</f>
        <v>83843.490000000005</v>
      </c>
      <c r="I86" s="92">
        <f>SUM('CA brut produits &amp; sites'!I88:I99)</f>
        <v>89332.62999999999</v>
      </c>
      <c r="J86" s="92">
        <f>SUM('CA brut produits &amp; sites'!J88:J99)</f>
        <v>37772.82</v>
      </c>
      <c r="K86" s="92">
        <f>SUM('CA brut produits &amp; sites'!K88:K99)</f>
        <v>224540.4</v>
      </c>
      <c r="L86" s="92">
        <f>SUM('CA brut produits &amp; sites'!L88:L99)</f>
        <v>118123.98000000001</v>
      </c>
      <c r="M86" s="92">
        <f>SUM('CA brut produits &amp; sites'!M88:M99)</f>
        <v>86026.810000000012</v>
      </c>
      <c r="N86" s="92">
        <f>SUM('CA brut produits &amp; sites'!N88:N99)</f>
        <v>12980.21</v>
      </c>
      <c r="O86" s="92">
        <f>SUM('CA brut produits &amp; sites'!O88:O99)</f>
        <v>95254.67</v>
      </c>
      <c r="P86" s="93">
        <f>SUM('CA brut produits &amp; sites'!P88:P99)</f>
        <v>25885.55</v>
      </c>
    </row>
    <row r="87" spans="1:16" x14ac:dyDescent="0.3">
      <c r="A87" s="87">
        <v>44562</v>
      </c>
      <c r="B87" s="142"/>
      <c r="C87" s="92">
        <f t="shared" si="17"/>
        <v>1593874.6600000001</v>
      </c>
      <c r="D87" s="92">
        <f>SUM('CA brut produits &amp; sites'!D89:D100)</f>
        <v>537081.39000000013</v>
      </c>
      <c r="E87" s="92">
        <f>SUM('CA brut produits &amp; sites'!E89:E100)</f>
        <v>63998.569999999992</v>
      </c>
      <c r="F87" s="92">
        <f>SUM('CA brut produits &amp; sites'!F89:F100)</f>
        <v>234633.18</v>
      </c>
      <c r="G87" s="92">
        <f>SUM('CA brut produits &amp; sites'!G89:G100)</f>
        <v>27888.03</v>
      </c>
      <c r="H87" s="92">
        <f>SUM('CA brut produits &amp; sites'!H89:H100)</f>
        <v>89759.21</v>
      </c>
      <c r="I87" s="92">
        <f>SUM('CA brut produits &amp; sites'!I89:I100)</f>
        <v>69368</v>
      </c>
      <c r="J87" s="92">
        <f>SUM('CA brut produits &amp; sites'!J89:J100)</f>
        <v>37794.29</v>
      </c>
      <c r="K87" s="92">
        <f>SUM('CA brut produits &amp; sites'!K89:K100)</f>
        <v>199156.44</v>
      </c>
      <c r="L87" s="92">
        <f>SUM('CA brut produits &amp; sites'!L89:L100)</f>
        <v>109085.66</v>
      </c>
      <c r="M87" s="92">
        <f>SUM('CA brut produits &amp; sites'!M89:M100)</f>
        <v>85325.27</v>
      </c>
      <c r="N87" s="92">
        <f>SUM('CA brut produits &amp; sites'!N89:N100)</f>
        <v>12750.050000000001</v>
      </c>
      <c r="O87" s="92">
        <f>SUM('CA brut produits &amp; sites'!O89:O100)</f>
        <v>99759.52</v>
      </c>
      <c r="P87" s="93">
        <f>SUM('CA brut produits &amp; sites'!P89:P100)</f>
        <v>27275.05</v>
      </c>
    </row>
    <row r="88" spans="1:16" x14ac:dyDescent="0.3">
      <c r="A88" s="87">
        <v>44593</v>
      </c>
      <c r="B88" s="136"/>
      <c r="C88" s="92">
        <f t="shared" si="17"/>
        <v>1599333.1800000004</v>
      </c>
      <c r="D88" s="92">
        <f>SUM('CA brut produits &amp; sites'!D90:D101)</f>
        <v>565081.14</v>
      </c>
      <c r="E88" s="92">
        <f>SUM('CA brut produits &amp; sites'!E90:E101)</f>
        <v>62671.12999999999</v>
      </c>
      <c r="F88" s="92">
        <f>SUM('CA brut produits &amp; sites'!F90:F101)</f>
        <v>224830.45</v>
      </c>
      <c r="G88" s="92">
        <f>SUM('CA brut produits &amp; sites'!G90:G101)</f>
        <v>28581.899999999998</v>
      </c>
      <c r="H88" s="92">
        <f>SUM('CA brut produits &amp; sites'!H90:H101)</f>
        <v>89586.74</v>
      </c>
      <c r="I88" s="92">
        <f>SUM('CA brut produits &amp; sites'!I90:I101)</f>
        <v>68272.62</v>
      </c>
      <c r="J88" s="92">
        <f>SUM('CA brut produits &amp; sites'!J90:J101)</f>
        <v>38189.729999999996</v>
      </c>
      <c r="K88" s="92">
        <f>SUM('CA brut produits &amp; sites'!K90:K101)</f>
        <v>202633.81</v>
      </c>
      <c r="L88" s="92">
        <f>SUM('CA brut produits &amp; sites'!L90:L101)</f>
        <v>109316.12000000001</v>
      </c>
      <c r="M88" s="92">
        <f>SUM('CA brut produits &amp; sites'!M90:M101)</f>
        <v>83731.37</v>
      </c>
      <c r="N88" s="92">
        <f>SUM('CA brut produits &amp; sites'!N90:N101)</f>
        <v>11516.569999999998</v>
      </c>
      <c r="O88" s="92">
        <f>SUM('CA brut produits &amp; sites'!O90:O101)</f>
        <v>87694.049999999988</v>
      </c>
      <c r="P88" s="93">
        <f>SUM('CA brut produits &amp; sites'!P90:P101)</f>
        <v>27227.55</v>
      </c>
    </row>
    <row r="89" spans="1:16" x14ac:dyDescent="0.3">
      <c r="A89" s="87">
        <v>44621</v>
      </c>
      <c r="B89" s="142"/>
      <c r="C89" s="92">
        <f>SUM(D89:P89)</f>
        <v>1520804.9900000002</v>
      </c>
      <c r="D89" s="92">
        <f>SUM('CA brut produits &amp; sites'!D91:D102)</f>
        <v>534486.6100000001</v>
      </c>
      <c r="E89" s="92">
        <f>SUM('CA brut produits &amp; sites'!E91:E102)</f>
        <v>64321.959999999992</v>
      </c>
      <c r="F89" s="92">
        <f>SUM('CA brut produits &amp; sites'!F91:F102)</f>
        <v>212166.51</v>
      </c>
      <c r="G89" s="92">
        <f>SUM('CA brut produits &amp; sites'!G91:G102)</f>
        <v>28097.519999999997</v>
      </c>
      <c r="H89" s="92">
        <f>SUM('CA brut produits &amp; sites'!H91:H102)</f>
        <v>93285.069999999992</v>
      </c>
      <c r="I89" s="92">
        <f>SUM('CA brut produits &amp; sites'!I91:I102)</f>
        <v>42316.729999999996</v>
      </c>
      <c r="J89" s="92">
        <f>SUM('CA brut produits &amp; sites'!J91:J102)</f>
        <v>38067.049999999996</v>
      </c>
      <c r="K89" s="92">
        <f>SUM('CA brut produits &amp; sites'!K91:K102)</f>
        <v>206481.9</v>
      </c>
      <c r="L89" s="92">
        <f>SUM('CA brut produits &amp; sites'!L91:L102)</f>
        <v>106916.23000000001</v>
      </c>
      <c r="M89" s="92">
        <f>SUM('CA brut produits &amp; sites'!M91:M102)</f>
        <v>79164.479999999981</v>
      </c>
      <c r="N89" s="92">
        <f>SUM('CA brut produits &amp; sites'!N91:N102)</f>
        <v>10650.859999999999</v>
      </c>
      <c r="O89" s="92">
        <f>SUM('CA brut produits &amp; sites'!O91:O102)</f>
        <v>76099.01999999999</v>
      </c>
      <c r="P89" s="93">
        <f>SUM('CA brut produits &amp; sites'!P91:P102)</f>
        <v>28751.05</v>
      </c>
    </row>
    <row r="90" spans="1:16" x14ac:dyDescent="0.3">
      <c r="A90" s="87">
        <v>44652</v>
      </c>
      <c r="B90" s="136"/>
      <c r="C90" s="92">
        <f>SUM(D90:P90)</f>
        <v>1541133.85</v>
      </c>
      <c r="D90" s="92">
        <f>SUM('CA brut produits &amp; sites'!D92:D103)</f>
        <v>549382.13</v>
      </c>
      <c r="E90" s="92">
        <f>SUM('CA brut produits &amp; sites'!E92:E103)</f>
        <v>60792.92</v>
      </c>
      <c r="F90" s="92">
        <f>SUM('CA brut produits &amp; sites'!F92:F103)</f>
        <v>224250.02000000002</v>
      </c>
      <c r="G90" s="92">
        <f>SUM('CA brut produits &amp; sites'!G92:G103)</f>
        <v>28164.82</v>
      </c>
      <c r="H90" s="92">
        <f>SUM('CA brut produits &amp; sites'!H92:H103)</f>
        <v>94668.41</v>
      </c>
      <c r="I90" s="92">
        <f>SUM('CA brut produits &amp; sites'!I92:I103)</f>
        <v>41236.83</v>
      </c>
      <c r="J90" s="92">
        <f>SUM('CA brut produits &amp; sites'!J92:J103)</f>
        <v>40902.300000000003</v>
      </c>
      <c r="K90" s="92">
        <f>SUM('CA brut produits &amp; sites'!K92:K103)</f>
        <v>202113.67</v>
      </c>
      <c r="L90" s="92">
        <f>SUM('CA brut produits &amp; sites'!L92:L103)</f>
        <v>108426.63</v>
      </c>
      <c r="M90" s="92">
        <f>SUM('CA brut produits &amp; sites'!M92:M103)</f>
        <v>77815.679999999993</v>
      </c>
      <c r="N90" s="92">
        <f>SUM('CA brut produits &amp; sites'!N92:N103)</f>
        <v>10270.039999999999</v>
      </c>
      <c r="O90" s="92">
        <f>SUM('CA brut produits &amp; sites'!O92:O103)</f>
        <v>72089.349999999991</v>
      </c>
      <c r="P90" s="93">
        <f>SUM('CA brut produits &amp; sites'!P92:P103)</f>
        <v>31021.05</v>
      </c>
    </row>
    <row r="91" spans="1:16" x14ac:dyDescent="0.3">
      <c r="A91" s="87">
        <v>44682</v>
      </c>
      <c r="B91" s="142"/>
      <c r="C91" s="92">
        <f>SUM(D91:P91)</f>
        <v>1541029.05</v>
      </c>
      <c r="D91" s="92">
        <f>SUM('CA brut produits &amp; sites'!D93:D104)</f>
        <v>546073.37000000011</v>
      </c>
      <c r="E91" s="92">
        <f>SUM('CA brut produits &amp; sites'!E93:E104)</f>
        <v>59112.92</v>
      </c>
      <c r="F91" s="92">
        <f>SUM('CA brut produits &amp; sites'!F93:F104)</f>
        <v>229801.13</v>
      </c>
      <c r="G91" s="92">
        <f>SUM('CA brut produits &amp; sites'!G93:G104)</f>
        <v>27724.910000000003</v>
      </c>
      <c r="H91" s="92">
        <f>SUM('CA brut produits &amp; sites'!H93:H104)</f>
        <v>110889.60999999999</v>
      </c>
      <c r="I91" s="92">
        <f>SUM('CA brut produits &amp; sites'!I93:I104)</f>
        <v>40514.400000000001</v>
      </c>
      <c r="J91" s="92">
        <f>SUM('CA brut produits &amp; sites'!J93:J104)</f>
        <v>41765.290000000008</v>
      </c>
      <c r="K91" s="92">
        <f>SUM('CA brut produits &amp; sites'!K93:K104)</f>
        <v>199150.66000000003</v>
      </c>
      <c r="L91" s="92">
        <f>SUM('CA brut produits &amp; sites'!L93:L104)</f>
        <v>114280.25</v>
      </c>
      <c r="M91" s="92">
        <f>SUM('CA brut produits &amp; sites'!M93:M104)</f>
        <v>73847.969999999987</v>
      </c>
      <c r="N91" s="92">
        <f>SUM('CA brut produits &amp; sites'!N93:N104)</f>
        <v>8669.2999999999993</v>
      </c>
      <c r="O91" s="92">
        <f>SUM('CA brut produits &amp; sites'!O93:O104)</f>
        <v>63561.939999999988</v>
      </c>
      <c r="P91" s="93">
        <f>SUM('CA brut produits &amp; sites'!P93:P104)</f>
        <v>25637.3</v>
      </c>
    </row>
    <row r="92" spans="1:16" x14ac:dyDescent="0.3">
      <c r="A92" s="87">
        <v>44713</v>
      </c>
      <c r="B92" s="142"/>
      <c r="C92" s="92">
        <f>SUM(D92:P92)</f>
        <v>1495719.03</v>
      </c>
      <c r="D92" s="92">
        <f>SUM('CA brut produits &amp; sites'!D94:D105)</f>
        <v>535624.65999999992</v>
      </c>
      <c r="E92" s="92">
        <f>SUM('CA brut produits &amp; sites'!E94:E105)</f>
        <v>59934.289999999994</v>
      </c>
      <c r="F92" s="92">
        <f>SUM('CA brut produits &amp; sites'!F94:F105)</f>
        <v>227787.30000000002</v>
      </c>
      <c r="G92" s="92">
        <f>SUM('CA brut produits &amp; sites'!G94:G105)</f>
        <v>26439.489999999998</v>
      </c>
      <c r="H92" s="92">
        <f>SUM('CA brut produits &amp; sites'!H94:H105)</f>
        <v>119439.4</v>
      </c>
      <c r="I92" s="92">
        <f>SUM('CA brut produits &amp; sites'!I94:I105)</f>
        <v>28413.790000000005</v>
      </c>
      <c r="J92" s="92">
        <f>SUM('CA brut produits &amp; sites'!J94:J105)</f>
        <v>37844.28</v>
      </c>
      <c r="K92" s="92">
        <f>SUM('CA brut produits &amp; sites'!K94:K105)</f>
        <v>189005.4</v>
      </c>
      <c r="L92" s="92">
        <f>SUM('CA brut produits &amp; sites'!L94:L105)</f>
        <v>110708.99999999999</v>
      </c>
      <c r="M92" s="92">
        <f>SUM('CA brut produits &amp; sites'!M94:M105)</f>
        <v>71580.37999999999</v>
      </c>
      <c r="N92" s="92">
        <f>SUM('CA brut produits &amp; sites'!N94:N105)</f>
        <v>10198.93</v>
      </c>
      <c r="O92" s="92">
        <f>SUM('CA brut produits &amp; sites'!O94:O105)</f>
        <v>49162.860000000008</v>
      </c>
      <c r="P92" s="93">
        <f>SUM('CA brut produits &amp; sites'!P94:P105)</f>
        <v>29579.25</v>
      </c>
    </row>
    <row r="93" spans="1:16" x14ac:dyDescent="0.3">
      <c r="A93" s="87">
        <v>44743</v>
      </c>
      <c r="B93" s="142"/>
      <c r="P93" s="93"/>
    </row>
    <row r="94" spans="1:16" x14ac:dyDescent="0.3">
      <c r="A94" s="87">
        <v>44774</v>
      </c>
      <c r="B94" s="142"/>
      <c r="P94" s="93"/>
    </row>
    <row r="95" spans="1:16" x14ac:dyDescent="0.3">
      <c r="A95" s="87">
        <v>44805</v>
      </c>
      <c r="B95" s="142"/>
      <c r="P95" s="93"/>
    </row>
    <row r="96" spans="1:16" x14ac:dyDescent="0.3">
      <c r="A96" s="87">
        <v>44835</v>
      </c>
      <c r="B96" s="142"/>
      <c r="P96" s="93"/>
    </row>
    <row r="97" spans="1:16" x14ac:dyDescent="0.3">
      <c r="A97" s="87">
        <v>44866</v>
      </c>
      <c r="B97" s="142"/>
      <c r="P97" s="93"/>
    </row>
    <row r="98" spans="1:16" x14ac:dyDescent="0.3">
      <c r="A98" s="87">
        <v>44896</v>
      </c>
      <c r="B98" s="142"/>
      <c r="P98" s="93"/>
    </row>
    <row r="99" spans="1:16" x14ac:dyDescent="0.3">
      <c r="A99" s="87"/>
      <c r="B99" s="142"/>
      <c r="P99" s="93"/>
    </row>
    <row r="100" spans="1:16" x14ac:dyDescent="0.3">
      <c r="A100" s="87"/>
      <c r="B100" s="142"/>
      <c r="P100" s="93"/>
    </row>
    <row r="101" spans="1:16" x14ac:dyDescent="0.3">
      <c r="A101" s="87"/>
      <c r="B101" s="142"/>
      <c r="P101" s="93"/>
    </row>
    <row r="102" spans="1:16" x14ac:dyDescent="0.3">
      <c r="A102" s="87"/>
      <c r="B102" s="142"/>
      <c r="P102" s="93"/>
    </row>
    <row r="103" spans="1:16" ht="15" thickBot="1" x14ac:dyDescent="0.35">
      <c r="A103" s="138"/>
      <c r="B103" s="142"/>
      <c r="H103" s="140"/>
      <c r="L103" s="140"/>
      <c r="P103" s="93"/>
    </row>
    <row r="104" spans="1:16" ht="19.2" customHeight="1" thickTop="1" x14ac:dyDescent="0.3">
      <c r="A104" s="91">
        <v>41974</v>
      </c>
      <c r="B104" s="147" t="s">
        <v>16</v>
      </c>
      <c r="C104" s="139">
        <f t="shared" ref="C104:C140" si="18">SUM(D104:N104)</f>
        <v>3045709.8400000003</v>
      </c>
      <c r="D104" s="139">
        <f>SUM('CA brut produits &amp; sites'!D113:D124)</f>
        <v>1053251.5600000003</v>
      </c>
      <c r="E104" s="139">
        <f>SUM('CA brut produits &amp; sites'!E113:E124)</f>
        <v>311353.84000000003</v>
      </c>
      <c r="F104" s="139">
        <f>SUM('CA brut produits &amp; sites'!F113:F124)</f>
        <v>357561.68</v>
      </c>
      <c r="G104" s="139">
        <f>SUM('CA brut produits &amp; sites'!G113:G124)</f>
        <v>78138.579999999987</v>
      </c>
      <c r="H104" s="92">
        <f>SUM('CA brut produits &amp; sites'!H113:H124)</f>
        <v>126679.92</v>
      </c>
      <c r="I104" s="139">
        <f>SUM('CA brut produits &amp; sites'!I113:I124)</f>
        <v>51654.51999999999</v>
      </c>
      <c r="J104" s="139">
        <f>SUM('CA brut produits &amp; sites'!J113:J124)</f>
        <v>183542.80000000002</v>
      </c>
      <c r="K104" s="139">
        <f>SUM('CA brut produits &amp; sites'!K113:K124)</f>
        <v>563955.06999999995</v>
      </c>
      <c r="L104" s="92">
        <f>SUM('CA brut produits &amp; sites'!L113:L124)</f>
        <v>151111.19000000006</v>
      </c>
      <c r="M104" s="139">
        <f>SUM('CA brut produits &amp; sites'!M113:M124)</f>
        <v>168460.67999999996</v>
      </c>
      <c r="N104" s="139">
        <f>SUM('CA brut produits &amp; sites'!N113:N124)</f>
        <v>0</v>
      </c>
      <c r="O104" s="139">
        <f>SUM('CA brut produits &amp; sites'!O113:O124)</f>
        <v>0</v>
      </c>
      <c r="P104" s="141">
        <f>SUM('CA brut produits &amp; sites'!P113:P124)</f>
        <v>0</v>
      </c>
    </row>
    <row r="105" spans="1:16" x14ac:dyDescent="0.3">
      <c r="A105" s="91">
        <v>42005</v>
      </c>
      <c r="B105" s="146"/>
      <c r="C105" s="92">
        <f t="shared" si="18"/>
        <v>3072197.9900000007</v>
      </c>
      <c r="D105" s="92">
        <f>SUM('CA brut produits &amp; sites'!D114:D125)</f>
        <v>1068634.6200000003</v>
      </c>
      <c r="E105" s="92">
        <f>SUM('CA brut produits &amp; sites'!E114:E125)</f>
        <v>312968.31</v>
      </c>
      <c r="F105" s="92">
        <f>SUM('CA brut produits &amp; sites'!F114:F125)</f>
        <v>359383.03</v>
      </c>
      <c r="G105" s="92">
        <f>SUM('CA brut produits &amp; sites'!G114:G125)</f>
        <v>79152.339999999982</v>
      </c>
      <c r="H105" s="92">
        <f>SUM('CA brut produits &amp; sites'!H114:H125)</f>
        <v>122797.06</v>
      </c>
      <c r="I105" s="92">
        <f>SUM('CA brut produits &amp; sites'!I114:I125)</f>
        <v>50219.06</v>
      </c>
      <c r="J105" s="92">
        <f>SUM('CA brut produits &amp; sites'!J114:J125)</f>
        <v>202312.43000000002</v>
      </c>
      <c r="K105" s="92">
        <f>SUM('CA brut produits &amp; sites'!K114:K125)</f>
        <v>565287.57999999996</v>
      </c>
      <c r="L105" s="92">
        <f>SUM('CA brut produits &amp; sites'!L114:L125)</f>
        <v>157116.24000000008</v>
      </c>
      <c r="M105" s="92">
        <f>SUM('CA brut produits &amp; sites'!M114:M125)</f>
        <v>154327.31999999995</v>
      </c>
      <c r="N105" s="92">
        <f>SUM('CA brut produits &amp; sites'!N114:N125)</f>
        <v>0</v>
      </c>
      <c r="O105" s="92">
        <f>SUM('CA brut produits &amp; sites'!O114:O125)</f>
        <v>0</v>
      </c>
      <c r="P105" s="93">
        <f>SUM('CA brut produits &amp; sites'!P114:P125)</f>
        <v>0</v>
      </c>
    </row>
    <row r="106" spans="1:16" x14ac:dyDescent="0.3">
      <c r="A106" s="91">
        <v>42036</v>
      </c>
      <c r="B106" s="146"/>
      <c r="C106" s="92">
        <f t="shared" si="18"/>
        <v>3084327.7200000007</v>
      </c>
      <c r="D106" s="92">
        <f>SUM('CA brut produits &amp; sites'!D115:D126)</f>
        <v>1086932.8500000003</v>
      </c>
      <c r="E106" s="92">
        <f>SUM('CA brut produits &amp; sites'!E115:E126)</f>
        <v>309734.58</v>
      </c>
      <c r="F106" s="92">
        <f>SUM('CA brut produits &amp; sites'!F115:F126)</f>
        <v>354947.03</v>
      </c>
      <c r="G106" s="92">
        <f>SUM('CA brut produits &amp; sites'!G115:G126)</f>
        <v>83686.049999999988</v>
      </c>
      <c r="H106" s="92">
        <f>SUM('CA brut produits &amp; sites'!H115:H126)</f>
        <v>122881.58</v>
      </c>
      <c r="I106" s="92">
        <f>SUM('CA brut produits &amp; sites'!I115:I126)</f>
        <v>55099.299999999996</v>
      </c>
      <c r="J106" s="92">
        <f>SUM('CA brut produits &amp; sites'!J115:J126)</f>
        <v>207271.82</v>
      </c>
      <c r="K106" s="92">
        <f>SUM('CA brut produits &amp; sites'!K115:K126)</f>
        <v>555184.77</v>
      </c>
      <c r="L106" s="92">
        <f>SUM('CA brut produits &amp; sites'!L115:L126)</f>
        <v>158185.83000000007</v>
      </c>
      <c r="M106" s="92">
        <f>SUM('CA brut produits &amp; sites'!M115:M126)</f>
        <v>150403.91</v>
      </c>
      <c r="N106" s="92">
        <f>SUM('CA brut produits &amp; sites'!N115:N126)</f>
        <v>0</v>
      </c>
      <c r="O106" s="92">
        <f>SUM('CA brut produits &amp; sites'!O115:O126)</f>
        <v>0</v>
      </c>
      <c r="P106" s="93">
        <f>SUM('CA brut produits &amp; sites'!P115:P126)</f>
        <v>0</v>
      </c>
    </row>
    <row r="107" spans="1:16" x14ac:dyDescent="0.3">
      <c r="A107" s="91">
        <v>42064</v>
      </c>
      <c r="B107" s="146"/>
      <c r="C107" s="92">
        <f t="shared" si="18"/>
        <v>3045116.2300000004</v>
      </c>
      <c r="D107" s="92">
        <f>SUM('CA brut produits &amp; sites'!D116:D127)</f>
        <v>1059160.99</v>
      </c>
      <c r="E107" s="92">
        <f>SUM('CA brut produits &amp; sites'!E116:E127)</f>
        <v>310626.59000000008</v>
      </c>
      <c r="F107" s="92">
        <f>SUM('CA brut produits &amp; sites'!F116:F127)</f>
        <v>350572.1</v>
      </c>
      <c r="G107" s="92">
        <f>SUM('CA brut produits &amp; sites'!G116:G127)</f>
        <v>92579.919999999984</v>
      </c>
      <c r="H107" s="92">
        <f>SUM('CA brut produits &amp; sites'!H116:H127)</f>
        <v>121442.37000000002</v>
      </c>
      <c r="I107" s="92">
        <f>SUM('CA brut produits &amp; sites'!I116:I127)</f>
        <v>60571.569999999992</v>
      </c>
      <c r="J107" s="92">
        <f>SUM('CA brut produits &amp; sites'!J116:J127)</f>
        <v>218310.71000000002</v>
      </c>
      <c r="K107" s="92">
        <f>SUM('CA brut produits &amp; sites'!K116:K127)</f>
        <v>545785.55999999994</v>
      </c>
      <c r="L107" s="92">
        <f>SUM('CA brut produits &amp; sites'!L116:L127)</f>
        <v>163171.11000000004</v>
      </c>
      <c r="M107" s="92">
        <f>SUM('CA brut produits &amp; sites'!M116:M127)</f>
        <v>122895.31000000001</v>
      </c>
      <c r="N107" s="92">
        <f>SUM('CA brut produits &amp; sites'!N116:N127)</f>
        <v>0</v>
      </c>
      <c r="O107" s="92">
        <f>SUM('CA brut produits &amp; sites'!O116:O127)</f>
        <v>0</v>
      </c>
      <c r="P107" s="93">
        <f>SUM('CA brut produits &amp; sites'!P116:P127)</f>
        <v>0</v>
      </c>
    </row>
    <row r="108" spans="1:16" x14ac:dyDescent="0.3">
      <c r="A108" s="91">
        <v>42095</v>
      </c>
      <c r="B108" s="146"/>
      <c r="C108" s="92">
        <f t="shared" si="18"/>
        <v>3057969.6300000004</v>
      </c>
      <c r="D108" s="92">
        <f>SUM('CA brut produits &amp; sites'!D117:D128)</f>
        <v>1074560</v>
      </c>
      <c r="E108" s="92">
        <f>SUM('CA brut produits &amp; sites'!E117:E128)</f>
        <v>315472.15000000008</v>
      </c>
      <c r="F108" s="92">
        <f>SUM('CA brut produits &amp; sites'!F117:F128)</f>
        <v>355331.39</v>
      </c>
      <c r="G108" s="92">
        <f>SUM('CA brut produits &amp; sites'!G117:G128)</f>
        <v>94041.459999999977</v>
      </c>
      <c r="H108" s="92">
        <f>SUM('CA brut produits &amp; sites'!H117:H128)</f>
        <v>123053.17000000003</v>
      </c>
      <c r="I108" s="92">
        <f>SUM('CA brut produits &amp; sites'!I117:I128)</f>
        <v>50556.6</v>
      </c>
      <c r="J108" s="92">
        <f>SUM('CA brut produits &amp; sites'!J117:J128)</f>
        <v>212136.41000000003</v>
      </c>
      <c r="K108" s="92">
        <f>SUM('CA brut produits &amp; sites'!K117:K128)</f>
        <v>552236.87</v>
      </c>
      <c r="L108" s="92">
        <f>SUM('CA brut produits &amp; sites'!L117:L128)</f>
        <v>158017.25000000003</v>
      </c>
      <c r="M108" s="92">
        <f>SUM('CA brut produits &amp; sites'!M117:M128)</f>
        <v>122564.33000000002</v>
      </c>
      <c r="N108" s="92">
        <f>SUM('CA brut produits &amp; sites'!N117:N128)</f>
        <v>0</v>
      </c>
      <c r="O108" s="92">
        <f>SUM('CA brut produits &amp; sites'!O117:O128)</f>
        <v>0</v>
      </c>
      <c r="P108" s="93">
        <f>SUM('CA brut produits &amp; sites'!P117:P128)</f>
        <v>0</v>
      </c>
    </row>
    <row r="109" spans="1:16" x14ac:dyDescent="0.3">
      <c r="A109" s="91">
        <v>42125</v>
      </c>
      <c r="B109" s="146"/>
      <c r="C109" s="92">
        <f t="shared" si="18"/>
        <v>3006592.9600000004</v>
      </c>
      <c r="D109" s="92">
        <f>SUM('CA brut produits &amp; sites'!D118:D129)</f>
        <v>1070014.1400000001</v>
      </c>
      <c r="E109" s="92">
        <f>SUM('CA brut produits &amp; sites'!E118:E129)</f>
        <v>302198.31000000006</v>
      </c>
      <c r="F109" s="92">
        <f>SUM('CA brut produits &amp; sites'!F118:F129)</f>
        <v>336538.19</v>
      </c>
      <c r="G109" s="92">
        <f>SUM('CA brut produits &amp; sites'!G118:G129)</f>
        <v>91156.14999999998</v>
      </c>
      <c r="H109" s="92">
        <f>SUM('CA brut produits &amp; sites'!H118:H129)</f>
        <v>122214.79000000001</v>
      </c>
      <c r="I109" s="92">
        <f>SUM('CA brut produits &amp; sites'!I118:I129)</f>
        <v>46546.39</v>
      </c>
      <c r="J109" s="92">
        <f>SUM('CA brut produits &amp; sites'!J118:J129)</f>
        <v>211135.76000000007</v>
      </c>
      <c r="K109" s="92">
        <f>SUM('CA brut produits &amp; sites'!K118:K129)</f>
        <v>546456.20000000007</v>
      </c>
      <c r="L109" s="92">
        <f>SUM('CA brut produits &amp; sites'!L118:L129)</f>
        <v>160493.14000000001</v>
      </c>
      <c r="M109" s="92">
        <f>SUM('CA brut produits &amp; sites'!M118:M129)</f>
        <v>119839.89000000001</v>
      </c>
      <c r="N109" s="92">
        <f>SUM('CA brut produits &amp; sites'!N118:N129)</f>
        <v>0</v>
      </c>
      <c r="O109" s="92">
        <f>SUM('CA brut produits &amp; sites'!O118:O129)</f>
        <v>0</v>
      </c>
      <c r="P109" s="93">
        <f>SUM('CA brut produits &amp; sites'!P118:P129)</f>
        <v>0</v>
      </c>
    </row>
    <row r="110" spans="1:16" x14ac:dyDescent="0.3">
      <c r="A110" s="91">
        <v>42156</v>
      </c>
      <c r="B110" s="146"/>
      <c r="C110" s="92">
        <f t="shared" si="18"/>
        <v>3116166.4300000006</v>
      </c>
      <c r="D110" s="92">
        <f>SUM('CA brut produits &amp; sites'!D119:D130)</f>
        <v>1113617.7500000002</v>
      </c>
      <c r="E110" s="92">
        <f>SUM('CA brut produits &amp; sites'!E119:E130)</f>
        <v>324941.78000000009</v>
      </c>
      <c r="F110" s="92">
        <f>SUM('CA brut produits &amp; sites'!F119:F130)</f>
        <v>348493.77</v>
      </c>
      <c r="G110" s="92">
        <f>SUM('CA brut produits &amp; sites'!G119:G130)</f>
        <v>92823.769999999975</v>
      </c>
      <c r="H110" s="92">
        <f>SUM('CA brut produits &amp; sites'!H119:H130)</f>
        <v>108828.23000000001</v>
      </c>
      <c r="I110" s="92">
        <f>SUM('CA brut produits &amp; sites'!I119:I130)</f>
        <v>43770.03</v>
      </c>
      <c r="J110" s="92">
        <f>SUM('CA brut produits &amp; sites'!J119:J130)</f>
        <v>223817.27000000008</v>
      </c>
      <c r="K110" s="92">
        <f>SUM('CA brut produits &amp; sites'!K119:K130)</f>
        <v>567074.11</v>
      </c>
      <c r="L110" s="92">
        <f>SUM('CA brut produits &amp; sites'!L119:L130)</f>
        <v>173718.23000000004</v>
      </c>
      <c r="M110" s="92">
        <f>SUM('CA brut produits &amp; sites'!M119:M130)</f>
        <v>119081.49000000002</v>
      </c>
      <c r="N110" s="92">
        <f>SUM('CA brut produits &amp; sites'!N119:N130)</f>
        <v>0</v>
      </c>
      <c r="O110" s="92">
        <f>SUM('CA brut produits &amp; sites'!O119:O130)</f>
        <v>0</v>
      </c>
      <c r="P110" s="93">
        <f>SUM('CA brut produits &amp; sites'!P119:P130)</f>
        <v>0</v>
      </c>
    </row>
    <row r="111" spans="1:16" x14ac:dyDescent="0.3">
      <c r="A111" s="91">
        <v>42186</v>
      </c>
      <c r="B111" s="146"/>
      <c r="C111" s="92">
        <f t="shared" si="18"/>
        <v>3127088.8300000005</v>
      </c>
      <c r="D111" s="92">
        <f>SUM('CA brut produits &amp; sites'!D120:D131)</f>
        <v>1144158.8</v>
      </c>
      <c r="E111" s="92">
        <f>SUM('CA brut produits &amp; sites'!E120:E131)</f>
        <v>312695.36000000004</v>
      </c>
      <c r="F111" s="92">
        <f>SUM('CA brut produits &amp; sites'!F120:F131)</f>
        <v>346871.16</v>
      </c>
      <c r="G111" s="92">
        <f>SUM('CA brut produits &amp; sites'!G120:G131)</f>
        <v>88009.789999999979</v>
      </c>
      <c r="H111" s="92">
        <f>SUM('CA brut produits &amp; sites'!H120:H131)</f>
        <v>110569.22</v>
      </c>
      <c r="I111" s="92">
        <f>SUM('CA brut produits &amp; sites'!I120:I131)</f>
        <v>45228.71</v>
      </c>
      <c r="J111" s="92">
        <f>SUM('CA brut produits &amp; sites'!J120:J131)</f>
        <v>235752.57000000007</v>
      </c>
      <c r="K111" s="92">
        <f>SUM('CA brut produits &amp; sites'!K120:K131)</f>
        <v>558078.76</v>
      </c>
      <c r="L111" s="92">
        <f>SUM('CA brut produits &amp; sites'!L120:L131)</f>
        <v>170773.53000000006</v>
      </c>
      <c r="M111" s="92">
        <f>SUM('CA brut produits &amp; sites'!M120:M131)</f>
        <v>114950.93000000002</v>
      </c>
      <c r="N111" s="92">
        <f>SUM('CA brut produits &amp; sites'!N120:N131)</f>
        <v>0</v>
      </c>
      <c r="O111" s="92">
        <f>SUM('CA brut produits &amp; sites'!O120:O131)</f>
        <v>0</v>
      </c>
      <c r="P111" s="93">
        <f>SUM('CA brut produits &amp; sites'!P120:P131)</f>
        <v>0</v>
      </c>
    </row>
    <row r="112" spans="1:16" x14ac:dyDescent="0.3">
      <c r="A112" s="91">
        <v>42217</v>
      </c>
      <c r="B112" s="146"/>
      <c r="C112" s="92">
        <f t="shared" si="18"/>
        <v>3118389.040000001</v>
      </c>
      <c r="D112" s="92">
        <f>SUM('CA brut produits &amp; sites'!D121:D132)</f>
        <v>1141170.8300000003</v>
      </c>
      <c r="E112" s="92">
        <f>SUM('CA brut produits &amp; sites'!E121:E132)</f>
        <v>328032.81000000006</v>
      </c>
      <c r="F112" s="92">
        <f>SUM('CA brut produits &amp; sites'!F121:F132)</f>
        <v>345338.69</v>
      </c>
      <c r="G112" s="92">
        <f>SUM('CA brut produits &amp; sites'!G121:G132)</f>
        <v>87130.049999999988</v>
      </c>
      <c r="H112" s="92">
        <f>SUM('CA brut produits &amp; sites'!H121:H132)</f>
        <v>114534.84999999999</v>
      </c>
      <c r="I112" s="92">
        <f>SUM('CA brut produits &amp; sites'!I121:I132)</f>
        <v>46432.9</v>
      </c>
      <c r="J112" s="92">
        <f>SUM('CA brut produits &amp; sites'!J121:J132)</f>
        <v>217794.37000000002</v>
      </c>
      <c r="K112" s="92">
        <f>SUM('CA brut produits &amp; sites'!K121:K132)</f>
        <v>548006.70000000007</v>
      </c>
      <c r="L112" s="92">
        <f>SUM('CA brut produits &amp; sites'!L121:L132)</f>
        <v>170466.72000000006</v>
      </c>
      <c r="M112" s="92">
        <f>SUM('CA brut produits &amp; sites'!M121:M132)</f>
        <v>119481.12000000001</v>
      </c>
      <c r="N112" s="92">
        <f>SUM('CA brut produits &amp; sites'!N121:N132)</f>
        <v>0</v>
      </c>
      <c r="O112" s="92">
        <f>SUM('CA brut produits &amp; sites'!O121:O132)</f>
        <v>0</v>
      </c>
      <c r="P112" s="93">
        <f>SUM('CA brut produits &amp; sites'!P121:P132)</f>
        <v>0</v>
      </c>
    </row>
    <row r="113" spans="1:16" x14ac:dyDescent="0.3">
      <c r="A113" s="91">
        <v>42248</v>
      </c>
      <c r="B113" s="146"/>
      <c r="C113" s="92">
        <f t="shared" si="18"/>
        <v>3107843.0800000005</v>
      </c>
      <c r="D113" s="92">
        <f>SUM('CA brut produits &amp; sites'!D122:D133)</f>
        <v>1114614.6500000001</v>
      </c>
      <c r="E113" s="92">
        <f>SUM('CA brut produits &amp; sites'!E122:E133)</f>
        <v>357456.84</v>
      </c>
      <c r="F113" s="92">
        <f>SUM('CA brut produits &amp; sites'!F122:F133)</f>
        <v>347793.74999999994</v>
      </c>
      <c r="G113" s="92">
        <f>SUM('CA brut produits &amp; sites'!G122:G133)</f>
        <v>81563.16</v>
      </c>
      <c r="H113" s="92">
        <f>SUM('CA brut produits &amp; sites'!H122:H133)</f>
        <v>117185.34000000001</v>
      </c>
      <c r="I113" s="92">
        <f>SUM('CA brut produits &amp; sites'!I122:I133)</f>
        <v>45393.01</v>
      </c>
      <c r="J113" s="92">
        <f>SUM('CA brut produits &amp; sites'!J122:J133)</f>
        <v>216470.82</v>
      </c>
      <c r="K113" s="92">
        <f>SUM('CA brut produits &amp; sites'!K122:K133)</f>
        <v>538159.55000000016</v>
      </c>
      <c r="L113" s="92">
        <f>SUM('CA brut produits &amp; sites'!L122:L133)</f>
        <v>171730.87000000005</v>
      </c>
      <c r="M113" s="92">
        <f>SUM('CA brut produits &amp; sites'!M122:M133)</f>
        <v>117475.09000000001</v>
      </c>
      <c r="N113" s="92">
        <f>SUM('CA brut produits &amp; sites'!N122:N133)</f>
        <v>0</v>
      </c>
      <c r="O113" s="92">
        <f>SUM('CA brut produits &amp; sites'!O122:O133)</f>
        <v>0</v>
      </c>
      <c r="P113" s="93">
        <f>SUM('CA brut produits &amp; sites'!P122:P133)</f>
        <v>0</v>
      </c>
    </row>
    <row r="114" spans="1:16" x14ac:dyDescent="0.3">
      <c r="A114" s="91">
        <v>42278</v>
      </c>
      <c r="B114" s="146"/>
      <c r="C114" s="92">
        <f t="shared" si="18"/>
        <v>3151892.09</v>
      </c>
      <c r="D114" s="92">
        <f>SUM('CA brut produits &amp; sites'!D123:D134)</f>
        <v>1114027.4200000002</v>
      </c>
      <c r="E114" s="92">
        <f>SUM('CA brut produits &amp; sites'!E123:E134)</f>
        <v>365225.52</v>
      </c>
      <c r="F114" s="92">
        <f>SUM('CA brut produits &amp; sites'!F123:F134)</f>
        <v>342771.01999999996</v>
      </c>
      <c r="G114" s="92">
        <f>SUM('CA brut produits &amp; sites'!G123:G134)</f>
        <v>81757.42</v>
      </c>
      <c r="H114" s="92">
        <f>SUM('CA brut produits &amp; sites'!H123:H134)</f>
        <v>126779.56999999999</v>
      </c>
      <c r="I114" s="92">
        <f>SUM('CA brut produits &amp; sites'!I123:I134)</f>
        <v>44400.149999999994</v>
      </c>
      <c r="J114" s="92">
        <f>SUM('CA brut produits &amp; sites'!J123:J134)</f>
        <v>220156.33999999997</v>
      </c>
      <c r="K114" s="92">
        <f>SUM('CA brut produits &amp; sites'!K123:K134)</f>
        <v>557448.72000000032</v>
      </c>
      <c r="L114" s="92">
        <f>SUM('CA brut produits &amp; sites'!L123:L134)</f>
        <v>184319.07000000004</v>
      </c>
      <c r="M114" s="92">
        <f>SUM('CA brut produits &amp; sites'!M123:M134)</f>
        <v>115006.86000000003</v>
      </c>
      <c r="N114" s="92">
        <f>SUM('CA brut produits &amp; sites'!N123:N134)</f>
        <v>0</v>
      </c>
      <c r="O114" s="92">
        <f>SUM('CA brut produits &amp; sites'!O123:O134)</f>
        <v>0</v>
      </c>
      <c r="P114" s="93">
        <f>SUM('CA brut produits &amp; sites'!P123:P134)</f>
        <v>0</v>
      </c>
    </row>
    <row r="115" spans="1:16" x14ac:dyDescent="0.3">
      <c r="A115" s="91">
        <v>42309</v>
      </c>
      <c r="B115" s="146"/>
      <c r="C115" s="92">
        <f t="shared" si="18"/>
        <v>3191525.2500000005</v>
      </c>
      <c r="D115" s="92">
        <f>SUM('CA brut produits &amp; sites'!D124:D135)</f>
        <v>1153367.08</v>
      </c>
      <c r="E115" s="92">
        <f>SUM('CA brut produits &amp; sites'!E124:E135)</f>
        <v>372432.26</v>
      </c>
      <c r="F115" s="92">
        <f>SUM('CA brut produits &amp; sites'!F124:F135)</f>
        <v>346407.80999999994</v>
      </c>
      <c r="G115" s="92">
        <f>SUM('CA brut produits &amp; sites'!G124:G135)</f>
        <v>81352.780000000013</v>
      </c>
      <c r="H115" s="92">
        <f>SUM('CA brut produits &amp; sites'!H124:H135)</f>
        <v>133434.49000000002</v>
      </c>
      <c r="I115" s="92">
        <f>SUM('CA brut produits &amp; sites'!I124:I135)</f>
        <v>47267.909999999996</v>
      </c>
      <c r="J115" s="92">
        <f>SUM('CA brut produits &amp; sites'!J124:J135)</f>
        <v>209338.08999999997</v>
      </c>
      <c r="K115" s="92">
        <f>SUM('CA brut produits &amp; sites'!K124:K135)</f>
        <v>545568.92000000039</v>
      </c>
      <c r="L115" s="92">
        <f>SUM('CA brut produits &amp; sites'!L124:L135)</f>
        <v>185465.56000000003</v>
      </c>
      <c r="M115" s="92">
        <f>SUM('CA brut produits &amp; sites'!M124:M135)</f>
        <v>116622.24000000003</v>
      </c>
      <c r="N115" s="92">
        <f>SUM('CA brut produits &amp; sites'!N124:N135)</f>
        <v>268.11</v>
      </c>
      <c r="O115" s="92">
        <f>SUM('CA brut produits &amp; sites'!O124:O135)</f>
        <v>0</v>
      </c>
      <c r="P115" s="93">
        <f>SUM('CA brut produits &amp; sites'!P124:P135)</f>
        <v>0</v>
      </c>
    </row>
    <row r="116" spans="1:16" x14ac:dyDescent="0.3">
      <c r="A116" s="91">
        <v>42339</v>
      </c>
      <c r="B116" s="146"/>
      <c r="C116" s="92">
        <f t="shared" si="18"/>
        <v>3110354.8499999996</v>
      </c>
      <c r="D116" s="92">
        <f>SUM('CA brut produits &amp; sites'!D125:D136)</f>
        <v>1141929.31</v>
      </c>
      <c r="E116" s="92">
        <f>SUM('CA brut produits &amp; sites'!E125:E136)</f>
        <v>369458.94000000006</v>
      </c>
      <c r="F116" s="92">
        <f>SUM('CA brut produits &amp; sites'!F125:F136)</f>
        <v>343431.77999999991</v>
      </c>
      <c r="G116" s="92">
        <f>SUM('CA brut produits &amp; sites'!G125:G136)</f>
        <v>80279.520000000019</v>
      </c>
      <c r="H116" s="92">
        <f>SUM('CA brut produits &amp; sites'!H125:H136)</f>
        <v>135732.74000000002</v>
      </c>
      <c r="I116" s="92">
        <f>SUM('CA brut produits &amp; sites'!I125:I136)</f>
        <v>47025.849999999991</v>
      </c>
      <c r="J116" s="92">
        <f>SUM('CA brut produits &amp; sites'!J125:J136)</f>
        <v>203514.9</v>
      </c>
      <c r="K116" s="92">
        <f>SUM('CA brut produits &amp; sites'!K125:K136)</f>
        <v>497196.25000000029</v>
      </c>
      <c r="L116" s="92">
        <f>SUM('CA brut produits &amp; sites'!L125:L136)</f>
        <v>184913.34</v>
      </c>
      <c r="M116" s="92">
        <f>SUM('CA brut produits &amp; sites'!M125:M136)</f>
        <v>106604.11000000002</v>
      </c>
      <c r="N116" s="92">
        <f>SUM('CA brut produits &amp; sites'!N125:N136)</f>
        <v>268.11</v>
      </c>
      <c r="O116" s="92">
        <f>SUM('CA brut produits &amp; sites'!O125:O136)</f>
        <v>0</v>
      </c>
      <c r="P116" s="93">
        <f>SUM('CA brut produits &amp; sites'!P125:P136)</f>
        <v>0</v>
      </c>
    </row>
    <row r="117" spans="1:16" x14ac:dyDescent="0.3">
      <c r="A117" s="91">
        <v>42370</v>
      </c>
      <c r="B117" s="146"/>
      <c r="C117" s="92">
        <f t="shared" si="18"/>
        <v>3169678.7400000007</v>
      </c>
      <c r="D117" s="92">
        <f>SUM('CA brut produits &amp; sites'!D126:D137)</f>
        <v>1154407.3700000001</v>
      </c>
      <c r="E117" s="92">
        <f>SUM('CA brut produits &amp; sites'!E126:E137)</f>
        <v>370848.35000000003</v>
      </c>
      <c r="F117" s="92">
        <f>SUM('CA brut produits &amp; sites'!F126:F137)</f>
        <v>337602.40999999992</v>
      </c>
      <c r="G117" s="92">
        <f>SUM('CA brut produits &amp; sites'!G126:G137)</f>
        <v>77369.220000000016</v>
      </c>
      <c r="H117" s="92">
        <f>SUM('CA brut produits &amp; sites'!H126:H137)</f>
        <v>140562.19</v>
      </c>
      <c r="I117" s="92">
        <f>SUM('CA brut produits &amp; sites'!I126:I137)</f>
        <v>48947.689999999988</v>
      </c>
      <c r="J117" s="92">
        <f>SUM('CA brut produits &amp; sites'!J126:J137)</f>
        <v>235775.72999999998</v>
      </c>
      <c r="K117" s="92">
        <f>SUM('CA brut produits &amp; sites'!K126:K137)</f>
        <v>514673.14000000036</v>
      </c>
      <c r="L117" s="92">
        <f>SUM('CA brut produits &amp; sites'!L126:L137)</f>
        <v>180193.78999999998</v>
      </c>
      <c r="M117" s="92">
        <f>SUM('CA brut produits &amp; sites'!M126:M137)</f>
        <v>109030.74000000002</v>
      </c>
      <c r="N117" s="92">
        <f>SUM('CA brut produits &amp; sites'!N126:N137)</f>
        <v>268.11</v>
      </c>
      <c r="O117" s="92">
        <f>SUM('CA brut produits &amp; sites'!O126:O137)</f>
        <v>0</v>
      </c>
      <c r="P117" s="93">
        <f>SUM('CA brut produits &amp; sites'!P126:P137)</f>
        <v>0</v>
      </c>
    </row>
    <row r="118" spans="1:16" x14ac:dyDescent="0.3">
      <c r="A118" s="91">
        <v>42401</v>
      </c>
      <c r="B118" s="146"/>
      <c r="C118" s="92">
        <f t="shared" si="18"/>
        <v>3155950.03</v>
      </c>
      <c r="D118" s="92">
        <f>SUM('CA brut produits &amp; sites'!D127:D138)</f>
        <v>1138727.51</v>
      </c>
      <c r="E118" s="92">
        <f>SUM('CA brut produits &amp; sites'!E127:E138)</f>
        <v>375353.46000000008</v>
      </c>
      <c r="F118" s="92">
        <f>SUM('CA brut produits &amp; sites'!F127:F138)</f>
        <v>336427.50999999995</v>
      </c>
      <c r="G118" s="92">
        <f>SUM('CA brut produits &amp; sites'!G127:G138)</f>
        <v>71110.13</v>
      </c>
      <c r="H118" s="92">
        <f>SUM('CA brut produits &amp; sites'!H127:H138)</f>
        <v>142397.71000000002</v>
      </c>
      <c r="I118" s="92">
        <f>SUM('CA brut produits &amp; sites'!I127:I138)</f>
        <v>44626.589999999989</v>
      </c>
      <c r="J118" s="92">
        <f>SUM('CA brut produits &amp; sites'!J127:J138)</f>
        <v>226537.54000000004</v>
      </c>
      <c r="K118" s="92">
        <f>SUM('CA brut produits &amp; sites'!K127:K138)</f>
        <v>528947.62000000034</v>
      </c>
      <c r="L118" s="92">
        <f>SUM('CA brut produits &amp; sites'!L127:L138)</f>
        <v>180655.07</v>
      </c>
      <c r="M118" s="92">
        <f>SUM('CA brut produits &amp; sites'!M127:M138)</f>
        <v>109427.28000000001</v>
      </c>
      <c r="N118" s="92">
        <f>SUM('CA brut produits &amp; sites'!N127:N138)</f>
        <v>1739.6100000000001</v>
      </c>
      <c r="O118" s="92">
        <f>SUM('CA brut produits &amp; sites'!O127:O138)</f>
        <v>0</v>
      </c>
      <c r="P118" s="93">
        <f>SUM('CA brut produits &amp; sites'!P127:P138)</f>
        <v>0</v>
      </c>
    </row>
    <row r="119" spans="1:16" x14ac:dyDescent="0.3">
      <c r="A119" s="91">
        <v>42430</v>
      </c>
      <c r="B119" s="146"/>
      <c r="C119" s="92">
        <f t="shared" si="18"/>
        <v>3211483.77</v>
      </c>
      <c r="D119" s="92">
        <f>SUM('CA brut produits &amp; sites'!D128:D139)</f>
        <v>1148731.2400000002</v>
      </c>
      <c r="E119" s="92">
        <f>SUM('CA brut produits &amp; sites'!E128:E139)</f>
        <v>383056.36</v>
      </c>
      <c r="F119" s="92">
        <f>SUM('CA brut produits &amp; sites'!F128:F139)</f>
        <v>335191.86</v>
      </c>
      <c r="G119" s="92">
        <f>SUM('CA brut produits &amp; sites'!G128:G139)</f>
        <v>69513.69</v>
      </c>
      <c r="H119" s="92">
        <f>SUM('CA brut produits &amp; sites'!H128:H139)</f>
        <v>142497.27000000002</v>
      </c>
      <c r="I119" s="92">
        <f>SUM('CA brut produits &amp; sites'!I128:I139)</f>
        <v>36466.769999999997</v>
      </c>
      <c r="J119" s="92">
        <f>SUM('CA brut produits &amp; sites'!J128:J139)</f>
        <v>282692.31000000006</v>
      </c>
      <c r="K119" s="92">
        <f>SUM('CA brut produits &amp; sites'!K128:K139)</f>
        <v>521484.37000000029</v>
      </c>
      <c r="L119" s="92">
        <f>SUM('CA brut produits &amp; sites'!L128:L139)</f>
        <v>177593.92999999996</v>
      </c>
      <c r="M119" s="92">
        <f>SUM('CA brut produits &amp; sites'!M128:M139)</f>
        <v>111356.53000000001</v>
      </c>
      <c r="N119" s="92">
        <f>SUM('CA brut produits &amp; sites'!N128:N139)</f>
        <v>2899.4399999999996</v>
      </c>
      <c r="O119" s="92">
        <f>SUM('CA brut produits &amp; sites'!O128:O139)</f>
        <v>0</v>
      </c>
      <c r="P119" s="93">
        <f>SUM('CA brut produits &amp; sites'!P128:P139)</f>
        <v>0</v>
      </c>
    </row>
    <row r="120" spans="1:16" x14ac:dyDescent="0.3">
      <c r="A120" s="91">
        <v>42461</v>
      </c>
      <c r="B120" s="146"/>
      <c r="C120" s="92">
        <f t="shared" si="18"/>
        <v>3191044.2100000004</v>
      </c>
      <c r="D120" s="92">
        <f>SUM('CA brut produits &amp; sites'!D129:D140)</f>
        <v>1118860.75</v>
      </c>
      <c r="E120" s="92">
        <f>SUM('CA brut produits &amp; sites'!E129:E140)</f>
        <v>382256.55000000005</v>
      </c>
      <c r="F120" s="92">
        <f>SUM('CA brut produits &amp; sites'!F129:F140)</f>
        <v>333034.56999999995</v>
      </c>
      <c r="G120" s="92">
        <f>SUM('CA brut produits &amp; sites'!G129:G140)</f>
        <v>77606.350000000006</v>
      </c>
      <c r="H120" s="92">
        <f>SUM('CA brut produits &amp; sites'!H129:H140)</f>
        <v>137041.71000000002</v>
      </c>
      <c r="I120" s="92">
        <f>SUM('CA brut produits &amp; sites'!I129:I140)</f>
        <v>34601.94999999999</v>
      </c>
      <c r="J120" s="92">
        <f>SUM('CA brut produits &amp; sites'!J129:J140)</f>
        <v>288638.15999999997</v>
      </c>
      <c r="K120" s="92">
        <f>SUM('CA brut produits &amp; sites'!K129:K140)</f>
        <v>514868.63000000035</v>
      </c>
      <c r="L120" s="92">
        <f>SUM('CA brut produits &amp; sites'!L129:L140)</f>
        <v>186499.06</v>
      </c>
      <c r="M120" s="92">
        <f>SUM('CA brut produits &amp; sites'!M129:M140)</f>
        <v>113001.78</v>
      </c>
      <c r="N120" s="92">
        <f>SUM('CA brut produits &amp; sites'!N129:N140)</f>
        <v>4634.6999999999989</v>
      </c>
      <c r="O120" s="92">
        <f>SUM('CA brut produits &amp; sites'!O129:O140)</f>
        <v>0</v>
      </c>
      <c r="P120" s="93">
        <f>SUM('CA brut produits &amp; sites'!P129:P140)</f>
        <v>0</v>
      </c>
    </row>
    <row r="121" spans="1:16" x14ac:dyDescent="0.3">
      <c r="A121" s="91">
        <v>42491</v>
      </c>
      <c r="B121" s="146"/>
      <c r="C121" s="92">
        <f t="shared" si="18"/>
        <v>3227800.9000000004</v>
      </c>
      <c r="D121" s="92">
        <f>SUM('CA brut produits &amp; sites'!D130:D141)</f>
        <v>1131668.2799999998</v>
      </c>
      <c r="E121" s="92">
        <f>SUM('CA brut produits &amp; sites'!E130:E141)</f>
        <v>391785.52</v>
      </c>
      <c r="F121" s="92">
        <f>SUM('CA brut produits &amp; sites'!F130:F141)</f>
        <v>342309.94999999995</v>
      </c>
      <c r="G121" s="92">
        <f>SUM('CA brut produits &amp; sites'!G130:G141)</f>
        <v>83732.13</v>
      </c>
      <c r="H121" s="92">
        <f>SUM('CA brut produits &amp; sites'!H130:H141)</f>
        <v>134625.91</v>
      </c>
      <c r="I121" s="92">
        <f>SUM('CA brut produits &amp; sites'!I130:I141)</f>
        <v>35448.51999999999</v>
      </c>
      <c r="J121" s="92">
        <f>SUM('CA brut produits &amp; sites'!J130:J141)</f>
        <v>280242.21000000002</v>
      </c>
      <c r="K121" s="92">
        <f>SUM('CA brut produits &amp; sites'!K130:K141)</f>
        <v>515079.25000000035</v>
      </c>
      <c r="L121" s="92">
        <f>SUM('CA brut produits &amp; sites'!L130:L141)</f>
        <v>187072.98</v>
      </c>
      <c r="M121" s="92">
        <f>SUM('CA brut produits &amp; sites'!M130:M141)</f>
        <v>121201.44999999998</v>
      </c>
      <c r="N121" s="92">
        <f>SUM('CA brut produits &amp; sites'!N130:N141)</f>
        <v>4634.6999999999989</v>
      </c>
      <c r="O121" s="92">
        <f>SUM('CA brut produits &amp; sites'!O130:O141)</f>
        <v>0</v>
      </c>
      <c r="P121" s="93">
        <f>SUM('CA brut produits &amp; sites'!P130:P141)</f>
        <v>0</v>
      </c>
    </row>
    <row r="122" spans="1:16" x14ac:dyDescent="0.3">
      <c r="A122" s="91">
        <v>42522</v>
      </c>
      <c r="B122" s="146"/>
      <c r="C122" s="92">
        <f t="shared" si="18"/>
        <v>3164093.8600000003</v>
      </c>
      <c r="D122" s="92">
        <f>SUM('CA brut produits &amp; sites'!D131:D142)</f>
        <v>1086670.4999999998</v>
      </c>
      <c r="E122" s="92">
        <f>SUM('CA brut produits &amp; sites'!E131:E142)</f>
        <v>365880.35</v>
      </c>
      <c r="F122" s="92">
        <f>SUM('CA brut produits &amp; sites'!F131:F142)</f>
        <v>332736.62999999995</v>
      </c>
      <c r="G122" s="92">
        <f>SUM('CA brut produits &amp; sites'!G131:G142)</f>
        <v>90341.6</v>
      </c>
      <c r="H122" s="92">
        <f>SUM('CA brut produits &amp; sites'!H131:H142)</f>
        <v>152839.82</v>
      </c>
      <c r="I122" s="92">
        <f>SUM('CA brut produits &amp; sites'!I131:I142)</f>
        <v>38841.599999999999</v>
      </c>
      <c r="J122" s="92">
        <f>SUM('CA brut produits &amp; sites'!J131:J142)</f>
        <v>278692.39999999997</v>
      </c>
      <c r="K122" s="92">
        <f>SUM('CA brut produits &amp; sites'!K131:K142)</f>
        <v>506181.8700000004</v>
      </c>
      <c r="L122" s="92">
        <f>SUM('CA brut produits &amp; sites'!L131:L142)</f>
        <v>182574.67000000004</v>
      </c>
      <c r="M122" s="92">
        <f>SUM('CA brut produits &amp; sites'!M131:M142)</f>
        <v>121480.14000000001</v>
      </c>
      <c r="N122" s="92">
        <f>SUM('CA brut produits &amp; sites'!N131:N142)</f>
        <v>7854.2799999999988</v>
      </c>
      <c r="O122" s="92">
        <f>SUM('CA brut produits &amp; sites'!O131:O142)</f>
        <v>0</v>
      </c>
      <c r="P122" s="93">
        <f>SUM('CA brut produits &amp; sites'!P131:P142)</f>
        <v>0</v>
      </c>
    </row>
    <row r="123" spans="1:16" x14ac:dyDescent="0.3">
      <c r="A123" s="91">
        <v>42552</v>
      </c>
      <c r="B123" s="146"/>
      <c r="C123" s="92">
        <f t="shared" si="18"/>
        <v>3157603.25</v>
      </c>
      <c r="D123" s="92">
        <f>SUM('CA brut produits &amp; sites'!D132:D143)</f>
        <v>1107956.7599999998</v>
      </c>
      <c r="E123" s="92">
        <f>SUM('CA brut produits &amp; sites'!E132:E143)</f>
        <v>369903.81</v>
      </c>
      <c r="F123" s="92">
        <f>SUM('CA brut produits &amp; sites'!F132:F143)</f>
        <v>325996.86</v>
      </c>
      <c r="G123" s="92">
        <f>SUM('CA brut produits &amp; sites'!G132:G143)</f>
        <v>92105.17</v>
      </c>
      <c r="H123" s="92">
        <f>SUM('CA brut produits &amp; sites'!H132:H143)</f>
        <v>153527.74999999997</v>
      </c>
      <c r="I123" s="92">
        <f>SUM('CA brut produits &amp; sites'!I132:I143)</f>
        <v>36580.879999999997</v>
      </c>
      <c r="J123" s="92">
        <f>SUM('CA brut produits &amp; sites'!J132:J143)</f>
        <v>264388.85000000003</v>
      </c>
      <c r="K123" s="92">
        <f>SUM('CA brut produits &amp; sites'!K132:K143)</f>
        <v>492281.7900000005</v>
      </c>
      <c r="L123" s="92">
        <f>SUM('CA brut produits &amp; sites'!L132:L143)</f>
        <v>180127.25</v>
      </c>
      <c r="M123" s="92">
        <f>SUM('CA brut produits &amp; sites'!M132:M143)</f>
        <v>126879.85</v>
      </c>
      <c r="N123" s="92">
        <f>SUM('CA brut produits &amp; sites'!N132:N143)</f>
        <v>7854.2799999999988</v>
      </c>
      <c r="O123" s="92">
        <f>SUM('CA brut produits &amp; sites'!O132:O143)</f>
        <v>0</v>
      </c>
      <c r="P123" s="93">
        <f>SUM('CA brut produits &amp; sites'!P132:P143)</f>
        <v>0</v>
      </c>
    </row>
    <row r="124" spans="1:16" x14ac:dyDescent="0.3">
      <c r="A124" s="91">
        <v>42583</v>
      </c>
      <c r="B124" s="146"/>
      <c r="C124" s="92">
        <f t="shared" si="18"/>
        <v>3165662.37</v>
      </c>
      <c r="D124" s="92">
        <f>SUM('CA brut produits &amp; sites'!D133:D144)</f>
        <v>1129170.5999999999</v>
      </c>
      <c r="E124" s="92">
        <f>SUM('CA brut produits &amp; sites'!E133:E144)</f>
        <v>352282.45</v>
      </c>
      <c r="F124" s="92">
        <f>SUM('CA brut produits &amp; sites'!F133:F144)</f>
        <v>324275.13999999996</v>
      </c>
      <c r="G124" s="92">
        <f>SUM('CA brut produits &amp; sites'!G133:G144)</f>
        <v>92019.8</v>
      </c>
      <c r="H124" s="92">
        <f>SUM('CA brut produits &amp; sites'!H133:H144)</f>
        <v>146376.34999999995</v>
      </c>
      <c r="I124" s="92">
        <f>SUM('CA brut produits &amp; sites'!I133:I144)</f>
        <v>33374.729999999996</v>
      </c>
      <c r="J124" s="92">
        <f>SUM('CA brut produits &amp; sites'!J133:J144)</f>
        <v>270254.30000000005</v>
      </c>
      <c r="K124" s="92">
        <f>SUM('CA brut produits &amp; sites'!K133:K144)</f>
        <v>493696.28000000049</v>
      </c>
      <c r="L124" s="92">
        <f>SUM('CA brut produits &amp; sites'!L133:L144)</f>
        <v>188274.28</v>
      </c>
      <c r="M124" s="92">
        <f>SUM('CA brut produits &amp; sites'!M133:M144)</f>
        <v>128084.15999999999</v>
      </c>
      <c r="N124" s="92">
        <f>SUM('CA brut produits &amp; sites'!N133:N144)</f>
        <v>7854.2799999999988</v>
      </c>
      <c r="O124" s="92">
        <f>SUM('CA brut produits &amp; sites'!O133:O144)</f>
        <v>0</v>
      </c>
      <c r="P124" s="93">
        <f>SUM('CA brut produits &amp; sites'!P133:P144)</f>
        <v>0</v>
      </c>
    </row>
    <row r="125" spans="1:16" x14ac:dyDescent="0.3">
      <c r="A125" s="91">
        <v>42614</v>
      </c>
      <c r="B125" s="146"/>
      <c r="C125" s="92">
        <f t="shared" si="18"/>
        <v>3106613.8499999996</v>
      </c>
      <c r="D125" s="92">
        <f>SUM('CA brut produits &amp; sites'!D134:D145)</f>
        <v>1128570.5999999999</v>
      </c>
      <c r="E125" s="92">
        <f>SUM('CA brut produits &amp; sites'!E134:E145)</f>
        <v>339455.24000000005</v>
      </c>
      <c r="F125" s="92">
        <f>SUM('CA brut produits &amp; sites'!F134:F145)</f>
        <v>309327.79999999993</v>
      </c>
      <c r="G125" s="92">
        <f>SUM('CA brut produits &amp; sites'!G134:G145)</f>
        <v>92446.28</v>
      </c>
      <c r="H125" s="92">
        <f>SUM('CA brut produits &amp; sites'!H134:H145)</f>
        <v>133073.09999999998</v>
      </c>
      <c r="I125" s="92">
        <f>SUM('CA brut produits &amp; sites'!I134:I145)</f>
        <v>31524.73</v>
      </c>
      <c r="J125" s="92">
        <f>SUM('CA brut produits &amp; sites'!J134:J145)</f>
        <v>275692</v>
      </c>
      <c r="K125" s="92">
        <f>SUM('CA brut produits &amp; sites'!K134:K145)</f>
        <v>478656.96000000043</v>
      </c>
      <c r="L125" s="92">
        <f>SUM('CA brut produits &amp; sites'!L134:L145)</f>
        <v>179756.15000000002</v>
      </c>
      <c r="M125" s="92">
        <f>SUM('CA brut produits &amp; sites'!M134:M145)</f>
        <v>128909.22999999998</v>
      </c>
      <c r="N125" s="92">
        <f>SUM('CA brut produits &amp; sites'!N134:N145)</f>
        <v>9201.7599999999984</v>
      </c>
      <c r="O125" s="92">
        <f>SUM('CA brut produits &amp; sites'!O134:O145)</f>
        <v>0</v>
      </c>
      <c r="P125" s="93">
        <f>SUM('CA brut produits &amp; sites'!P134:P145)</f>
        <v>0</v>
      </c>
    </row>
    <row r="126" spans="1:16" x14ac:dyDescent="0.3">
      <c r="A126" s="91">
        <v>42644</v>
      </c>
      <c r="B126" s="146"/>
      <c r="C126" s="92">
        <f t="shared" si="18"/>
        <v>3070972.330000001</v>
      </c>
      <c r="D126" s="92">
        <f>SUM('CA brut produits &amp; sites'!D135:D146)</f>
        <v>1150606.0900000001</v>
      </c>
      <c r="E126" s="92">
        <f>SUM('CA brut produits &amp; sites'!E135:E146)</f>
        <v>325038.73000000004</v>
      </c>
      <c r="F126" s="92">
        <f>SUM('CA brut produits &amp; sites'!F135:F146)</f>
        <v>306752.70999999996</v>
      </c>
      <c r="G126" s="92">
        <f>SUM('CA brut produits &amp; sites'!G135:G146)</f>
        <v>86667.099999999991</v>
      </c>
      <c r="H126" s="92">
        <f>SUM('CA brut produits &amp; sites'!H135:H146)</f>
        <v>126203.73999999999</v>
      </c>
      <c r="I126" s="92">
        <f>SUM('CA brut produits &amp; sites'!I135:I146)</f>
        <v>29321.850000000002</v>
      </c>
      <c r="J126" s="92">
        <f>SUM('CA brut produits &amp; sites'!J135:J146)</f>
        <v>271998.88999999996</v>
      </c>
      <c r="K126" s="92">
        <f>SUM('CA brut produits &amp; sites'!K135:K146)</f>
        <v>463680.73000000033</v>
      </c>
      <c r="L126" s="92">
        <f>SUM('CA brut produits &amp; sites'!L135:L146)</f>
        <v>163600.89000000004</v>
      </c>
      <c r="M126" s="92">
        <f>SUM('CA brut produits &amp; sites'!M135:M146)</f>
        <v>134790.38999999998</v>
      </c>
      <c r="N126" s="92">
        <f>SUM('CA brut produits &amp; sites'!N135:N146)</f>
        <v>12311.21</v>
      </c>
      <c r="O126" s="92">
        <f>SUM('CA brut produits &amp; sites'!O135:O146)</f>
        <v>0</v>
      </c>
      <c r="P126" s="93">
        <f>SUM('CA brut produits &amp; sites'!P135:P146)</f>
        <v>0</v>
      </c>
    </row>
    <row r="127" spans="1:16" x14ac:dyDescent="0.3">
      <c r="A127" s="91">
        <v>42675</v>
      </c>
      <c r="B127" s="146"/>
      <c r="C127" s="92">
        <f t="shared" si="18"/>
        <v>3036626.8000000003</v>
      </c>
      <c r="D127" s="92">
        <f>SUM('CA brut produits &amp; sites'!D136:D147)</f>
        <v>1142381.8699999999</v>
      </c>
      <c r="E127" s="92">
        <f>SUM('CA brut produits &amp; sites'!E136:E147)</f>
        <v>322062.13</v>
      </c>
      <c r="F127" s="92">
        <f>SUM('CA brut produits &amp; sites'!F136:F147)</f>
        <v>288675.14</v>
      </c>
      <c r="G127" s="92">
        <f>SUM('CA brut produits &amp; sites'!G136:G147)</f>
        <v>86275.589999999982</v>
      </c>
      <c r="H127" s="92">
        <f>SUM('CA brut produits &amp; sites'!H136:H147)</f>
        <v>129313.39</v>
      </c>
      <c r="I127" s="92">
        <f>SUM('CA brut produits &amp; sites'!I136:I147)</f>
        <v>24196.55</v>
      </c>
      <c r="J127" s="92">
        <f>SUM('CA brut produits &amp; sites'!J136:J147)</f>
        <v>281516.20999999996</v>
      </c>
      <c r="K127" s="92">
        <f>SUM('CA brut produits &amp; sites'!K136:K147)</f>
        <v>440588.33000000037</v>
      </c>
      <c r="L127" s="92">
        <f>SUM('CA brut produits &amp; sites'!L136:L147)</f>
        <v>166730.06000000006</v>
      </c>
      <c r="M127" s="92">
        <f>SUM('CA brut produits &amp; sites'!M136:M147)</f>
        <v>140716.71999999997</v>
      </c>
      <c r="N127" s="92">
        <f>SUM('CA brut produits &amp; sites'!N136:N147)</f>
        <v>14170.81</v>
      </c>
      <c r="O127" s="92">
        <f>SUM('CA brut produits &amp; sites'!O136:O147)</f>
        <v>0</v>
      </c>
      <c r="P127" s="93">
        <f>SUM('CA brut produits &amp; sites'!P136:P147)</f>
        <v>0</v>
      </c>
    </row>
    <row r="128" spans="1:16" x14ac:dyDescent="0.3">
      <c r="A128" s="91">
        <v>42705</v>
      </c>
      <c r="B128" s="146"/>
      <c r="C128" s="92">
        <f t="shared" si="18"/>
        <v>3000327.9099999997</v>
      </c>
      <c r="D128" s="92">
        <f>SUM('CA brut produits &amp; sites'!D137:D148)</f>
        <v>1116800.1100000001</v>
      </c>
      <c r="E128" s="92">
        <f>SUM('CA brut produits &amp; sites'!E137:E148)</f>
        <v>327127.77</v>
      </c>
      <c r="F128" s="92">
        <f>SUM('CA brut produits &amp; sites'!F137:F148)</f>
        <v>283495.08</v>
      </c>
      <c r="G128" s="92">
        <f>SUM('CA brut produits &amp; sites'!G137:G148)</f>
        <v>83642.959999999992</v>
      </c>
      <c r="H128" s="92">
        <f>SUM('CA brut produits &amp; sites'!H137:H148)</f>
        <v>129311.94999999998</v>
      </c>
      <c r="I128" s="92">
        <f>SUM('CA brut produits &amp; sites'!I137:I148)</f>
        <v>26102.44</v>
      </c>
      <c r="J128" s="92">
        <f>SUM('CA brut produits &amp; sites'!J137:J148)</f>
        <v>279943.17</v>
      </c>
      <c r="K128" s="92">
        <f>SUM('CA brut produits &amp; sites'!K137:K148)</f>
        <v>427553.91000000027</v>
      </c>
      <c r="L128" s="92">
        <f>SUM('CA brut produits &amp; sites'!L137:L148)</f>
        <v>155782.91999999998</v>
      </c>
      <c r="M128" s="92">
        <f>SUM('CA brut produits &amp; sites'!M137:M148)</f>
        <v>155985.75999999998</v>
      </c>
      <c r="N128" s="92">
        <f>SUM('CA brut produits &amp; sites'!N137:N148)</f>
        <v>14581.84</v>
      </c>
      <c r="O128" s="92">
        <f>SUM('CA brut produits &amp; sites'!O137:O148)</f>
        <v>0</v>
      </c>
      <c r="P128" s="93">
        <f>SUM('CA brut produits &amp; sites'!P137:P148)</f>
        <v>0</v>
      </c>
    </row>
    <row r="129" spans="1:16" ht="15" customHeight="1" x14ac:dyDescent="0.3">
      <c r="A129" s="91">
        <v>42736</v>
      </c>
      <c r="B129" s="146"/>
      <c r="C129" s="92">
        <f t="shared" si="18"/>
        <v>2955794.8400000008</v>
      </c>
      <c r="D129" s="92">
        <f>SUM('CA brut produits &amp; sites'!D138:D149)</f>
        <v>1122391.5100000002</v>
      </c>
      <c r="E129" s="92">
        <f>SUM('CA brut produits &amp; sites'!E138:E149)</f>
        <v>321983.71000000002</v>
      </c>
      <c r="F129" s="92">
        <f>SUM('CA brut produits &amp; sites'!F138:F149)</f>
        <v>283652.53000000003</v>
      </c>
      <c r="G129" s="92">
        <f>SUM('CA brut produits &amp; sites'!G138:G149)</f>
        <v>81820.749999999985</v>
      </c>
      <c r="H129" s="92">
        <f>SUM('CA brut produits &amp; sites'!H138:H149)</f>
        <v>136659.04</v>
      </c>
      <c r="I129" s="92">
        <f>SUM('CA brut produits &amp; sites'!I138:I149)</f>
        <v>23876.53</v>
      </c>
      <c r="J129" s="92">
        <f>SUM('CA brut produits &amp; sites'!J138:J149)</f>
        <v>233348.43000000002</v>
      </c>
      <c r="K129" s="92">
        <f>SUM('CA brut produits &amp; sites'!K138:K149)</f>
        <v>417064.28000000026</v>
      </c>
      <c r="L129" s="92">
        <f>SUM('CA brut produits &amp; sites'!L138:L149)</f>
        <v>148016.71</v>
      </c>
      <c r="M129" s="92">
        <f>SUM('CA brut produits &amp; sites'!M138:M149)</f>
        <v>166026.57999999999</v>
      </c>
      <c r="N129" s="92">
        <f>SUM('CA brut produits &amp; sites'!N138:N149)</f>
        <v>20954.77</v>
      </c>
      <c r="O129" s="92">
        <f>SUM('CA brut produits &amp; sites'!O138:O149)</f>
        <v>0</v>
      </c>
      <c r="P129" s="93">
        <f>SUM('CA brut produits &amp; sites'!P138:P149)</f>
        <v>0</v>
      </c>
    </row>
    <row r="130" spans="1:16" x14ac:dyDescent="0.3">
      <c r="A130" s="91">
        <v>42767</v>
      </c>
      <c r="B130" s="146"/>
      <c r="C130" s="92">
        <f t="shared" si="18"/>
        <v>2922540.2700000005</v>
      </c>
      <c r="D130" s="92">
        <f>SUM('CA brut produits &amp; sites'!D139:D150)</f>
        <v>1115897.1700000002</v>
      </c>
      <c r="E130" s="92">
        <f>SUM('CA brut produits &amp; sites'!E139:E150)</f>
        <v>333680.81</v>
      </c>
      <c r="F130" s="92">
        <f>SUM('CA brut produits &amp; sites'!F139:F150)</f>
        <v>272616.27</v>
      </c>
      <c r="G130" s="92">
        <f>SUM('CA brut produits &amp; sites'!G139:G150)</f>
        <v>80222.13</v>
      </c>
      <c r="H130" s="92">
        <f>SUM('CA brut produits &amp; sites'!H139:H150)</f>
        <v>129775.95</v>
      </c>
      <c r="I130" s="92">
        <f>SUM('CA brut produits &amp; sites'!I139:I150)</f>
        <v>22175.040000000001</v>
      </c>
      <c r="J130" s="92">
        <f>SUM('CA brut produits &amp; sites'!J139:J150)</f>
        <v>238558.07</v>
      </c>
      <c r="K130" s="92">
        <f>SUM('CA brut produits &amp; sites'!K139:K150)</f>
        <v>388844.62000000023</v>
      </c>
      <c r="L130" s="92">
        <f>SUM('CA brut produits &amp; sites'!L139:L150)</f>
        <v>150976.02000000002</v>
      </c>
      <c r="M130" s="92">
        <f>SUM('CA brut produits &amp; sites'!M139:M150)</f>
        <v>170310.92</v>
      </c>
      <c r="N130" s="92">
        <f>SUM('CA brut produits &amp; sites'!N139:N150)</f>
        <v>19483.269999999997</v>
      </c>
      <c r="O130" s="92">
        <f>SUM('CA brut produits &amp; sites'!O139:O150)</f>
        <v>0</v>
      </c>
      <c r="P130" s="93">
        <f>SUM('CA brut produits &amp; sites'!P139:P150)</f>
        <v>0</v>
      </c>
    </row>
    <row r="131" spans="1:16" x14ac:dyDescent="0.3">
      <c r="A131" s="91">
        <v>42795</v>
      </c>
      <c r="B131" s="146"/>
      <c r="C131" s="92">
        <f t="shared" si="18"/>
        <v>2882422.21</v>
      </c>
      <c r="D131" s="92">
        <f>SUM('CA brut produits &amp; sites'!D140:D151)</f>
        <v>1163514.07</v>
      </c>
      <c r="E131" s="92">
        <f>SUM('CA brut produits &amp; sites'!E140:E151)</f>
        <v>322640.71000000002</v>
      </c>
      <c r="F131" s="92">
        <f>SUM('CA brut produits &amp; sites'!F140:F151)</f>
        <v>275152.78999999998</v>
      </c>
      <c r="G131" s="92">
        <f>SUM('CA brut produits &amp; sites'!G140:G151)</f>
        <v>71192.789999999994</v>
      </c>
      <c r="H131" s="92">
        <f>SUM('CA brut produits &amp; sites'!H140:H151)</f>
        <v>127491.56</v>
      </c>
      <c r="I131" s="92">
        <f>SUM('CA brut produits &amp; sites'!I140:I151)</f>
        <v>22112.98</v>
      </c>
      <c r="J131" s="92">
        <f>SUM('CA brut produits &amp; sites'!J140:J151)</f>
        <v>171500.33999999997</v>
      </c>
      <c r="K131" s="92">
        <f>SUM('CA brut produits &amp; sites'!K140:K151)</f>
        <v>390981.39000000025</v>
      </c>
      <c r="L131" s="92">
        <f>SUM('CA brut produits &amp; sites'!L140:L151)</f>
        <v>145496.63</v>
      </c>
      <c r="M131" s="92">
        <f>SUM('CA brut produits &amp; sites'!M140:M151)</f>
        <v>172113.92000000001</v>
      </c>
      <c r="N131" s="92">
        <f>SUM('CA brut produits &amp; sites'!N140:N151)</f>
        <v>20225.030000000002</v>
      </c>
      <c r="O131" s="92">
        <f>SUM('CA brut produits &amp; sites'!O140:O151)</f>
        <v>0</v>
      </c>
      <c r="P131" s="93">
        <f>SUM('CA brut produits &amp; sites'!P140:P151)</f>
        <v>0</v>
      </c>
    </row>
    <row r="132" spans="1:16" x14ac:dyDescent="0.3">
      <c r="A132" s="91">
        <v>42826</v>
      </c>
      <c r="B132" s="146"/>
      <c r="C132" s="92">
        <f t="shared" si="18"/>
        <v>2815323.08</v>
      </c>
      <c r="D132" s="92">
        <f>SUM('CA brut produits &amp; sites'!D141:D152)</f>
        <v>1162164.24</v>
      </c>
      <c r="E132" s="92">
        <f>SUM('CA brut produits &amp; sites'!E141:E152)</f>
        <v>314405.40999999997</v>
      </c>
      <c r="F132" s="92">
        <f>SUM('CA brut produits &amp; sites'!F141:F152)</f>
        <v>262247.74</v>
      </c>
      <c r="G132" s="92">
        <f>SUM('CA brut produits &amp; sites'!G141:G152)</f>
        <v>57277.69999999999</v>
      </c>
      <c r="H132" s="92">
        <f>SUM('CA brut produits &amp; sites'!H141:H152)</f>
        <v>125230.53</v>
      </c>
      <c r="I132" s="92">
        <f>SUM('CA brut produits &amp; sites'!I141:I152)</f>
        <v>25247.34</v>
      </c>
      <c r="J132" s="92">
        <f>SUM('CA brut produits &amp; sites'!J141:J152)</f>
        <v>166018.93999999997</v>
      </c>
      <c r="K132" s="92">
        <f>SUM('CA brut produits &amp; sites'!K141:K152)</f>
        <v>379785.87000000005</v>
      </c>
      <c r="L132" s="92">
        <f>SUM('CA brut produits &amp; sites'!L141:L152)</f>
        <v>131528.06000000003</v>
      </c>
      <c r="M132" s="92">
        <f>SUM('CA brut produits &amp; sites'!M141:M152)</f>
        <v>170543.22</v>
      </c>
      <c r="N132" s="92">
        <f>SUM('CA brut produits &amp; sites'!N141:N152)</f>
        <v>20874.03</v>
      </c>
      <c r="O132" s="92">
        <f>SUM('CA brut produits &amp; sites'!O141:O152)</f>
        <v>0</v>
      </c>
      <c r="P132" s="93">
        <f>SUM('CA brut produits &amp; sites'!P141:P152)</f>
        <v>0</v>
      </c>
    </row>
    <row r="133" spans="1:16" x14ac:dyDescent="0.3">
      <c r="A133" s="91">
        <v>42856</v>
      </c>
      <c r="B133" s="146"/>
      <c r="C133" s="92">
        <f t="shared" si="18"/>
        <v>2883460.3800000008</v>
      </c>
      <c r="D133" s="92">
        <f>SUM('CA brut produits &amp; sites'!D142:D153)</f>
        <v>1207444.01</v>
      </c>
      <c r="E133" s="92">
        <f>SUM('CA brut produits &amp; sites'!E142:E153)</f>
        <v>306669.40000000002</v>
      </c>
      <c r="F133" s="92">
        <f>SUM('CA brut produits &amp; sites'!F142:F153)</f>
        <v>255333.37</v>
      </c>
      <c r="G133" s="92">
        <f>SUM('CA brut produits &amp; sites'!G142:G153)</f>
        <v>51144.12</v>
      </c>
      <c r="H133" s="92">
        <f>SUM('CA brut produits &amp; sites'!H142:H153)</f>
        <v>140112.79999999999</v>
      </c>
      <c r="I133" s="92">
        <f>SUM('CA brut produits &amp; sites'!I142:I153)</f>
        <v>23520.59</v>
      </c>
      <c r="J133" s="92">
        <f>SUM('CA brut produits &amp; sites'!J142:J153)</f>
        <v>184966.13999999998</v>
      </c>
      <c r="K133" s="92">
        <f>SUM('CA brut produits &amp; sites'!K142:K153)</f>
        <v>394996.81000000011</v>
      </c>
      <c r="L133" s="92">
        <f>SUM('CA brut produits &amp; sites'!L142:L153)</f>
        <v>127986.90000000001</v>
      </c>
      <c r="M133" s="92">
        <f>SUM('CA brut produits &amp; sites'!M142:M153)</f>
        <v>163952.43000000002</v>
      </c>
      <c r="N133" s="92">
        <f>SUM('CA brut produits &amp; sites'!N142:N153)</f>
        <v>27333.809999999998</v>
      </c>
      <c r="O133" s="92">
        <f>SUM('CA brut produits &amp; sites'!O142:O153)</f>
        <v>0</v>
      </c>
      <c r="P133" s="93">
        <f>SUM('CA brut produits &amp; sites'!P142:P153)</f>
        <v>0</v>
      </c>
    </row>
    <row r="134" spans="1:16" x14ac:dyDescent="0.3">
      <c r="A134" s="91">
        <v>42887</v>
      </c>
      <c r="B134" s="146"/>
      <c r="C134" s="92">
        <f t="shared" si="18"/>
        <v>2859660.1700000004</v>
      </c>
      <c r="D134" s="92">
        <f>SUM('CA brut produits &amp; sites'!D143:D154)</f>
        <v>1243567.3</v>
      </c>
      <c r="E134" s="92">
        <f>SUM('CA brut produits &amp; sites'!E143:E154)</f>
        <v>280918.74000000005</v>
      </c>
      <c r="F134" s="92">
        <f>SUM('CA brut produits &amp; sites'!F143:F154)</f>
        <v>241920.35000000003</v>
      </c>
      <c r="G134" s="92">
        <f>SUM('CA brut produits &amp; sites'!G143:G154)</f>
        <v>42511.989999999991</v>
      </c>
      <c r="H134" s="92">
        <f>SUM('CA brut produits &amp; sites'!H143:H154)</f>
        <v>130712.38</v>
      </c>
      <c r="I134" s="92">
        <f>SUM('CA brut produits &amp; sites'!I143:I154)</f>
        <v>19973.900000000001</v>
      </c>
      <c r="J134" s="92">
        <f>SUM('CA brut produits &amp; sites'!J143:J154)</f>
        <v>204587.24</v>
      </c>
      <c r="K134" s="92">
        <f>SUM('CA brut produits &amp; sites'!K143:K154)</f>
        <v>389476.63</v>
      </c>
      <c r="L134" s="92">
        <f>SUM('CA brut produits &amp; sites'!L143:L154)</f>
        <v>117468.22</v>
      </c>
      <c r="M134" s="92">
        <f>SUM('CA brut produits &amp; sites'!M143:M154)</f>
        <v>163619.55000000002</v>
      </c>
      <c r="N134" s="92">
        <f>SUM('CA brut produits &amp; sites'!N143:N154)</f>
        <v>24903.869999999995</v>
      </c>
      <c r="O134" s="92">
        <f>SUM('CA brut produits &amp; sites'!O143:O154)</f>
        <v>0</v>
      </c>
      <c r="P134" s="93">
        <f>SUM('CA brut produits &amp; sites'!P143:P154)</f>
        <v>0</v>
      </c>
    </row>
    <row r="135" spans="1:16" x14ac:dyDescent="0.3">
      <c r="A135" s="91">
        <v>42917</v>
      </c>
      <c r="B135" s="146"/>
      <c r="C135" s="92">
        <f t="shared" si="18"/>
        <v>2841414.1300000004</v>
      </c>
      <c r="D135" s="92">
        <f>SUM('CA brut produits &amp; sites'!D144:D155)</f>
        <v>1236699.4000000001</v>
      </c>
      <c r="E135" s="92">
        <f>SUM('CA brut produits &amp; sites'!E144:E155)</f>
        <v>277253.07</v>
      </c>
      <c r="F135" s="92">
        <f>SUM('CA brut produits &amp; sites'!F144:F155)</f>
        <v>243002.64000000004</v>
      </c>
      <c r="G135" s="92">
        <f>SUM('CA brut produits &amp; sites'!G144:G155)</f>
        <v>37963.82</v>
      </c>
      <c r="H135" s="92">
        <f>SUM('CA brut produits &amp; sites'!H144:H155)</f>
        <v>128538.18999999999</v>
      </c>
      <c r="I135" s="92">
        <f>SUM('CA brut produits &amp; sites'!I144:I155)</f>
        <v>19057.310000000001</v>
      </c>
      <c r="J135" s="92">
        <f>SUM('CA brut produits &amp; sites'!J144:J155)</f>
        <v>201087.09000000003</v>
      </c>
      <c r="K135" s="92">
        <f>SUM('CA brut produits &amp; sites'!K144:K155)</f>
        <v>394936.38000000006</v>
      </c>
      <c r="L135" s="92">
        <f>SUM('CA brut produits &amp; sites'!L144:L155)</f>
        <v>115472.01000000001</v>
      </c>
      <c r="M135" s="92">
        <f>SUM('CA brut produits &amp; sites'!M144:M155)</f>
        <v>162179.44999999998</v>
      </c>
      <c r="N135" s="92">
        <f>SUM('CA brut produits &amp; sites'!N144:N155)</f>
        <v>25224.769999999997</v>
      </c>
      <c r="O135" s="92">
        <f>SUM('CA brut produits &amp; sites'!O144:O155)</f>
        <v>0</v>
      </c>
      <c r="P135" s="93">
        <f>SUM('CA brut produits &amp; sites'!P144:P155)</f>
        <v>0</v>
      </c>
    </row>
    <row r="136" spans="1:16" x14ac:dyDescent="0.3">
      <c r="A136" s="91">
        <v>42948</v>
      </c>
      <c r="B136" s="146"/>
      <c r="C136" s="92">
        <f t="shared" si="18"/>
        <v>2817102.4899999993</v>
      </c>
      <c r="D136" s="92">
        <f>SUM('CA brut produits &amp; sites'!D145:D156)</f>
        <v>1234558.3599999999</v>
      </c>
      <c r="E136" s="92">
        <f>SUM('CA brut produits &amp; sites'!E145:E156)</f>
        <v>272312.56999999995</v>
      </c>
      <c r="F136" s="92">
        <f>SUM('CA brut produits &amp; sites'!F145:F156)</f>
        <v>240315.31000000006</v>
      </c>
      <c r="G136" s="92">
        <f>SUM('CA brut produits &amp; sites'!G145:G156)</f>
        <v>36940.730000000003</v>
      </c>
      <c r="H136" s="92">
        <f>SUM('CA brut produits &amp; sites'!H145:H156)</f>
        <v>124473.93999999999</v>
      </c>
      <c r="I136" s="92">
        <f>SUM('CA brut produits &amp; sites'!I145:I156)</f>
        <v>19288.72</v>
      </c>
      <c r="J136" s="92">
        <f>SUM('CA brut produits &amp; sites'!J145:J156)</f>
        <v>195527.78999999998</v>
      </c>
      <c r="K136" s="92">
        <f>SUM('CA brut produits &amp; sites'!K145:K156)</f>
        <v>398402.52000000008</v>
      </c>
      <c r="L136" s="92">
        <f>SUM('CA brut produits &amp; sites'!L145:L156)</f>
        <v>111953.76000000001</v>
      </c>
      <c r="M136" s="92">
        <f>SUM('CA brut produits &amp; sites'!M145:M156)</f>
        <v>158104.01999999996</v>
      </c>
      <c r="N136" s="92">
        <f>SUM('CA brut produits &amp; sites'!N145:N156)</f>
        <v>25224.769999999997</v>
      </c>
      <c r="O136" s="92">
        <f>SUM('CA brut produits &amp; sites'!O145:O156)</f>
        <v>0</v>
      </c>
      <c r="P136" s="93">
        <f>SUM('CA brut produits &amp; sites'!P145:P156)</f>
        <v>0</v>
      </c>
    </row>
    <row r="137" spans="1:16" x14ac:dyDescent="0.3">
      <c r="A137" s="91">
        <v>42979</v>
      </c>
      <c r="B137" s="146"/>
      <c r="C137" s="92">
        <f t="shared" si="18"/>
        <v>2847756.36</v>
      </c>
      <c r="D137" s="92">
        <f>SUM('CA brut produits &amp; sites'!D146:D157)</f>
        <v>1286109.6299999999</v>
      </c>
      <c r="E137" s="92">
        <f>SUM('CA brut produits &amp; sites'!E146:E157)</f>
        <v>254089.41999999998</v>
      </c>
      <c r="F137" s="92">
        <f>SUM('CA brut produits &amp; sites'!F146:F157)</f>
        <v>238635.80000000005</v>
      </c>
      <c r="G137" s="92">
        <f>SUM('CA brut produits &amp; sites'!G146:G157)</f>
        <v>35989.730000000003</v>
      </c>
      <c r="H137" s="92">
        <f>SUM('CA brut produits &amp; sites'!H146:H157)</f>
        <v>131676.88999999998</v>
      </c>
      <c r="I137" s="92">
        <f>SUM('CA brut produits &amp; sites'!I146:I157)</f>
        <v>21228.679999999997</v>
      </c>
      <c r="J137" s="92">
        <f>SUM('CA brut produits &amp; sites'!J146:J157)</f>
        <v>181812.09</v>
      </c>
      <c r="K137" s="92">
        <f>SUM('CA brut produits &amp; sites'!K146:K157)</f>
        <v>401810.94000000012</v>
      </c>
      <c r="L137" s="92">
        <f>SUM('CA brut produits &amp; sites'!L146:L157)</f>
        <v>107320.65999999999</v>
      </c>
      <c r="M137" s="92">
        <f>SUM('CA brut produits &amp; sites'!M146:M157)</f>
        <v>162713.91999999998</v>
      </c>
      <c r="N137" s="92">
        <f>SUM('CA brut produits &amp; sites'!N146:N157)</f>
        <v>26368.600000000002</v>
      </c>
      <c r="O137" s="92">
        <f>SUM('CA brut produits &amp; sites'!O146:O157)</f>
        <v>0</v>
      </c>
      <c r="P137" s="93">
        <f>SUM('CA brut produits &amp; sites'!P146:P157)</f>
        <v>0</v>
      </c>
    </row>
    <row r="138" spans="1:16" x14ac:dyDescent="0.3">
      <c r="A138" s="91">
        <v>43009</v>
      </c>
      <c r="B138" s="146"/>
      <c r="C138" s="92">
        <f t="shared" si="18"/>
        <v>2848374.04</v>
      </c>
      <c r="D138" s="92">
        <f>SUM('CA brut produits &amp; sites'!D147:D158)</f>
        <v>1303240.8999999999</v>
      </c>
      <c r="E138" s="92">
        <f>SUM('CA brut produits &amp; sites'!E147:E158)</f>
        <v>263256.25</v>
      </c>
      <c r="F138" s="92">
        <f>SUM('CA brut produits &amp; sites'!F147:F158)</f>
        <v>236902.41</v>
      </c>
      <c r="G138" s="92">
        <f>SUM('CA brut produits &amp; sites'!G147:G158)</f>
        <v>37290.04</v>
      </c>
      <c r="H138" s="92">
        <f>SUM('CA brut produits &amp; sites'!H147:H158)</f>
        <v>120289.49999999999</v>
      </c>
      <c r="I138" s="92">
        <f>SUM('CA brut produits &amp; sites'!I147:I158)</f>
        <v>22996.63</v>
      </c>
      <c r="J138" s="92">
        <f>SUM('CA brut produits &amp; sites'!J147:J158)</f>
        <v>172238.49000000002</v>
      </c>
      <c r="K138" s="92">
        <f>SUM('CA brut produits &amp; sites'!K147:K158)</f>
        <v>401616.6100000001</v>
      </c>
      <c r="L138" s="92">
        <f>SUM('CA brut produits &amp; sites'!L147:L158)</f>
        <v>107600.30000000002</v>
      </c>
      <c r="M138" s="92">
        <f>SUM('CA brut produits &amp; sites'!M147:M158)</f>
        <v>158424.15999999997</v>
      </c>
      <c r="N138" s="92">
        <f>SUM('CA brut produits &amp; sites'!N147:N158)</f>
        <v>24518.75</v>
      </c>
      <c r="O138" s="92">
        <f>SUM('CA brut produits &amp; sites'!O147:O158)</f>
        <v>0</v>
      </c>
      <c r="P138" s="93">
        <f>SUM('CA brut produits &amp; sites'!P147:P158)</f>
        <v>0</v>
      </c>
    </row>
    <row r="139" spans="1:16" x14ac:dyDescent="0.3">
      <c r="A139" s="91">
        <v>43040</v>
      </c>
      <c r="B139" s="146"/>
      <c r="C139" s="92">
        <f t="shared" si="18"/>
        <v>2843712.2299999995</v>
      </c>
      <c r="D139" s="92">
        <f>SUM('CA brut produits &amp; sites'!D148:D159)</f>
        <v>1352732.43</v>
      </c>
      <c r="E139" s="92">
        <f>SUM('CA brut produits &amp; sites'!E148:E159)</f>
        <v>250837.22</v>
      </c>
      <c r="F139" s="92">
        <f>SUM('CA brut produits &amp; sites'!F148:F159)</f>
        <v>237232.50999999998</v>
      </c>
      <c r="G139" s="92">
        <f>SUM('CA brut produits &amp; sites'!G148:G159)</f>
        <v>36005.61</v>
      </c>
      <c r="H139" s="92">
        <f>SUM('CA brut produits &amp; sites'!H148:H159)</f>
        <v>117465.31</v>
      </c>
      <c r="I139" s="92">
        <f>SUM('CA brut produits &amp; sites'!I148:I159)</f>
        <v>24939.89</v>
      </c>
      <c r="J139" s="92">
        <f>SUM('CA brut produits &amp; sites'!J148:J159)</f>
        <v>160126.32</v>
      </c>
      <c r="K139" s="92">
        <f>SUM('CA brut produits &amp; sites'!K148:K159)</f>
        <v>390327.13</v>
      </c>
      <c r="L139" s="92">
        <f>SUM('CA brut produits &amp; sites'!L148:L159)</f>
        <v>96339.780000000013</v>
      </c>
      <c r="M139" s="92">
        <f>SUM('CA brut produits &amp; sites'!M148:M159)</f>
        <v>154260.85999999999</v>
      </c>
      <c r="N139" s="92">
        <f>SUM('CA brut produits &amp; sites'!N148:N159)</f>
        <v>23445.170000000002</v>
      </c>
      <c r="O139" s="92">
        <f>SUM('CA brut produits &amp; sites'!O148:O159)</f>
        <v>0</v>
      </c>
      <c r="P139" s="93">
        <f>SUM('CA brut produits &amp; sites'!P148:P159)</f>
        <v>0</v>
      </c>
    </row>
    <row r="140" spans="1:16" x14ac:dyDescent="0.3">
      <c r="A140" s="91">
        <v>43070</v>
      </c>
      <c r="B140" s="146"/>
      <c r="C140" s="92">
        <f t="shared" si="18"/>
        <v>2814821.5300000007</v>
      </c>
      <c r="D140" s="92">
        <f>SUM('CA brut produits &amp; sites'!D149:D160)</f>
        <v>1336159.92</v>
      </c>
      <c r="E140" s="92">
        <f>SUM('CA brut produits &amp; sites'!E149:E160)</f>
        <v>244955.25</v>
      </c>
      <c r="F140" s="92">
        <f>SUM('CA brut produits &amp; sites'!F149:F160)</f>
        <v>233177.23999999996</v>
      </c>
      <c r="G140" s="92">
        <f>SUM('CA brut produits &amp; sites'!G149:G160)</f>
        <v>36185.040000000001</v>
      </c>
      <c r="H140" s="92">
        <f>SUM('CA brut produits &amp; sites'!H149:H160)</f>
        <v>125340.81999999998</v>
      </c>
      <c r="I140" s="92">
        <f>SUM('CA brut produits &amp; sites'!I149:I160)</f>
        <v>24494.36</v>
      </c>
      <c r="J140" s="92">
        <f>SUM('CA brut produits &amp; sites'!J149:J160)</f>
        <v>159978.52000000002</v>
      </c>
      <c r="K140" s="92">
        <f>SUM('CA brut produits &amp; sites'!K149:K160)</f>
        <v>388826.43</v>
      </c>
      <c r="L140" s="92">
        <f>SUM('CA brut produits &amp; sites'!L149:L160)</f>
        <v>97183.85</v>
      </c>
      <c r="M140" s="92">
        <f>SUM('CA brut produits &amp; sites'!M149:M160)</f>
        <v>145350.96000000002</v>
      </c>
      <c r="N140" s="92">
        <f>SUM('CA brut produits &amp; sites'!N149:N160)</f>
        <v>23169.140000000003</v>
      </c>
      <c r="O140" s="92">
        <f>SUM('CA brut produits &amp; sites'!O149:O160)</f>
        <v>0</v>
      </c>
      <c r="P140" s="93">
        <f>SUM('CA brut produits &amp; sites'!P149:P160)</f>
        <v>0</v>
      </c>
    </row>
    <row r="141" spans="1:16" x14ac:dyDescent="0.3">
      <c r="A141" s="87">
        <v>43101</v>
      </c>
      <c r="B141" s="146"/>
      <c r="C141" s="92">
        <f t="shared" ref="C141:C168" si="19">SUM(D141:P141)</f>
        <v>2857355.72</v>
      </c>
      <c r="D141" s="92">
        <f>SUM('CA brut produits &amp; sites'!D150:D161)</f>
        <v>1354094.0100000002</v>
      </c>
      <c r="E141" s="92">
        <f>SUM('CA brut produits &amp; sites'!E150:E161)</f>
        <v>245576.81999999998</v>
      </c>
      <c r="F141" s="92">
        <f>SUM('CA brut produits &amp; sites'!F150:F161)</f>
        <v>238297.13</v>
      </c>
      <c r="G141" s="92">
        <f>SUM('CA brut produits &amp; sites'!G150:G161)</f>
        <v>36999.300000000003</v>
      </c>
      <c r="H141" s="92">
        <f>SUM('CA brut produits &amp; sites'!H150:H161)</f>
        <v>132447.12</v>
      </c>
      <c r="I141" s="92">
        <f>SUM('CA brut produits &amp; sites'!I150:I161)</f>
        <v>25676.149999999998</v>
      </c>
      <c r="J141" s="92">
        <f>SUM('CA brut produits &amp; sites'!J150:J161)</f>
        <v>157871.22000000003</v>
      </c>
      <c r="K141" s="92">
        <f>SUM('CA brut produits &amp; sites'!K150:K161)</f>
        <v>408025.81000000006</v>
      </c>
      <c r="L141" s="92">
        <f>SUM('CA brut produits &amp; sites'!L150:L161)</f>
        <v>101146.07</v>
      </c>
      <c r="M141" s="92">
        <f>SUM('CA brut produits &amp; sites'!M150:M161)</f>
        <v>134895.56000000003</v>
      </c>
      <c r="N141" s="92">
        <f>SUM('CA brut produits &amp; sites'!N150:N161)</f>
        <v>18384.03</v>
      </c>
      <c r="O141" s="92">
        <f>SUM('CA brut produits &amp; sites'!O150:O161)</f>
        <v>0</v>
      </c>
      <c r="P141" s="93">
        <f>SUM('CA brut produits &amp; sites'!P150:P161)</f>
        <v>3942.5</v>
      </c>
    </row>
    <row r="142" spans="1:16" x14ac:dyDescent="0.3">
      <c r="A142" s="87">
        <v>43132</v>
      </c>
      <c r="B142" s="146"/>
      <c r="C142" s="92">
        <f t="shared" si="19"/>
        <v>2854965.0300000007</v>
      </c>
      <c r="D142" s="92">
        <f>SUM('CA brut produits &amp; sites'!D151:D162)</f>
        <v>1346064.7300000004</v>
      </c>
      <c r="E142" s="92">
        <f>SUM('CA brut produits &amp; sites'!E151:E162)</f>
        <v>226819.8</v>
      </c>
      <c r="F142" s="92">
        <f>SUM('CA brut produits &amp; sites'!F151:F162)</f>
        <v>236927.07</v>
      </c>
      <c r="G142" s="92">
        <f>SUM('CA brut produits &amp; sites'!G151:G162)</f>
        <v>41931.39</v>
      </c>
      <c r="H142" s="92">
        <f>SUM('CA brut produits &amp; sites'!H151:H162)</f>
        <v>152367.56</v>
      </c>
      <c r="I142" s="92">
        <f>SUM('CA brut produits &amp; sites'!I151:I162)</f>
        <v>29729.789999999994</v>
      </c>
      <c r="J142" s="92">
        <f>SUM('CA brut produits &amp; sites'!J151:J162)</f>
        <v>170596.33000000002</v>
      </c>
      <c r="K142" s="92">
        <f>SUM('CA brut produits &amp; sites'!K151:K162)</f>
        <v>407267.23000000004</v>
      </c>
      <c r="L142" s="92">
        <f>SUM('CA brut produits &amp; sites'!L151:L162)</f>
        <v>91737.139999999985</v>
      </c>
      <c r="M142" s="92">
        <f>SUM('CA brut produits &amp; sites'!M151:M162)</f>
        <v>124992.87000000002</v>
      </c>
      <c r="N142" s="92">
        <f>SUM('CA brut produits &amp; sites'!N151:N162)</f>
        <v>19669.37</v>
      </c>
      <c r="O142" s="92">
        <f>SUM('CA brut produits &amp; sites'!O151:O162)</f>
        <v>0</v>
      </c>
      <c r="P142" s="93">
        <f>SUM('CA brut produits &amp; sites'!P151:P162)</f>
        <v>6861.75</v>
      </c>
    </row>
    <row r="143" spans="1:16" x14ac:dyDescent="0.3">
      <c r="A143" s="87">
        <v>43160</v>
      </c>
      <c r="B143" s="146"/>
      <c r="C143" s="92">
        <f t="shared" si="19"/>
        <v>2882198.81</v>
      </c>
      <c r="D143" s="92">
        <f>SUM('CA brut produits &amp; sites'!D152:D163)</f>
        <v>1349198.88</v>
      </c>
      <c r="E143" s="92">
        <f>SUM('CA brut produits &amp; sites'!E152:E163)</f>
        <v>223753.36000000002</v>
      </c>
      <c r="F143" s="92">
        <f>SUM('CA brut produits &amp; sites'!F152:F163)</f>
        <v>237350.97000000003</v>
      </c>
      <c r="G143" s="92">
        <f>SUM('CA brut produits &amp; sites'!G152:G163)</f>
        <v>45343.659999999989</v>
      </c>
      <c r="H143" s="92">
        <f>SUM('CA brut produits &amp; sites'!H152:H163)</f>
        <v>163722.49</v>
      </c>
      <c r="I143" s="92">
        <f>SUM('CA brut produits &amp; sites'!I152:I163)</f>
        <v>29462.839999999997</v>
      </c>
      <c r="J143" s="92">
        <f>SUM('CA brut produits &amp; sites'!J152:J163)</f>
        <v>178268.3</v>
      </c>
      <c r="K143" s="92">
        <f>SUM('CA brut produits &amp; sites'!K152:K163)</f>
        <v>415537.38000000006</v>
      </c>
      <c r="L143" s="92">
        <f>SUM('CA brut produits &amp; sites'!L152:L163)</f>
        <v>90106.12</v>
      </c>
      <c r="M143" s="92">
        <f>SUM('CA brut produits &amp; sites'!M152:M163)</f>
        <v>118934.27</v>
      </c>
      <c r="N143" s="92">
        <f>SUM('CA brut produits &amp; sites'!N152:N163)</f>
        <v>19327.289999999997</v>
      </c>
      <c r="O143" s="92">
        <f>SUM('CA brut produits &amp; sites'!O152:O163)</f>
        <v>0</v>
      </c>
      <c r="P143" s="93">
        <f>SUM('CA brut produits &amp; sites'!P152:P163)</f>
        <v>11193.25</v>
      </c>
    </row>
    <row r="144" spans="1:16" x14ac:dyDescent="0.3">
      <c r="A144" s="87">
        <v>43191</v>
      </c>
      <c r="B144" s="146"/>
      <c r="C144" s="92">
        <f t="shared" si="19"/>
        <v>2973850.26</v>
      </c>
      <c r="D144" s="92">
        <f>SUM('CA brut produits &amp; sites'!D153:D164)</f>
        <v>1408980.48</v>
      </c>
      <c r="E144" s="92">
        <f>SUM('CA brut produits &amp; sites'!E153:E164)</f>
        <v>219937.27</v>
      </c>
      <c r="F144" s="92">
        <f>SUM('CA brut produits &amp; sites'!F153:F164)</f>
        <v>241217.63</v>
      </c>
      <c r="G144" s="92">
        <f>SUM('CA brut produits &amp; sites'!G153:G164)</f>
        <v>55529.089999999989</v>
      </c>
      <c r="H144" s="92">
        <f>SUM('CA brut produits &amp; sites'!H153:H164)</f>
        <v>167110.29999999999</v>
      </c>
      <c r="I144" s="92">
        <f>SUM('CA brut produits &amp; sites'!I153:I164)</f>
        <v>25950.44</v>
      </c>
      <c r="J144" s="92">
        <f>SUM('CA brut produits &amp; sites'!J153:J164)</f>
        <v>174431.53</v>
      </c>
      <c r="K144" s="92">
        <f>SUM('CA brut produits &amp; sites'!K153:K164)</f>
        <v>422276.94000000006</v>
      </c>
      <c r="L144" s="92">
        <f>SUM('CA brut produits &amp; sites'!L153:L164)</f>
        <v>106054.85</v>
      </c>
      <c r="M144" s="92">
        <f>SUM('CA brut produits &amp; sites'!M153:M164)</f>
        <v>119297.98</v>
      </c>
      <c r="N144" s="92">
        <f>SUM('CA brut produits &amp; sites'!N153:N164)</f>
        <v>18539.75</v>
      </c>
      <c r="O144" s="92">
        <f>SUM('CA brut produits &amp; sites'!O153:O164)</f>
        <v>0</v>
      </c>
      <c r="P144" s="93">
        <f>SUM('CA brut produits &amp; sites'!P153:P164)</f>
        <v>14524</v>
      </c>
    </row>
    <row r="145" spans="1:16" x14ac:dyDescent="0.3">
      <c r="A145" s="87">
        <v>43221</v>
      </c>
      <c r="B145" s="146"/>
      <c r="C145" s="92">
        <f t="shared" si="19"/>
        <v>2899430.1599999997</v>
      </c>
      <c r="D145" s="92">
        <f>SUM('CA brut produits &amp; sites'!D154:D165)</f>
        <v>1360139.07</v>
      </c>
      <c r="E145" s="92">
        <f>SUM('CA brut produits &amp; sites'!E154:E165)</f>
        <v>224470.59999999998</v>
      </c>
      <c r="F145" s="92">
        <f>SUM('CA brut produits &amp; sites'!F154:F165)</f>
        <v>233245.49000000002</v>
      </c>
      <c r="G145" s="92">
        <f>SUM('CA brut produits &amp; sites'!G154:G165)</f>
        <v>60583.56</v>
      </c>
      <c r="H145" s="92">
        <f>SUM('CA brut produits &amp; sites'!H154:H165)</f>
        <v>171238.29</v>
      </c>
      <c r="I145" s="92">
        <f>SUM('CA brut produits &amp; sites'!I154:I165)</f>
        <v>27536.519999999997</v>
      </c>
      <c r="J145" s="92">
        <f>SUM('CA brut produits &amp; sites'!J154:J165)</f>
        <v>170413.38999999998</v>
      </c>
      <c r="K145" s="92">
        <f>SUM('CA brut produits &amp; sites'!K154:K165)</f>
        <v>398217.61000000004</v>
      </c>
      <c r="L145" s="92">
        <f>SUM('CA brut produits &amp; sites'!L154:L165)</f>
        <v>103739.13</v>
      </c>
      <c r="M145" s="92">
        <f>SUM('CA brut produits &amp; sites'!M154:M165)</f>
        <v>116998.21000000002</v>
      </c>
      <c r="N145" s="92">
        <f>SUM('CA brut produits &amp; sites'!N154:N165)</f>
        <v>15148.289999999999</v>
      </c>
      <c r="O145" s="92">
        <f>SUM('CA brut produits &amp; sites'!O154:O165)</f>
        <v>0</v>
      </c>
      <c r="P145" s="93">
        <f>SUM('CA brut produits &amp; sites'!P154:P165)</f>
        <v>17700</v>
      </c>
    </row>
    <row r="146" spans="1:16" x14ac:dyDescent="0.3">
      <c r="A146" s="87">
        <v>43252</v>
      </c>
      <c r="B146" s="146"/>
      <c r="C146" s="92">
        <f t="shared" si="19"/>
        <v>2920331.6500000004</v>
      </c>
      <c r="D146" s="92">
        <f>SUM('CA brut produits &amp; sites'!D155:D166)</f>
        <v>1341654.02</v>
      </c>
      <c r="E146" s="92">
        <f>SUM('CA brut produits &amp; sites'!E155:E166)</f>
        <v>250949.46000000002</v>
      </c>
      <c r="F146" s="92">
        <f>SUM('CA brut produits &amp; sites'!F155:F166)</f>
        <v>231133.06</v>
      </c>
      <c r="G146" s="92">
        <f>SUM('CA brut produits &amp; sites'!G155:G166)</f>
        <v>72192.509999999995</v>
      </c>
      <c r="H146" s="92">
        <f>SUM('CA brut produits &amp; sites'!H155:H166)</f>
        <v>188339.99</v>
      </c>
      <c r="I146" s="92">
        <f>SUM('CA brut produits &amp; sites'!I155:I166)</f>
        <v>29725.91</v>
      </c>
      <c r="J146" s="92">
        <f>SUM('CA brut produits &amp; sites'!J155:J166)</f>
        <v>151068.34</v>
      </c>
      <c r="K146" s="92">
        <f>SUM('CA brut produits &amp; sites'!K155:K166)</f>
        <v>393244.06999999995</v>
      </c>
      <c r="L146" s="92">
        <f>SUM('CA brut produits &amp; sites'!L155:L166)</f>
        <v>104707.87000000001</v>
      </c>
      <c r="M146" s="92">
        <f>SUM('CA brut produits &amp; sites'!M155:M166)</f>
        <v>113523.74000000002</v>
      </c>
      <c r="N146" s="92">
        <f>SUM('CA brut produits &amp; sites'!N155:N166)</f>
        <v>22009.45</v>
      </c>
      <c r="O146" s="92">
        <f>SUM('CA brut produits &amp; sites'!O155:O166)</f>
        <v>0</v>
      </c>
      <c r="P146" s="93">
        <f>SUM('CA brut produits &amp; sites'!P155:P166)</f>
        <v>21783.23</v>
      </c>
    </row>
    <row r="147" spans="1:16" x14ac:dyDescent="0.3">
      <c r="A147" s="87">
        <v>43282</v>
      </c>
      <c r="B147" s="146"/>
      <c r="C147" s="92">
        <f t="shared" si="19"/>
        <v>2947548.2999999993</v>
      </c>
      <c r="D147" s="92">
        <f>SUM('CA brut produits &amp; sites'!D156:D167)</f>
        <v>1336309.06</v>
      </c>
      <c r="E147" s="92">
        <f>SUM('CA brut produits &amp; sites'!E156:E167)</f>
        <v>259572.92000000004</v>
      </c>
      <c r="F147" s="92">
        <f>SUM('CA brut produits &amp; sites'!F156:F167)</f>
        <v>232486.63</v>
      </c>
      <c r="G147" s="92">
        <f>SUM('CA brut produits &amp; sites'!G156:G167)</f>
        <v>80043.210000000006</v>
      </c>
      <c r="H147" s="92">
        <f>SUM('CA brut produits &amp; sites'!H156:H167)</f>
        <v>191818.43</v>
      </c>
      <c r="I147" s="92">
        <f>SUM('CA brut produits &amp; sites'!I156:I167)</f>
        <v>31259.26</v>
      </c>
      <c r="J147" s="92">
        <f>SUM('CA brut produits &amp; sites'!J156:J167)</f>
        <v>150397.59</v>
      </c>
      <c r="K147" s="92">
        <f>SUM('CA brut produits &amp; sites'!K156:K167)</f>
        <v>393226.04999999993</v>
      </c>
      <c r="L147" s="92">
        <f>SUM('CA brut produits &amp; sites'!L156:L167)</f>
        <v>107418.22</v>
      </c>
      <c r="M147" s="92">
        <f>SUM('CA brut produits &amp; sites'!M156:M167)</f>
        <v>108222.69</v>
      </c>
      <c r="N147" s="92">
        <f>SUM('CA brut produits &amp; sites'!N156:N167)</f>
        <v>25326.46</v>
      </c>
      <c r="O147" s="92">
        <f>SUM('CA brut produits &amp; sites'!O156:O167)</f>
        <v>0</v>
      </c>
      <c r="P147" s="93">
        <f>SUM('CA brut produits &amp; sites'!P156:P167)</f>
        <v>31467.78</v>
      </c>
    </row>
    <row r="148" spans="1:16" x14ac:dyDescent="0.3">
      <c r="A148" s="87">
        <v>43313</v>
      </c>
      <c r="B148" s="146"/>
      <c r="C148" s="92">
        <f t="shared" si="19"/>
        <v>3019266.6400000006</v>
      </c>
      <c r="D148" s="92">
        <f>SUM('CA brut produits &amp; sites'!D157:D168)</f>
        <v>1356602.03</v>
      </c>
      <c r="E148" s="92">
        <f>SUM('CA brut produits &amp; sites'!E157:E168)</f>
        <v>271252.3</v>
      </c>
      <c r="F148" s="92">
        <f>SUM('CA brut produits &amp; sites'!F157:F168)</f>
        <v>230779.28</v>
      </c>
      <c r="G148" s="92">
        <f>SUM('CA brut produits &amp; sites'!G157:G168)</f>
        <v>84223.06</v>
      </c>
      <c r="H148" s="92">
        <f>SUM('CA brut produits &amp; sites'!H157:H168)</f>
        <v>200239.39999999997</v>
      </c>
      <c r="I148" s="92">
        <f>SUM('CA brut produits &amp; sites'!I157:I168)</f>
        <v>32405.64</v>
      </c>
      <c r="J148" s="92">
        <f>SUM('CA brut produits &amp; sites'!J157:J168)</f>
        <v>156604.99000000002</v>
      </c>
      <c r="K148" s="92">
        <f>SUM('CA brut produits &amp; sites'!K157:K168)</f>
        <v>405342.20999999996</v>
      </c>
      <c r="L148" s="92">
        <f>SUM('CA brut produits &amp; sites'!L157:L168)</f>
        <v>108135.24</v>
      </c>
      <c r="M148" s="92">
        <f>SUM('CA brut produits &amp; sites'!M157:M168)</f>
        <v>112478.84</v>
      </c>
      <c r="N148" s="92">
        <f>SUM('CA brut produits &amp; sites'!N157:N168)</f>
        <v>28083.62</v>
      </c>
      <c r="O148" s="92">
        <f>SUM('CA brut produits &amp; sites'!O157:O168)</f>
        <v>0</v>
      </c>
      <c r="P148" s="93">
        <f>SUM('CA brut produits &amp; sites'!P157:P168)</f>
        <v>33120.03</v>
      </c>
    </row>
    <row r="149" spans="1:16" x14ac:dyDescent="0.3">
      <c r="A149" s="87">
        <v>43344</v>
      </c>
      <c r="B149" s="146"/>
      <c r="C149" s="92">
        <f t="shared" si="19"/>
        <v>3036665.1</v>
      </c>
      <c r="D149" s="92">
        <f>SUM('CA brut produits &amp; sites'!D158:D169)</f>
        <v>1343029.4500000002</v>
      </c>
      <c r="E149" s="92">
        <f>SUM('CA brut produits &amp; sites'!E158:E169)</f>
        <v>268410.97000000003</v>
      </c>
      <c r="F149" s="92">
        <f>SUM('CA brut produits &amp; sites'!F158:F169)</f>
        <v>235018.54</v>
      </c>
      <c r="G149" s="92">
        <f>SUM('CA brut produits &amp; sites'!G158:G169)</f>
        <v>87991.679999999993</v>
      </c>
      <c r="H149" s="92">
        <f>SUM('CA brut produits &amp; sites'!H158:H169)</f>
        <v>211050.05999999997</v>
      </c>
      <c r="I149" s="92">
        <f>SUM('CA brut produits &amp; sites'!I158:I169)</f>
        <v>31256.639999999999</v>
      </c>
      <c r="J149" s="92">
        <f>SUM('CA brut produits &amp; sites'!J158:J169)</f>
        <v>164667.62</v>
      </c>
      <c r="K149" s="92">
        <f>SUM('CA brut produits &amp; sites'!K158:K169)</f>
        <v>412211.23000000004</v>
      </c>
      <c r="L149" s="92">
        <f>SUM('CA brut produits &amp; sites'!L158:L169)</f>
        <v>112968.30000000002</v>
      </c>
      <c r="M149" s="92">
        <f>SUM('CA brut produits &amp; sites'!M158:M169)</f>
        <v>104957.89</v>
      </c>
      <c r="N149" s="92">
        <f>SUM('CA brut produits &amp; sites'!N158:N169)</f>
        <v>28506.940000000002</v>
      </c>
      <c r="O149" s="92">
        <f>SUM('CA brut produits &amp; sites'!O158:O169)</f>
        <v>0</v>
      </c>
      <c r="P149" s="93">
        <f>SUM('CA brut produits &amp; sites'!P158:P169)</f>
        <v>36595.78</v>
      </c>
    </row>
    <row r="150" spans="1:16" x14ac:dyDescent="0.3">
      <c r="A150" s="87">
        <v>43374</v>
      </c>
      <c r="B150" s="146"/>
      <c r="C150" s="92">
        <f t="shared" si="19"/>
        <v>3049623.46</v>
      </c>
      <c r="D150" s="92">
        <f>SUM('CA brut produits &amp; sites'!D159:D170)</f>
        <v>1296981.6200000001</v>
      </c>
      <c r="E150" s="92">
        <f>SUM('CA brut produits &amp; sites'!E159:E170)</f>
        <v>256369.06</v>
      </c>
      <c r="F150" s="92">
        <f>SUM('CA brut produits &amp; sites'!F159:F170)</f>
        <v>229088.66999999998</v>
      </c>
      <c r="G150" s="92">
        <f>SUM('CA brut produits &amp; sites'!G159:G170)</f>
        <v>93025.239999999991</v>
      </c>
      <c r="H150" s="92">
        <f>SUM('CA brut produits &amp; sites'!H159:H170)</f>
        <v>237685.20999999996</v>
      </c>
      <c r="I150" s="92">
        <f>SUM('CA brut produits &amp; sites'!I159:I170)</f>
        <v>29262.2</v>
      </c>
      <c r="J150" s="92">
        <f>SUM('CA brut produits &amp; sites'!J159:J170)</f>
        <v>179119.12</v>
      </c>
      <c r="K150" s="92">
        <f>SUM('CA brut produits &amp; sites'!K159:K170)</f>
        <v>423269.39000000007</v>
      </c>
      <c r="L150" s="92">
        <f>SUM('CA brut produits &amp; sites'!L159:L170)</f>
        <v>122040.19</v>
      </c>
      <c r="M150" s="92">
        <f>SUM('CA brut produits &amp; sites'!M159:M170)</f>
        <v>110548.37999999998</v>
      </c>
      <c r="N150" s="92">
        <f>SUM('CA brut produits &amp; sites'!N159:N170)</f>
        <v>29565.35</v>
      </c>
      <c r="O150" s="92">
        <f>SUM('CA brut produits &amp; sites'!O159:O170)</f>
        <v>0</v>
      </c>
      <c r="P150" s="93">
        <f>SUM('CA brut produits &amp; sites'!P159:P170)</f>
        <v>42669.03</v>
      </c>
    </row>
    <row r="151" spans="1:16" x14ac:dyDescent="0.3">
      <c r="A151" s="87">
        <v>43405</v>
      </c>
      <c r="B151" s="146"/>
      <c r="C151" s="92">
        <f t="shared" si="19"/>
        <v>3029847.24</v>
      </c>
      <c r="D151" s="92">
        <f>SUM('CA brut produits &amp; sites'!D160:D171)</f>
        <v>1250113.9100000001</v>
      </c>
      <c r="E151" s="92">
        <f>SUM('CA brut produits &amp; sites'!E160:E171)</f>
        <v>263485.83</v>
      </c>
      <c r="F151" s="92">
        <f>SUM('CA brut produits &amp; sites'!F160:F171)</f>
        <v>222940.96</v>
      </c>
      <c r="G151" s="92">
        <f>SUM('CA brut produits &amp; sites'!G160:G171)</f>
        <v>91900.840000000011</v>
      </c>
      <c r="H151" s="92">
        <f>SUM('CA brut produits &amp; sites'!H160:H171)</f>
        <v>233948.49</v>
      </c>
      <c r="I151" s="92">
        <f>SUM('CA brut produits &amp; sites'!I160:I171)</f>
        <v>34107.93</v>
      </c>
      <c r="J151" s="92">
        <f>SUM('CA brut produits &amp; sites'!J160:J171)</f>
        <v>181688.47</v>
      </c>
      <c r="K151" s="92">
        <f>SUM('CA brut produits &amp; sites'!K160:K171)</f>
        <v>427117.90000000008</v>
      </c>
      <c r="L151" s="92">
        <f>SUM('CA brut produits &amp; sites'!L160:L171)</f>
        <v>129887.18000000001</v>
      </c>
      <c r="M151" s="92">
        <f>SUM('CA brut produits &amp; sites'!M160:M171)</f>
        <v>114545.13</v>
      </c>
      <c r="N151" s="92">
        <f>SUM('CA brut produits &amp; sites'!N160:N171)</f>
        <v>30167.02</v>
      </c>
      <c r="O151" s="92">
        <f>SUM('CA brut produits &amp; sites'!O160:O171)</f>
        <v>0</v>
      </c>
      <c r="P151" s="93">
        <f>SUM('CA brut produits &amp; sites'!P160:P171)</f>
        <v>49943.58</v>
      </c>
    </row>
    <row r="152" spans="1:16" x14ac:dyDescent="0.3">
      <c r="A152" s="94">
        <v>43435</v>
      </c>
      <c r="B152" s="146"/>
      <c r="C152" s="92">
        <f t="shared" si="19"/>
        <v>3043239.8299999996</v>
      </c>
      <c r="D152" s="92">
        <f>SUM('CA brut produits &amp; sites'!D161:D172)</f>
        <v>1265255.71</v>
      </c>
      <c r="E152" s="92">
        <f>SUM('CA brut produits &amp; sites'!E161:E172)</f>
        <v>255970.53000000003</v>
      </c>
      <c r="F152" s="92">
        <f>SUM('CA brut produits &amp; sites'!F161:F172)</f>
        <v>211414.13999999998</v>
      </c>
      <c r="G152" s="92">
        <f>SUM('CA brut produits &amp; sites'!G161:G172)</f>
        <v>100053.48</v>
      </c>
      <c r="H152" s="92">
        <f>SUM('CA brut produits &amp; sites'!H161:H172)</f>
        <v>228573.98999999996</v>
      </c>
      <c r="I152" s="92">
        <f>SUM('CA brut produits &amp; sites'!I161:I172)</f>
        <v>30511.659999999996</v>
      </c>
      <c r="J152" s="92">
        <f>SUM('CA brut produits &amp; sites'!J161:J172)</f>
        <v>182428.3</v>
      </c>
      <c r="K152" s="92">
        <f>SUM('CA brut produits &amp; sites'!K161:K172)</f>
        <v>427832.60000000009</v>
      </c>
      <c r="L152" s="92">
        <f>SUM('CA brut produits &amp; sites'!L161:L172)</f>
        <v>139985.91</v>
      </c>
      <c r="M152" s="92">
        <f>SUM('CA brut produits &amp; sites'!M161:M172)</f>
        <v>116350.59</v>
      </c>
      <c r="N152" s="92">
        <f>SUM('CA brut produits &amp; sites'!N161:N172)</f>
        <v>31704.84</v>
      </c>
      <c r="O152" s="92">
        <f>SUM('CA brut produits &amp; sites'!O161:O172)</f>
        <v>0</v>
      </c>
      <c r="P152" s="93">
        <f>SUM('CA brut produits &amp; sites'!P161:P172)</f>
        <v>53158.080000000002</v>
      </c>
    </row>
    <row r="153" spans="1:16" x14ac:dyDescent="0.3">
      <c r="A153" s="94">
        <v>43466</v>
      </c>
      <c r="B153" s="146"/>
      <c r="C153" s="92">
        <f t="shared" si="19"/>
        <v>2998592.0900000008</v>
      </c>
      <c r="D153" s="92">
        <f>SUM('CA brut produits &amp; sites'!D162:D173)</f>
        <v>1246479.3399999999</v>
      </c>
      <c r="E153" s="92">
        <f>SUM('CA brut produits &amp; sites'!E162:E173)</f>
        <v>250465.28</v>
      </c>
      <c r="F153" s="92">
        <f>SUM('CA brut produits &amp; sites'!F162:F173)</f>
        <v>200421.06999999998</v>
      </c>
      <c r="G153" s="92">
        <f>SUM('CA brut produits &amp; sites'!G162:G173)</f>
        <v>99499.800000000017</v>
      </c>
      <c r="H153" s="92">
        <f>SUM('CA brut produits &amp; sites'!H162:H173)</f>
        <v>222483.99999999997</v>
      </c>
      <c r="I153" s="92">
        <f>SUM('CA brut produits &amp; sites'!I162:I173)</f>
        <v>29719.78</v>
      </c>
      <c r="J153" s="92">
        <f>SUM('CA brut produits &amp; sites'!J162:J173)</f>
        <v>198843.01</v>
      </c>
      <c r="K153" s="92">
        <f>SUM('CA brut produits &amp; sites'!K162:K173)</f>
        <v>408083.83000000007</v>
      </c>
      <c r="L153" s="92">
        <f>SUM('CA brut produits &amp; sites'!L162:L173)</f>
        <v>140814.61999999997</v>
      </c>
      <c r="M153" s="92">
        <f>SUM('CA brut produits &amp; sites'!M162:M173)</f>
        <v>116944.69999999998</v>
      </c>
      <c r="N153" s="92">
        <f>SUM('CA brut produits &amp; sites'!N162:N173)</f>
        <v>32419.13</v>
      </c>
      <c r="O153" s="92">
        <f>SUM('CA brut produits &amp; sites'!O162:O173)</f>
        <v>377.7</v>
      </c>
      <c r="P153" s="93">
        <f>SUM('CA brut produits &amp; sites'!P162:P173)</f>
        <v>52039.83</v>
      </c>
    </row>
    <row r="154" spans="1:16" x14ac:dyDescent="0.3">
      <c r="A154" s="94">
        <v>43497</v>
      </c>
      <c r="B154" s="146"/>
      <c r="C154" s="92">
        <f t="shared" si="19"/>
        <v>2951925.4099999997</v>
      </c>
      <c r="D154" s="92">
        <f>SUM('CA brut produits &amp; sites'!D163:D174)</f>
        <v>1240049.6000000001</v>
      </c>
      <c r="E154" s="92">
        <f>SUM('CA brut produits &amp; sites'!E163:E174)</f>
        <v>242310.02999999997</v>
      </c>
      <c r="F154" s="92">
        <f>SUM('CA brut produits &amp; sites'!F163:F174)</f>
        <v>196862.87</v>
      </c>
      <c r="G154" s="92">
        <f>SUM('CA brut produits &amp; sites'!G163:G174)</f>
        <v>93269.81</v>
      </c>
      <c r="H154" s="92">
        <f>SUM('CA brut produits &amp; sites'!H163:H174)</f>
        <v>211594.93</v>
      </c>
      <c r="I154" s="92">
        <f>SUM('CA brut produits &amp; sites'!I163:I174)</f>
        <v>27527.740000000005</v>
      </c>
      <c r="J154" s="92">
        <f>SUM('CA brut produits &amp; sites'!J163:J174)</f>
        <v>177488.81</v>
      </c>
      <c r="K154" s="92">
        <f>SUM('CA brut produits &amp; sites'!K163:K174)</f>
        <v>411450.05000000005</v>
      </c>
      <c r="L154" s="92">
        <f>SUM('CA brut produits &amp; sites'!L163:L174)</f>
        <v>144317.72999999998</v>
      </c>
      <c r="M154" s="92">
        <f>SUM('CA brut produits &amp; sites'!M163:M174)</f>
        <v>122488.78</v>
      </c>
      <c r="N154" s="92">
        <f>SUM('CA brut produits &amp; sites'!N163:N174)</f>
        <v>32431.590000000004</v>
      </c>
      <c r="O154" s="92">
        <f>SUM('CA brut produits &amp; sites'!O163:O174)</f>
        <v>827.5</v>
      </c>
      <c r="P154" s="93">
        <f>SUM('CA brut produits &amp; sites'!P163:P174)</f>
        <v>51305.97</v>
      </c>
    </row>
    <row r="155" spans="1:16" x14ac:dyDescent="0.3">
      <c r="A155" s="94">
        <v>43525</v>
      </c>
      <c r="B155" s="146"/>
      <c r="C155" s="92">
        <f t="shared" si="19"/>
        <v>2864581.0000000005</v>
      </c>
      <c r="D155" s="92">
        <f>SUM('CA brut produits &amp; sites'!D164:D175)</f>
        <v>1202264.4899999998</v>
      </c>
      <c r="E155" s="92">
        <f>SUM('CA brut produits &amp; sites'!E164:E175)</f>
        <v>237465.94</v>
      </c>
      <c r="F155" s="92">
        <f>SUM('CA brut produits &amp; sites'!F164:F175)</f>
        <v>184813.96</v>
      </c>
      <c r="G155" s="92">
        <f>SUM('CA brut produits &amp; sites'!G164:G175)</f>
        <v>86317.12000000001</v>
      </c>
      <c r="H155" s="92">
        <f>SUM('CA brut produits &amp; sites'!H164:H175)</f>
        <v>203217.46</v>
      </c>
      <c r="I155" s="92">
        <f>SUM('CA brut produits &amp; sites'!I164:I175)</f>
        <v>27475.600000000002</v>
      </c>
      <c r="J155" s="92">
        <f>SUM('CA brut produits &amp; sites'!J164:J175)</f>
        <v>167856.2</v>
      </c>
      <c r="K155" s="92">
        <f>SUM('CA brut produits &amp; sites'!K164:K175)</f>
        <v>405430.64</v>
      </c>
      <c r="L155" s="92">
        <f>SUM('CA brut produits &amp; sites'!L164:L175)</f>
        <v>138203.12999999998</v>
      </c>
      <c r="M155" s="92">
        <f>SUM('CA brut produits &amp; sites'!M164:M175)</f>
        <v>125830.83999999998</v>
      </c>
      <c r="N155" s="92">
        <f>SUM('CA brut produits &amp; sites'!N164:N175)</f>
        <v>32114.720000000001</v>
      </c>
      <c r="O155" s="92">
        <f>SUM('CA brut produits &amp; sites'!O164:O175)</f>
        <v>2548.6800000000003</v>
      </c>
      <c r="P155" s="93">
        <f>SUM('CA brut produits &amp; sites'!P164:P175)</f>
        <v>51042.22</v>
      </c>
    </row>
    <row r="156" spans="1:16" x14ac:dyDescent="0.3">
      <c r="A156" s="94">
        <v>43556</v>
      </c>
      <c r="B156" s="146"/>
      <c r="C156" s="92">
        <f t="shared" si="19"/>
        <v>2782229.92</v>
      </c>
      <c r="D156" s="92">
        <f>SUM('CA brut produits &amp; sites'!D165:D176)</f>
        <v>1149524.29</v>
      </c>
      <c r="E156" s="92">
        <f>SUM('CA brut produits &amp; sites'!E165:E176)</f>
        <v>236230.27999999997</v>
      </c>
      <c r="F156" s="92">
        <f>SUM('CA brut produits &amp; sites'!F165:F176)</f>
        <v>180797.35</v>
      </c>
      <c r="G156" s="92">
        <f>SUM('CA brut produits &amp; sites'!G165:G176)</f>
        <v>74986.110000000015</v>
      </c>
      <c r="H156" s="92">
        <f>SUM('CA brut produits &amp; sites'!H165:H176)</f>
        <v>204183.95</v>
      </c>
      <c r="I156" s="92">
        <f>SUM('CA brut produits &amp; sites'!I165:I176)</f>
        <v>27483.010000000002</v>
      </c>
      <c r="J156" s="92">
        <f>SUM('CA brut produits &amp; sites'!J165:J176)</f>
        <v>168280.17</v>
      </c>
      <c r="K156" s="92">
        <f>SUM('CA brut produits &amp; sites'!K165:K176)</f>
        <v>403814.1</v>
      </c>
      <c r="L156" s="92">
        <f>SUM('CA brut produits &amp; sites'!L165:L176)</f>
        <v>124671.08000000002</v>
      </c>
      <c r="M156" s="92">
        <f>SUM('CA brut produits &amp; sites'!M165:M176)</f>
        <v>124918.00999999998</v>
      </c>
      <c r="N156" s="92">
        <f>SUM('CA brut produits &amp; sites'!N165:N176)</f>
        <v>32510.76</v>
      </c>
      <c r="O156" s="92">
        <f>SUM('CA brut produits &amp; sites'!O165:O176)</f>
        <v>4691.59</v>
      </c>
      <c r="P156" s="93">
        <f>SUM('CA brut produits &amp; sites'!P165:P176)</f>
        <v>50139.22</v>
      </c>
    </row>
    <row r="157" spans="1:16" x14ac:dyDescent="0.3">
      <c r="A157" s="94">
        <v>43586</v>
      </c>
      <c r="B157" s="146"/>
      <c r="C157" s="92">
        <f t="shared" si="19"/>
        <v>2810867.6500000004</v>
      </c>
      <c r="D157" s="92">
        <f>SUM('CA brut produits &amp; sites'!D166:D177)</f>
        <v>1171839.01</v>
      </c>
      <c r="E157" s="92">
        <f>SUM('CA brut produits &amp; sites'!E166:E177)</f>
        <v>226776.28999999995</v>
      </c>
      <c r="F157" s="92">
        <f>SUM('CA brut produits &amp; sites'!F166:F177)</f>
        <v>181809.99</v>
      </c>
      <c r="G157" s="92">
        <f>SUM('CA brut produits &amp; sites'!G166:G177)</f>
        <v>70032.039999999994</v>
      </c>
      <c r="H157" s="92">
        <f>SUM('CA brut produits &amp; sites'!H166:H177)</f>
        <v>193619.53999999998</v>
      </c>
      <c r="I157" s="92">
        <f>SUM('CA brut produits &amp; sites'!I166:I177)</f>
        <v>29990.319999999996</v>
      </c>
      <c r="J157" s="92">
        <f>SUM('CA brut produits &amp; sites'!J166:J177)</f>
        <v>173238.92</v>
      </c>
      <c r="K157" s="92">
        <f>SUM('CA brut produits &amp; sites'!K166:K177)</f>
        <v>407443.45</v>
      </c>
      <c r="L157" s="92">
        <f>SUM('CA brut produits &amp; sites'!L166:L177)</f>
        <v>127914.00000000001</v>
      </c>
      <c r="M157" s="92">
        <f>SUM('CA brut produits &amp; sites'!M166:M177)</f>
        <v>132166.76</v>
      </c>
      <c r="N157" s="92">
        <f>SUM('CA brut produits &amp; sites'!N166:N177)</f>
        <v>30503.8</v>
      </c>
      <c r="O157" s="92">
        <f>SUM('CA brut produits &amp; sites'!O166:O177)</f>
        <v>12215.619999999999</v>
      </c>
      <c r="P157" s="93">
        <f>SUM('CA brut produits &amp; sites'!P166:P177)</f>
        <v>53317.91</v>
      </c>
    </row>
    <row r="158" spans="1:16" x14ac:dyDescent="0.3">
      <c r="A158" s="94">
        <v>43617</v>
      </c>
      <c r="B158" s="146"/>
      <c r="C158" s="92">
        <f t="shared" si="19"/>
        <v>2745097.24</v>
      </c>
      <c r="D158" s="92">
        <f>SUM('CA brut produits &amp; sites'!D167:D178)</f>
        <v>1165702.48</v>
      </c>
      <c r="E158" s="92">
        <f>SUM('CA brut produits &amp; sites'!E167:E178)</f>
        <v>200132.13</v>
      </c>
      <c r="F158" s="92">
        <f>SUM('CA brut produits &amp; sites'!F167:F178)</f>
        <v>182427.40999999997</v>
      </c>
      <c r="G158" s="92">
        <f>SUM('CA brut produits &amp; sites'!G167:G178)</f>
        <v>55229.04</v>
      </c>
      <c r="H158" s="92">
        <f>SUM('CA brut produits &amp; sites'!H167:H178)</f>
        <v>181276.36000000002</v>
      </c>
      <c r="I158" s="92">
        <f>SUM('CA brut produits &amp; sites'!I167:I178)</f>
        <v>25661.66</v>
      </c>
      <c r="J158" s="92">
        <f>SUM('CA brut produits &amp; sites'!J167:J178)</f>
        <v>170116.12000000002</v>
      </c>
      <c r="K158" s="92">
        <f>SUM('CA brut produits &amp; sites'!K167:K178)</f>
        <v>407677.53</v>
      </c>
      <c r="L158" s="92">
        <f>SUM('CA brut produits &amp; sites'!L167:L178)</f>
        <v>131252.26</v>
      </c>
      <c r="M158" s="92">
        <f>SUM('CA brut produits &amp; sites'!M167:M178)</f>
        <v>135222.34</v>
      </c>
      <c r="N158" s="92">
        <f>SUM('CA brut produits &amp; sites'!N167:N178)</f>
        <v>23320.319999999996</v>
      </c>
      <c r="O158" s="92">
        <f>SUM('CA brut produits &amp; sites'!O167:O178)</f>
        <v>12432.66</v>
      </c>
      <c r="P158" s="93">
        <f>SUM('CA brut produits &amp; sites'!P167:P178)</f>
        <v>54646.93</v>
      </c>
    </row>
    <row r="159" spans="1:16" x14ac:dyDescent="0.3">
      <c r="A159" s="94">
        <v>43647</v>
      </c>
      <c r="B159" s="146"/>
      <c r="C159" s="92">
        <f t="shared" si="19"/>
        <v>2703781.06</v>
      </c>
      <c r="D159" s="92">
        <f>SUM('CA brut produits &amp; sites'!D168:D179)</f>
        <v>1171862.95</v>
      </c>
      <c r="E159" s="92">
        <f>SUM('CA brut produits &amp; sites'!E168:E179)</f>
        <v>182299.71</v>
      </c>
      <c r="F159" s="92">
        <f>SUM('CA brut produits &amp; sites'!F168:F179)</f>
        <v>176698.94000000003</v>
      </c>
      <c r="G159" s="92">
        <f>SUM('CA brut produits &amp; sites'!G168:G179)</f>
        <v>46027.68</v>
      </c>
      <c r="H159" s="92">
        <f>SUM('CA brut produits &amp; sites'!H168:H179)</f>
        <v>180842.88</v>
      </c>
      <c r="I159" s="92">
        <f>SUM('CA brut produits &amp; sites'!I168:I179)</f>
        <v>24487.229999999996</v>
      </c>
      <c r="J159" s="92">
        <f>SUM('CA brut produits &amp; sites'!J168:J179)</f>
        <v>174435.62000000002</v>
      </c>
      <c r="K159" s="92">
        <f>SUM('CA brut produits &amp; sites'!K168:K179)</f>
        <v>401669.33000000007</v>
      </c>
      <c r="L159" s="92">
        <f>SUM('CA brut produits &amp; sites'!L168:L179)</f>
        <v>127888.87000000001</v>
      </c>
      <c r="M159" s="92">
        <f>SUM('CA brut produits &amp; sites'!M168:M179)</f>
        <v>138610.22</v>
      </c>
      <c r="N159" s="92">
        <f>SUM('CA brut produits &amp; sites'!N168:N179)</f>
        <v>19692.41</v>
      </c>
      <c r="O159" s="92">
        <f>SUM('CA brut produits &amp; sites'!O168:O179)</f>
        <v>13080.34</v>
      </c>
      <c r="P159" s="93">
        <f>SUM('CA brut produits &amp; sites'!P168:P179)</f>
        <v>46184.880000000005</v>
      </c>
    </row>
    <row r="160" spans="1:16" x14ac:dyDescent="0.3">
      <c r="A160" s="94">
        <v>43678</v>
      </c>
      <c r="B160" s="146"/>
      <c r="C160" s="92">
        <f t="shared" si="19"/>
        <v>2701066.7300000004</v>
      </c>
      <c r="D160" s="92">
        <f>SUM('CA brut produits &amp; sites'!D169:D180)</f>
        <v>1191228.08</v>
      </c>
      <c r="E160" s="92">
        <f>SUM('CA brut produits &amp; sites'!E169:E180)</f>
        <v>170571.62999999998</v>
      </c>
      <c r="F160" s="92">
        <f>SUM('CA brut produits &amp; sites'!F169:F180)</f>
        <v>178402.33000000002</v>
      </c>
      <c r="G160" s="92">
        <f>SUM('CA brut produits &amp; sites'!G169:G180)</f>
        <v>41290.080000000002</v>
      </c>
      <c r="H160" s="92">
        <f>SUM('CA brut produits &amp; sites'!H169:H180)</f>
        <v>193201.21999999997</v>
      </c>
      <c r="I160" s="92">
        <f>SUM('CA brut produits &amp; sites'!I169:I180)</f>
        <v>26319.61</v>
      </c>
      <c r="J160" s="92">
        <f>SUM('CA brut produits &amp; sites'!J169:J180)</f>
        <v>159231.52000000002</v>
      </c>
      <c r="K160" s="92">
        <f>SUM('CA brut produits &amp; sites'!K169:K180)</f>
        <v>398261.59000000008</v>
      </c>
      <c r="L160" s="92">
        <f>SUM('CA brut produits &amp; sites'!L169:L180)</f>
        <v>122274.06000000001</v>
      </c>
      <c r="M160" s="92">
        <f>SUM('CA brut produits &amp; sites'!M169:M180)</f>
        <v>139146.06999999998</v>
      </c>
      <c r="N160" s="92">
        <f>SUM('CA brut produits &amp; sites'!N169:N180)</f>
        <v>16945.25</v>
      </c>
      <c r="O160" s="92">
        <f>SUM('CA brut produits &amp; sites'!O169:O180)</f>
        <v>18608.82</v>
      </c>
      <c r="P160" s="93">
        <f>SUM('CA brut produits &amp; sites'!P169:P180)</f>
        <v>45586.469999999994</v>
      </c>
    </row>
    <row r="161" spans="1:16" x14ac:dyDescent="0.3">
      <c r="A161" s="94">
        <v>43709</v>
      </c>
      <c r="B161" s="146"/>
      <c r="C161" s="92">
        <f t="shared" si="19"/>
        <v>2673170.9300000006</v>
      </c>
      <c r="D161" s="92">
        <f>SUM('CA brut produits &amp; sites'!D170:D181)</f>
        <v>1152439.5800000003</v>
      </c>
      <c r="E161" s="92">
        <f>SUM('CA brut produits &amp; sites'!E170:E181)</f>
        <v>169041.89999999997</v>
      </c>
      <c r="F161" s="92">
        <f>SUM('CA brut produits &amp; sites'!F170:F181)</f>
        <v>171294.45</v>
      </c>
      <c r="G161" s="92">
        <f>SUM('CA brut produits &amp; sites'!G170:G181)</f>
        <v>36057.310000000005</v>
      </c>
      <c r="H161" s="92">
        <f>SUM('CA brut produits &amp; sites'!H170:H181)</f>
        <v>197185.63999999996</v>
      </c>
      <c r="I161" s="92">
        <f>SUM('CA brut produits &amp; sites'!I170:I181)</f>
        <v>30756.710000000006</v>
      </c>
      <c r="J161" s="92">
        <f>SUM('CA brut produits &amp; sites'!J170:J181)</f>
        <v>161072.49000000002</v>
      </c>
      <c r="K161" s="92">
        <f>SUM('CA brut produits &amp; sites'!K170:K181)</f>
        <v>393144.74</v>
      </c>
      <c r="L161" s="92">
        <f>SUM('CA brut produits &amp; sites'!L170:L181)</f>
        <v>135930.02000000002</v>
      </c>
      <c r="M161" s="92">
        <f>SUM('CA brut produits &amp; sites'!M170:M181)</f>
        <v>144186.91999999998</v>
      </c>
      <c r="N161" s="92">
        <f>SUM('CA brut produits &amp; sites'!N170:N181)</f>
        <v>14040.619999999999</v>
      </c>
      <c r="O161" s="92">
        <f>SUM('CA brut produits &amp; sites'!O170:O181)</f>
        <v>21648.080000000002</v>
      </c>
      <c r="P161" s="93">
        <f>SUM('CA brut produits &amp; sites'!P170:P181)</f>
        <v>46372.469999999994</v>
      </c>
    </row>
    <row r="162" spans="1:16" x14ac:dyDescent="0.3">
      <c r="A162" s="94">
        <v>43739</v>
      </c>
      <c r="B162" s="146"/>
      <c r="C162" s="92">
        <f t="shared" si="19"/>
        <v>2593428.81</v>
      </c>
      <c r="D162" s="92">
        <f>SUM('CA brut produits &amp; sites'!D171:D182)</f>
        <v>1136628.9400000002</v>
      </c>
      <c r="E162" s="92">
        <f>SUM('CA brut produits &amp; sites'!E171:E182)</f>
        <v>163363.30999999997</v>
      </c>
      <c r="F162" s="92">
        <f>SUM('CA brut produits &amp; sites'!F171:F182)</f>
        <v>164341.99</v>
      </c>
      <c r="G162" s="92">
        <f>SUM('CA brut produits &amp; sites'!G171:G182)</f>
        <v>26753.620000000003</v>
      </c>
      <c r="H162" s="92">
        <f>SUM('CA brut produits &amp; sites'!H171:H182)</f>
        <v>199247.95</v>
      </c>
      <c r="I162" s="92">
        <f>SUM('CA brut produits &amp; sites'!I171:I182)</f>
        <v>30095.070000000003</v>
      </c>
      <c r="J162" s="92">
        <f>SUM('CA brut produits &amp; sites'!J171:J182)</f>
        <v>151749.63999999998</v>
      </c>
      <c r="K162" s="92">
        <f>SUM('CA brut produits &amp; sites'!K171:K182)</f>
        <v>373637.94999999995</v>
      </c>
      <c r="L162" s="92">
        <f>SUM('CA brut produits &amp; sites'!L171:L182)</f>
        <v>132591.28</v>
      </c>
      <c r="M162" s="92">
        <f>SUM('CA brut produits &amp; sites'!M171:M182)</f>
        <v>136691.19</v>
      </c>
      <c r="N162" s="92">
        <f>SUM('CA brut produits &amp; sites'!N171:N182)</f>
        <v>11732.61</v>
      </c>
      <c r="O162" s="92">
        <f>SUM('CA brut produits &amp; sites'!O171:O182)</f>
        <v>22019.49</v>
      </c>
      <c r="P162" s="93">
        <f>SUM('CA brut produits &amp; sites'!P171:P182)</f>
        <v>44575.77</v>
      </c>
    </row>
    <row r="163" spans="1:16" x14ac:dyDescent="0.3">
      <c r="A163" s="94">
        <v>43770</v>
      </c>
      <c r="B163" s="146"/>
      <c r="C163" s="92">
        <f t="shared" si="19"/>
        <v>2549638.7900000005</v>
      </c>
      <c r="D163" s="92">
        <f>SUM('CA brut produits &amp; sites'!D172:D183)</f>
        <v>1113043.6100000001</v>
      </c>
      <c r="E163" s="92">
        <f>SUM('CA brut produits &amp; sites'!E172:E183)</f>
        <v>148657.84000000003</v>
      </c>
      <c r="F163" s="92">
        <f>SUM('CA brut produits &amp; sites'!F172:F183)</f>
        <v>162323.53</v>
      </c>
      <c r="G163" s="92">
        <f>SUM('CA brut produits &amp; sites'!G172:G183)</f>
        <v>26068.860000000004</v>
      </c>
      <c r="H163" s="92">
        <f>SUM('CA brut produits &amp; sites'!H172:H183)</f>
        <v>214052.76</v>
      </c>
      <c r="I163" s="92">
        <f>SUM('CA brut produits &amp; sites'!I172:I183)</f>
        <v>23573.29</v>
      </c>
      <c r="J163" s="92">
        <f>SUM('CA brut produits &amp; sites'!J172:J183)</f>
        <v>149853.15</v>
      </c>
      <c r="K163" s="92">
        <f>SUM('CA brut produits &amp; sites'!K172:K183)</f>
        <v>375961.80999999994</v>
      </c>
      <c r="L163" s="92">
        <f>SUM('CA brut produits &amp; sites'!L172:L183)</f>
        <v>126224.06999999999</v>
      </c>
      <c r="M163" s="92">
        <f>SUM('CA brut produits &amp; sites'!M172:M183)</f>
        <v>127671.43000000001</v>
      </c>
      <c r="N163" s="92">
        <f>SUM('CA brut produits &amp; sites'!N172:N183)</f>
        <v>10076.810000000001</v>
      </c>
      <c r="O163" s="92">
        <f>SUM('CA brut produits &amp; sites'!O172:O183)</f>
        <v>29126.660000000003</v>
      </c>
      <c r="P163" s="93">
        <f>SUM('CA brut produits &amp; sites'!P172:P183)</f>
        <v>43004.97</v>
      </c>
    </row>
    <row r="164" spans="1:16" x14ac:dyDescent="0.3">
      <c r="A164" s="94">
        <v>43800</v>
      </c>
      <c r="B164" s="146"/>
      <c r="C164" s="92">
        <f t="shared" si="19"/>
        <v>2552495.6500000008</v>
      </c>
      <c r="D164" s="92">
        <f>SUM('CA brut produits &amp; sites'!D173:D184)</f>
        <v>1113333.7200000002</v>
      </c>
      <c r="E164" s="92">
        <f>SUM('CA brut produits &amp; sites'!E173:E184)</f>
        <v>164803.09</v>
      </c>
      <c r="F164" s="92">
        <f>SUM('CA brut produits &amp; sites'!F173:F184)</f>
        <v>176098.16999999998</v>
      </c>
      <c r="G164" s="92">
        <f>SUM('CA brut produits &amp; sites'!G173:G184)</f>
        <v>16179.559999999996</v>
      </c>
      <c r="H164" s="92">
        <f>SUM('CA brut produits &amp; sites'!H173:H184)</f>
        <v>221703.49000000002</v>
      </c>
      <c r="I164" s="92">
        <f>SUM('CA brut produits &amp; sites'!I173:I184)</f>
        <v>24618.81</v>
      </c>
      <c r="J164" s="92">
        <f>SUM('CA brut produits &amp; sites'!J173:J184)</f>
        <v>140857.28</v>
      </c>
      <c r="K164" s="92">
        <f>SUM('CA brut produits &amp; sites'!K173:K184)</f>
        <v>371952.92</v>
      </c>
      <c r="L164" s="92">
        <f>SUM('CA brut produits &amp; sites'!L173:L184)</f>
        <v>116293.84</v>
      </c>
      <c r="M164" s="92">
        <f>SUM('CA brut produits &amp; sites'!M173:M184)</f>
        <v>120823.39999999998</v>
      </c>
      <c r="N164" s="92">
        <f>SUM('CA brut produits &amp; sites'!N173:N184)</f>
        <v>8423.99</v>
      </c>
      <c r="O164" s="92">
        <f>SUM('CA brut produits &amp; sites'!O173:O184)</f>
        <v>34334.160000000003</v>
      </c>
      <c r="P164" s="93">
        <f>SUM('CA brut produits &amp; sites'!P173:P184)</f>
        <v>43073.22</v>
      </c>
    </row>
    <row r="165" spans="1:16" x14ac:dyDescent="0.3">
      <c r="A165" s="94">
        <v>43831</v>
      </c>
      <c r="B165" s="146"/>
      <c r="C165" s="92">
        <f t="shared" si="19"/>
        <v>2597825.71</v>
      </c>
      <c r="D165" s="92">
        <f>SUM('CA brut produits &amp; sites'!D174:D185)</f>
        <v>1158891.33</v>
      </c>
      <c r="E165" s="92">
        <f>SUM('CA brut produits &amp; sites'!E174:E185)</f>
        <v>156363.52000000002</v>
      </c>
      <c r="F165" s="92">
        <f>SUM('CA brut produits &amp; sites'!F174:F185)</f>
        <v>166988.24000000002</v>
      </c>
      <c r="G165" s="92">
        <f>SUM('CA brut produits &amp; sites'!G174:G185)</f>
        <v>14455.67</v>
      </c>
      <c r="H165" s="92">
        <f>SUM('CA brut produits &amp; sites'!H174:H185)</f>
        <v>226268.43</v>
      </c>
      <c r="I165" s="92">
        <f>SUM('CA brut produits &amp; sites'!I174:I185)</f>
        <v>24907.95</v>
      </c>
      <c r="J165" s="92">
        <f>SUM('CA brut produits &amp; sites'!J174:J185)</f>
        <v>127791.03</v>
      </c>
      <c r="K165" s="92">
        <f>SUM('CA brut produits &amp; sites'!K174:K185)</f>
        <v>369531.03</v>
      </c>
      <c r="L165" s="92">
        <f>SUM('CA brut produits &amp; sites'!L174:L185)</f>
        <v>147578.36000000002</v>
      </c>
      <c r="M165" s="92">
        <f>SUM('CA brut produits &amp; sites'!M174:M185)</f>
        <v>113402.99999999999</v>
      </c>
      <c r="N165" s="92">
        <f>SUM('CA brut produits &amp; sites'!N174:N185)</f>
        <v>6131.8799999999992</v>
      </c>
      <c r="O165" s="92">
        <f>SUM('CA brut produits &amp; sites'!O174:O185)</f>
        <v>41015.050000000003</v>
      </c>
      <c r="P165" s="93">
        <f>SUM('CA brut produits &amp; sites'!P174:P185)</f>
        <v>44500.22</v>
      </c>
    </row>
    <row r="166" spans="1:16" x14ac:dyDescent="0.3">
      <c r="A166" s="94">
        <v>43862</v>
      </c>
      <c r="B166" s="146"/>
      <c r="C166" s="92">
        <f t="shared" si="19"/>
        <v>2622081.88</v>
      </c>
      <c r="D166" s="92">
        <f>SUM('CA brut produits &amp; sites'!D175:D186)</f>
        <v>1165041.2000000002</v>
      </c>
      <c r="E166" s="92">
        <f>SUM('CA brut produits &amp; sites'!E175:E186)</f>
        <v>150847.00000000003</v>
      </c>
      <c r="F166" s="92">
        <f>SUM('CA brut produits &amp; sites'!F175:F186)</f>
        <v>167335.6</v>
      </c>
      <c r="G166" s="92">
        <f>SUM('CA brut produits &amp; sites'!G175:G186)</f>
        <v>13484.47</v>
      </c>
      <c r="H166" s="92">
        <f>SUM('CA brut produits &amp; sites'!H175:H186)</f>
        <v>223140.79</v>
      </c>
      <c r="I166" s="92">
        <f>SUM('CA brut produits &amp; sites'!I175:I186)</f>
        <v>24312.42</v>
      </c>
      <c r="J166" s="92">
        <f>SUM('CA brut produits &amp; sites'!J175:J186)</f>
        <v>137674.76999999999</v>
      </c>
      <c r="K166" s="92">
        <f>SUM('CA brut produits &amp; sites'!K175:K186)</f>
        <v>377158.07000000007</v>
      </c>
      <c r="L166" s="92">
        <f>SUM('CA brut produits &amp; sites'!L175:L186)</f>
        <v>148288.78</v>
      </c>
      <c r="M166" s="92">
        <f>SUM('CA brut produits &amp; sites'!M175:M186)</f>
        <v>103283.00999999998</v>
      </c>
      <c r="N166" s="92">
        <f>SUM('CA brut produits &amp; sites'!N175:N186)</f>
        <v>4844.08</v>
      </c>
      <c r="O166" s="92">
        <f>SUM('CA brut produits &amp; sites'!O175:O186)</f>
        <v>62219.360000000001</v>
      </c>
      <c r="P166" s="93">
        <f>SUM('CA brut produits &amp; sites'!P175:P186)</f>
        <v>44452.33</v>
      </c>
    </row>
    <row r="167" spans="1:16" x14ac:dyDescent="0.3">
      <c r="A167" s="94">
        <v>43891</v>
      </c>
      <c r="B167" s="146"/>
      <c r="C167" s="92">
        <f t="shared" si="19"/>
        <v>2568256.8200000003</v>
      </c>
      <c r="D167" s="92">
        <f>SUM('CA brut produits &amp; sites'!D176:D187)</f>
        <v>1116642.74</v>
      </c>
      <c r="E167" s="92">
        <f>SUM('CA brut produits &amp; sites'!E176:E187)</f>
        <v>132978.32999999999</v>
      </c>
      <c r="F167" s="92">
        <f>SUM('CA brut produits &amp; sites'!F176:F187)</f>
        <v>170036.29</v>
      </c>
      <c r="G167" s="92">
        <f>SUM('CA brut produits &amp; sites'!G176:G187)</f>
        <v>12225.8</v>
      </c>
      <c r="H167" s="92">
        <f>SUM('CA brut produits &amp; sites'!H176:H187)</f>
        <v>217238.03000000003</v>
      </c>
      <c r="I167" s="92">
        <f>SUM('CA brut produits &amp; sites'!I176:I187)</f>
        <v>45437.53</v>
      </c>
      <c r="J167" s="92">
        <f>SUM('CA brut produits &amp; sites'!J176:J187)</f>
        <v>132462.16999999998</v>
      </c>
      <c r="K167" s="92">
        <f>SUM('CA brut produits &amp; sites'!K176:K187)</f>
        <v>363071.01999999996</v>
      </c>
      <c r="L167" s="92">
        <f>SUM('CA brut produits &amp; sites'!L176:L187)</f>
        <v>153469.80999999997</v>
      </c>
      <c r="M167" s="92">
        <f>SUM('CA brut produits &amp; sites'!M176:M187)</f>
        <v>95116.83</v>
      </c>
      <c r="N167" s="92">
        <f>SUM('CA brut produits &amp; sites'!N176:N187)</f>
        <v>3601.44</v>
      </c>
      <c r="O167" s="92">
        <f>SUM('CA brut produits &amp; sites'!O176:O187)</f>
        <v>84793.5</v>
      </c>
      <c r="P167" s="93">
        <f>SUM('CA brut produits &amp; sites'!P176:P187)</f>
        <v>41183.33</v>
      </c>
    </row>
    <row r="168" spans="1:16" x14ac:dyDescent="0.3">
      <c r="A168" s="94">
        <v>43922</v>
      </c>
      <c r="B168" s="146"/>
      <c r="C168" s="92">
        <f t="shared" si="19"/>
        <v>2429688.4699999997</v>
      </c>
      <c r="D168" s="92">
        <f>SUM('CA brut produits &amp; sites'!D177:D188)</f>
        <v>1051687.03</v>
      </c>
      <c r="E168" s="92">
        <f>SUM('CA brut produits &amp; sites'!E177:E188)</f>
        <v>114463.15</v>
      </c>
      <c r="F168" s="92">
        <f>SUM('CA brut produits &amp; sites'!F177:F188)</f>
        <v>159722.49000000002</v>
      </c>
      <c r="G168" s="92">
        <f>SUM('CA brut produits &amp; sites'!G177:G188)</f>
        <v>11325.22</v>
      </c>
      <c r="H168" s="92">
        <f>SUM('CA brut produits &amp; sites'!H177:H188)</f>
        <v>208963.09999999998</v>
      </c>
      <c r="I168" s="92">
        <f>SUM('CA brut produits &amp; sites'!I177:I188)</f>
        <v>65323.41</v>
      </c>
      <c r="J168" s="92">
        <f>SUM('CA brut produits &amp; sites'!J177:J188)</f>
        <v>129883.07</v>
      </c>
      <c r="K168" s="92">
        <f>SUM('CA brut produits &amp; sites'!K177:K188)</f>
        <v>332799.0500000001</v>
      </c>
      <c r="L168" s="92">
        <f>SUM('CA brut produits &amp; sites'!L177:L188)</f>
        <v>147920.43</v>
      </c>
      <c r="M168" s="92">
        <f>SUM('CA brut produits &amp; sites'!M177:M188)</f>
        <v>84147.44</v>
      </c>
      <c r="N168" s="92">
        <f>SUM('CA brut produits &amp; sites'!N177:N188)</f>
        <v>1608.6799999999998</v>
      </c>
      <c r="O168" s="92">
        <f>SUM('CA brut produits &amp; sites'!O177:O188)</f>
        <v>82999.819999999992</v>
      </c>
      <c r="P168" s="93">
        <f>SUM('CA brut produits &amp; sites'!P177:P188)</f>
        <v>38845.58</v>
      </c>
    </row>
    <row r="169" spans="1:16" x14ac:dyDescent="0.3">
      <c r="A169" s="94">
        <v>43952</v>
      </c>
      <c r="B169" s="146"/>
      <c r="C169" s="92">
        <f t="shared" ref="C169" si="20">SUM(D169:P169)</f>
        <v>2253716.8299999996</v>
      </c>
      <c r="D169" s="92">
        <f>SUM('CA brut produits &amp; sites'!D178:D189)</f>
        <v>977878.24</v>
      </c>
      <c r="E169" s="92">
        <f>SUM('CA brut produits &amp; sites'!E178:E189)</f>
        <v>108853.48</v>
      </c>
      <c r="F169" s="92">
        <f>SUM('CA brut produits &amp; sites'!F178:F189)</f>
        <v>147460.17000000001</v>
      </c>
      <c r="G169" s="92">
        <f>SUM('CA brut produits &amp; sites'!G178:G189)</f>
        <v>9521.61</v>
      </c>
      <c r="H169" s="92">
        <f>SUM('CA brut produits &amp; sites'!H178:H189)</f>
        <v>196257.05</v>
      </c>
      <c r="I169" s="92">
        <f>SUM('CA brut produits &amp; sites'!I178:I189)</f>
        <v>71742.09</v>
      </c>
      <c r="J169" s="92">
        <f>SUM('CA brut produits &amp; sites'!J178:J189)</f>
        <v>110759.16</v>
      </c>
      <c r="K169" s="92">
        <f>SUM('CA brut produits &amp; sites'!K178:K189)</f>
        <v>310317.93000000005</v>
      </c>
      <c r="L169" s="92">
        <f>SUM('CA brut produits &amp; sites'!L178:L189)</f>
        <v>138953.20000000001</v>
      </c>
      <c r="M169" s="92">
        <f>SUM('CA brut produits &amp; sites'!M178:M189)</f>
        <v>69791.41</v>
      </c>
      <c r="N169" s="92">
        <f>SUM('CA brut produits &amp; sites'!N178:N189)</f>
        <v>547.31999999999994</v>
      </c>
      <c r="O169" s="92">
        <f>SUM('CA brut produits &amp; sites'!O178:O189)</f>
        <v>77785.53</v>
      </c>
      <c r="P169" s="93">
        <f>SUM('CA brut produits &amp; sites'!P178:P189)</f>
        <v>33849.64</v>
      </c>
    </row>
    <row r="170" spans="1:16" x14ac:dyDescent="0.3">
      <c r="A170" s="94">
        <v>43983</v>
      </c>
      <c r="B170" s="146"/>
      <c r="C170" s="92">
        <f t="shared" ref="C170" si="21">SUM(D170:P170)</f>
        <v>2180184.0100000002</v>
      </c>
      <c r="D170" s="92">
        <f>SUM('CA brut produits &amp; sites'!D179:D190)</f>
        <v>927834.08</v>
      </c>
      <c r="E170" s="92">
        <f>SUM('CA brut produits &amp; sites'!E179:E190)</f>
        <v>97912.8</v>
      </c>
      <c r="F170" s="92">
        <f>SUM('CA brut produits &amp; sites'!F179:F190)</f>
        <v>153465.11000000002</v>
      </c>
      <c r="G170" s="92">
        <f>SUM('CA brut produits &amp; sites'!G179:G190)</f>
        <v>8126.1799999999994</v>
      </c>
      <c r="H170" s="92">
        <f>SUM('CA brut produits &amp; sites'!H179:H190)</f>
        <v>178867.49000000002</v>
      </c>
      <c r="I170" s="92">
        <f>SUM('CA brut produits &amp; sites'!I179:I190)</f>
        <v>117326.54000000001</v>
      </c>
      <c r="J170" s="92">
        <f>SUM('CA brut produits &amp; sites'!J179:J190)</f>
        <v>105057.46</v>
      </c>
      <c r="K170" s="92">
        <f>SUM('CA brut produits &amp; sites'!K179:K190)</f>
        <v>288684.19000000012</v>
      </c>
      <c r="L170" s="92">
        <f>SUM('CA brut produits &amp; sites'!L179:L190)</f>
        <v>129533.87000000002</v>
      </c>
      <c r="M170" s="92">
        <f>SUM('CA brut produits &amp; sites'!M179:M190)</f>
        <v>59017.180000000015</v>
      </c>
      <c r="N170" s="92">
        <f>SUM('CA brut produits &amp; sites'!N179:N190)</f>
        <v>4757.95</v>
      </c>
      <c r="O170" s="92">
        <f>SUM('CA brut produits &amp; sites'!O179:O190)</f>
        <v>78433.76999999999</v>
      </c>
      <c r="P170" s="93">
        <f>SUM('CA brut produits &amp; sites'!P179:P190)</f>
        <v>31167.39</v>
      </c>
    </row>
    <row r="171" spans="1:16" x14ac:dyDescent="0.3">
      <c r="A171" s="94">
        <v>44013</v>
      </c>
      <c r="B171" s="146"/>
      <c r="C171" s="92">
        <f t="shared" ref="C171" si="22">SUM(D171:P171)</f>
        <v>2219382.2300000004</v>
      </c>
      <c r="D171" s="92">
        <f>SUM('CA brut produits &amp; sites'!D180:D191)</f>
        <v>935939.95</v>
      </c>
      <c r="E171" s="92">
        <f>SUM('CA brut produits &amp; sites'!E180:E191)</f>
        <v>99199.67</v>
      </c>
      <c r="F171" s="92">
        <f>SUM('CA brut produits &amp; sites'!F180:F191)</f>
        <v>145495.61000000002</v>
      </c>
      <c r="G171" s="92">
        <f>SUM('CA brut produits &amp; sites'!G180:G191)</f>
        <v>7052.7599999999984</v>
      </c>
      <c r="H171" s="92">
        <f>SUM('CA brut produits &amp; sites'!H180:H191)</f>
        <v>188652.89000000004</v>
      </c>
      <c r="I171" s="92">
        <f>SUM('CA brut produits &amp; sites'!I180:I191)</f>
        <v>140381.03</v>
      </c>
      <c r="J171" s="92">
        <f>SUM('CA brut produits &amp; sites'!J180:J191)</f>
        <v>100757.76000000001</v>
      </c>
      <c r="K171" s="92">
        <f>SUM('CA brut produits &amp; sites'!K180:K191)</f>
        <v>288063.56999999995</v>
      </c>
      <c r="L171" s="92">
        <f>SUM('CA brut produits &amp; sites'!L180:L191)</f>
        <v>140081.14000000001</v>
      </c>
      <c r="M171" s="92">
        <f>SUM('CA brut produits &amp; sites'!M180:M191)</f>
        <v>57050.3</v>
      </c>
      <c r="N171" s="92">
        <f>SUM('CA brut produits &amp; sites'!N180:N191)</f>
        <v>4747.95</v>
      </c>
      <c r="O171" s="92">
        <f>SUM('CA brut produits &amp; sites'!O180:O191)</f>
        <v>79764.709999999992</v>
      </c>
      <c r="P171" s="93">
        <f>SUM('CA brut produits &amp; sites'!P180:P191)</f>
        <v>32194.89</v>
      </c>
    </row>
    <row r="172" spans="1:16" x14ac:dyDescent="0.3">
      <c r="A172" s="94">
        <v>44044</v>
      </c>
      <c r="B172" s="146"/>
      <c r="C172" s="92">
        <f t="shared" ref="C172" si="23">SUM(D172:P172)</f>
        <v>2202072.7800000003</v>
      </c>
      <c r="D172" s="92">
        <f>SUM('CA brut produits &amp; sites'!D181:D192)</f>
        <v>913406.77999999991</v>
      </c>
      <c r="E172" s="92">
        <f>SUM('CA brut produits &amp; sites'!E181:E192)</f>
        <v>99715.510000000009</v>
      </c>
      <c r="F172" s="92">
        <f>SUM('CA brut produits &amp; sites'!F181:F192)</f>
        <v>143518.22000000003</v>
      </c>
      <c r="G172" s="92">
        <f>SUM('CA brut produits &amp; sites'!G181:G192)</f>
        <v>6548.0499999999984</v>
      </c>
      <c r="H172" s="92">
        <f>SUM('CA brut produits &amp; sites'!H181:H192)</f>
        <v>175335.19</v>
      </c>
      <c r="I172" s="92">
        <f>SUM('CA brut produits &amp; sites'!I181:I192)</f>
        <v>155913.03</v>
      </c>
      <c r="J172" s="92">
        <f>SUM('CA brut produits &amp; sites'!J181:J192)</f>
        <v>107362.26000000001</v>
      </c>
      <c r="K172" s="92">
        <f>SUM('CA brut produits &amp; sites'!K181:K192)</f>
        <v>276371.87</v>
      </c>
      <c r="L172" s="92">
        <f>SUM('CA brut produits &amp; sites'!L181:L192)</f>
        <v>143880.09000000003</v>
      </c>
      <c r="M172" s="92">
        <f>SUM('CA brut produits &amp; sites'!M181:M192)</f>
        <v>62890.62</v>
      </c>
      <c r="N172" s="92">
        <f>SUM('CA brut produits &amp; sites'!N181:N192)</f>
        <v>4737.95</v>
      </c>
      <c r="O172" s="92">
        <f>SUM('CA brut produits &amp; sites'!O181:O192)</f>
        <v>77259.659999999989</v>
      </c>
      <c r="P172" s="93">
        <f>SUM('CA brut produits &amp; sites'!P181:P192)</f>
        <v>35133.550000000003</v>
      </c>
    </row>
    <row r="173" spans="1:16" x14ac:dyDescent="0.3">
      <c r="A173" s="94">
        <v>44075</v>
      </c>
      <c r="B173" s="146"/>
      <c r="C173" s="92">
        <f t="shared" ref="C173" si="24">SUM(D173:P173)</f>
        <v>2178162.7999999993</v>
      </c>
      <c r="D173" s="92">
        <f>SUM('CA brut produits &amp; sites'!D182:D193)</f>
        <v>915865.33999999985</v>
      </c>
      <c r="E173" s="92">
        <f>SUM('CA brut produits &amp; sites'!E182:E193)</f>
        <v>89839.11</v>
      </c>
      <c r="F173" s="92">
        <f>SUM('CA brut produits &amp; sites'!F182:F193)</f>
        <v>140357.09</v>
      </c>
      <c r="G173" s="92">
        <f>SUM('CA brut produits &amp; sites'!G182:G193)</f>
        <v>7018.5699999999979</v>
      </c>
      <c r="H173" s="92">
        <f>SUM('CA brut produits &amp; sites'!H182:H193)</f>
        <v>170132.23</v>
      </c>
      <c r="I173" s="92">
        <f>SUM('CA brut produits &amp; sites'!I182:I193)</f>
        <v>178317.16999999998</v>
      </c>
      <c r="J173" s="92">
        <f>SUM('CA brut produits &amp; sites'!J182:J193)</f>
        <v>100468.46</v>
      </c>
      <c r="K173" s="92">
        <f>SUM('CA brut produits &amp; sites'!K182:K193)</f>
        <v>273786.53999999998</v>
      </c>
      <c r="L173" s="92">
        <f>SUM('CA brut produits &amp; sites'!L182:L193)</f>
        <v>133118.75</v>
      </c>
      <c r="M173" s="92">
        <f>SUM('CA brut produits &amp; sites'!M182:M193)</f>
        <v>57908.23</v>
      </c>
      <c r="N173" s="92">
        <f>SUM('CA brut produits &amp; sites'!N182:N193)</f>
        <v>4727.95</v>
      </c>
      <c r="O173" s="92">
        <f>SUM('CA brut produits &amp; sites'!O182:O193)</f>
        <v>74784.56</v>
      </c>
      <c r="P173" s="93">
        <f>SUM('CA brut produits &amp; sites'!P182:P193)</f>
        <v>31838.799999999999</v>
      </c>
    </row>
    <row r="174" spans="1:16" x14ac:dyDescent="0.3">
      <c r="A174" s="94">
        <v>44105</v>
      </c>
      <c r="B174" s="146"/>
      <c r="C174" s="92">
        <f t="shared" ref="C174" si="25">SUM(D174:P174)</f>
        <v>2120188.7299999995</v>
      </c>
      <c r="D174" s="92">
        <f>SUM('CA brut produits &amp; sites'!D183:D194)</f>
        <v>885755.25</v>
      </c>
      <c r="E174" s="92">
        <f>SUM('CA brut produits &amp; sites'!E183:E194)</f>
        <v>85140.319999999992</v>
      </c>
      <c r="F174" s="92">
        <f>SUM('CA brut produits &amp; sites'!F183:F194)</f>
        <v>145538.22999999998</v>
      </c>
      <c r="G174" s="92">
        <f>SUM('CA brut produits &amp; sites'!G183:G194)</f>
        <v>7119.3</v>
      </c>
      <c r="H174" s="92">
        <f>SUM('CA brut produits &amp; sites'!H183:H194)</f>
        <v>147908.68000000002</v>
      </c>
      <c r="I174" s="92">
        <f>SUM('CA brut produits &amp; sites'!I183:I194)</f>
        <v>200675.14999999997</v>
      </c>
      <c r="J174" s="92">
        <f>SUM('CA brut produits &amp; sites'!J183:J194)</f>
        <v>93480.57</v>
      </c>
      <c r="K174" s="92">
        <f>SUM('CA brut produits &amp; sites'!K183:K194)</f>
        <v>260155.62999999998</v>
      </c>
      <c r="L174" s="92">
        <f>SUM('CA brut produits &amp; sites'!L183:L194)</f>
        <v>130201.47</v>
      </c>
      <c r="M174" s="92">
        <f>SUM('CA brut produits &amp; sites'!M183:M194)</f>
        <v>55476.26</v>
      </c>
      <c r="N174" s="92">
        <f>SUM('CA brut produits &amp; sites'!N183:N194)</f>
        <v>5057.8899999999994</v>
      </c>
      <c r="O174" s="92">
        <f>SUM('CA brut produits &amp; sites'!O183:O194)</f>
        <v>75594.73</v>
      </c>
      <c r="P174" s="93">
        <f>SUM('CA brut produits &amp; sites'!P183:P194)</f>
        <v>28085.25</v>
      </c>
    </row>
    <row r="175" spans="1:16" x14ac:dyDescent="0.3">
      <c r="A175" s="94">
        <v>44136</v>
      </c>
      <c r="B175" s="146"/>
      <c r="C175" s="92">
        <f t="shared" ref="C175:C176" si="26">SUM(D175:P175)</f>
        <v>2028588.8099999998</v>
      </c>
      <c r="D175" s="92">
        <f>SUM('CA brut produits &amp; sites'!D184:D195)</f>
        <v>833707.87</v>
      </c>
      <c r="E175" s="92">
        <f>SUM('CA brut produits &amp; sites'!E184:E195)</f>
        <v>76145.83</v>
      </c>
      <c r="F175" s="92">
        <f>SUM('CA brut produits &amp; sites'!F184:F195)</f>
        <v>146622.68000000002</v>
      </c>
      <c r="G175" s="92">
        <f>SUM('CA brut produits &amp; sites'!G184:G195)</f>
        <v>5750.69</v>
      </c>
      <c r="H175" s="92">
        <f>SUM('CA brut produits &amp; sites'!H184:H195)</f>
        <v>126171.83</v>
      </c>
      <c r="I175" s="92">
        <f>SUM('CA brut produits &amp; sites'!I184:I195)</f>
        <v>213089.13999999998</v>
      </c>
      <c r="J175" s="92">
        <f>SUM('CA brut produits &amp; sites'!J184:J195)</f>
        <v>92101.010000000009</v>
      </c>
      <c r="K175" s="92">
        <f>SUM('CA brut produits &amp; sites'!K184:K195)</f>
        <v>256337.47</v>
      </c>
      <c r="L175" s="92">
        <f>SUM('CA brut produits &amp; sites'!L184:L195)</f>
        <v>128889.77000000002</v>
      </c>
      <c r="M175" s="92">
        <f>SUM('CA brut produits &amp; sites'!M184:M195)</f>
        <v>55689.110000000008</v>
      </c>
      <c r="N175" s="92">
        <f>SUM('CA brut produits &amp; sites'!N184:N195)</f>
        <v>5057.8899999999994</v>
      </c>
      <c r="O175" s="92">
        <f>SUM('CA brut produits &amp; sites'!O184:O195)</f>
        <v>71905.05</v>
      </c>
      <c r="P175" s="93">
        <f>SUM('CA brut produits &amp; sites'!P184:P195)</f>
        <v>17120.47</v>
      </c>
    </row>
    <row r="176" spans="1:16" x14ac:dyDescent="0.3">
      <c r="A176" s="94">
        <v>44166</v>
      </c>
      <c r="B176" s="146"/>
      <c r="C176" s="92">
        <f t="shared" si="26"/>
        <v>1962285.9599999997</v>
      </c>
      <c r="D176" s="92">
        <f>SUM('CA brut produits &amp; sites'!D185:D196)</f>
        <v>786844.55999999982</v>
      </c>
      <c r="E176" s="92">
        <f>SUM('CA brut produits &amp; sites'!E185:E196)</f>
        <v>51093.759999999995</v>
      </c>
      <c r="F176" s="92">
        <f>SUM('CA brut produits &amp; sites'!F185:F196)</f>
        <v>137206.94</v>
      </c>
      <c r="G176" s="92">
        <f>SUM('CA brut produits &amp; sites'!G185:G196)</f>
        <v>6139.47</v>
      </c>
      <c r="H176" s="92">
        <f>SUM('CA brut produits &amp; sites'!H185:H196)</f>
        <v>115733.75</v>
      </c>
      <c r="I176" s="92">
        <f>SUM('CA brut produits &amp; sites'!I185:I196)</f>
        <v>233617.84999999998</v>
      </c>
      <c r="J176" s="92">
        <f>SUM('CA brut produits &amp; sites'!J185:J196)</f>
        <v>99527.85</v>
      </c>
      <c r="K176" s="92">
        <f>SUM('CA brut produits &amp; sites'!K185:K196)</f>
        <v>258265.46</v>
      </c>
      <c r="L176" s="92">
        <f>SUM('CA brut produits &amp; sites'!L185:L196)</f>
        <v>130589.78</v>
      </c>
      <c r="M176" s="92">
        <f>SUM('CA brut produits &amp; sites'!M185:M196)</f>
        <v>52258.320000000007</v>
      </c>
      <c r="N176" s="92">
        <f>SUM('CA brut produits &amp; sites'!N185:N196)</f>
        <v>5037.8899999999994</v>
      </c>
      <c r="O176" s="92">
        <f>SUM('CA brut produits &amp; sites'!O185:O196)</f>
        <v>68934.040000000023</v>
      </c>
      <c r="P176" s="93">
        <f>SUM('CA brut produits &amp; sites'!P185:P196)</f>
        <v>17036.29</v>
      </c>
    </row>
    <row r="177" spans="1:16" x14ac:dyDescent="0.3">
      <c r="A177" s="94">
        <v>44197</v>
      </c>
      <c r="B177" s="146"/>
      <c r="C177" s="92">
        <f t="shared" ref="C177" si="27">SUM(D177:P177)</f>
        <v>1833101.6699999997</v>
      </c>
      <c r="D177" s="92">
        <f>SUM('CA brut produits &amp; sites'!D186:D197)</f>
        <v>704392.95999999985</v>
      </c>
      <c r="E177" s="92">
        <f>SUM('CA brut produits &amp; sites'!E186:E197)</f>
        <v>50080.6</v>
      </c>
      <c r="F177" s="92">
        <f>SUM('CA brut produits &amp; sites'!F186:F197)</f>
        <v>137394.11000000002</v>
      </c>
      <c r="G177" s="92">
        <f>SUM('CA brut produits &amp; sites'!G186:G197)</f>
        <v>5787.5400000000009</v>
      </c>
      <c r="H177" s="92">
        <f>SUM('CA brut produits &amp; sites'!H186:H197)</f>
        <v>107168.40000000002</v>
      </c>
      <c r="I177" s="92">
        <f>SUM('CA brut produits &amp; sites'!I186:I197)</f>
        <v>241598.55999999997</v>
      </c>
      <c r="J177" s="92">
        <f>SUM('CA brut produits &amp; sites'!J186:J197)</f>
        <v>104539.9</v>
      </c>
      <c r="K177" s="92">
        <f>SUM('CA brut produits &amp; sites'!K186:K197)</f>
        <v>256918.01</v>
      </c>
      <c r="L177" s="92">
        <f>SUM('CA brut produits &amp; sites'!L186:L197)</f>
        <v>95117.460000000021</v>
      </c>
      <c r="M177" s="92">
        <f>SUM('CA brut produits &amp; sites'!M186:M197)</f>
        <v>47543.05000000001</v>
      </c>
      <c r="N177" s="92">
        <f>SUM('CA brut produits &amp; sites'!N186:N197)</f>
        <v>5027.8899999999994</v>
      </c>
      <c r="O177" s="92">
        <f>SUM('CA brut produits &amp; sites'!O186:O197)</f>
        <v>62829.450000000004</v>
      </c>
      <c r="P177" s="93">
        <f>SUM('CA brut produits &amp; sites'!P186:P197)</f>
        <v>14703.740000000002</v>
      </c>
    </row>
    <row r="178" spans="1:16" x14ac:dyDescent="0.3">
      <c r="A178" s="94">
        <v>44228</v>
      </c>
      <c r="B178" s="146"/>
      <c r="C178" s="92">
        <f t="shared" ref="C178" si="28">SUM(D178:P178)</f>
        <v>1789694.7899999998</v>
      </c>
      <c r="D178" s="92">
        <f>SUM('CA brut produits &amp; sites'!D187:D198)</f>
        <v>697537.46999999986</v>
      </c>
      <c r="E178" s="92">
        <f>SUM('CA brut produits &amp; sites'!E187:E198)</f>
        <v>51873.909999999996</v>
      </c>
      <c r="F178" s="92">
        <f>SUM('CA brut produits &amp; sites'!F187:F198)</f>
        <v>133745.58000000002</v>
      </c>
      <c r="G178" s="92">
        <f>SUM('CA brut produits &amp; sites'!G187:G198)</f>
        <v>7717.2800000000007</v>
      </c>
      <c r="H178" s="92">
        <f>SUM('CA brut produits &amp; sites'!H187:H198)</f>
        <v>101485.65</v>
      </c>
      <c r="I178" s="92">
        <f>SUM('CA brut produits &amp; sites'!I187:I198)</f>
        <v>248339.68999999997</v>
      </c>
      <c r="J178" s="92">
        <f>SUM('CA brut produits &amp; sites'!J187:J198)</f>
        <v>93136.989999999991</v>
      </c>
      <c r="K178" s="92">
        <f>SUM('CA brut produits &amp; sites'!K187:K198)</f>
        <v>242747.96999999997</v>
      </c>
      <c r="L178" s="92">
        <f>SUM('CA brut produits &amp; sites'!L187:L198)</f>
        <v>100014.03000000001</v>
      </c>
      <c r="M178" s="92">
        <f>SUM('CA brut produits &amp; sites'!M187:M198)</f>
        <v>51222.670000000006</v>
      </c>
      <c r="N178" s="92">
        <f>SUM('CA brut produits &amp; sites'!N187:N198)</f>
        <v>5017.8899999999994</v>
      </c>
      <c r="O178" s="92">
        <f>SUM('CA brut produits &amp; sites'!O187:O198)</f>
        <v>43744.42</v>
      </c>
      <c r="P178" s="93">
        <f>SUM('CA brut produits &amp; sites'!P187:P198)</f>
        <v>13111.240000000002</v>
      </c>
    </row>
    <row r="179" spans="1:16" x14ac:dyDescent="0.3">
      <c r="A179" s="94">
        <v>44256</v>
      </c>
      <c r="B179" s="146"/>
      <c r="C179" s="92">
        <f t="shared" ref="C179" si="29">SUM(D179:P179)</f>
        <v>1811915.1899999995</v>
      </c>
      <c r="D179" s="92">
        <f>SUM('CA brut produits &amp; sites'!D188:D199)</f>
        <v>718071.77999999991</v>
      </c>
      <c r="E179" s="92">
        <f>SUM('CA brut produits &amp; sites'!E188:E199)</f>
        <v>58573.569999999992</v>
      </c>
      <c r="F179" s="92">
        <f>SUM('CA brut produits &amp; sites'!F188:F199)</f>
        <v>128391.37999999998</v>
      </c>
      <c r="G179" s="92">
        <f>SUM('CA brut produits &amp; sites'!G188:G199)</f>
        <v>8226.82</v>
      </c>
      <c r="H179" s="92">
        <f>SUM('CA brut produits &amp; sites'!H188:H199)</f>
        <v>102543.95999999998</v>
      </c>
      <c r="I179" s="92">
        <f>SUM('CA brut produits &amp; sites'!I188:I199)</f>
        <v>235842.65999999997</v>
      </c>
      <c r="J179" s="92">
        <f>SUM('CA brut produits &amp; sites'!J188:J199)</f>
        <v>98293.389999999985</v>
      </c>
      <c r="K179" s="92">
        <f>SUM('CA brut produits &amp; sites'!K188:K199)</f>
        <v>253485.33</v>
      </c>
      <c r="L179" s="92">
        <f>SUM('CA brut produits &amp; sites'!L188:L199)</f>
        <v>105569.44</v>
      </c>
      <c r="M179" s="92">
        <f>SUM('CA brut produits &amp; sites'!M188:M199)</f>
        <v>62265.150000000009</v>
      </c>
      <c r="N179" s="92">
        <f>SUM('CA brut produits &amp; sites'!N188:N199)</f>
        <v>5017.8899999999994</v>
      </c>
      <c r="O179" s="92">
        <f>SUM('CA brut produits &amp; sites'!O188:O199)</f>
        <v>21932.579999999998</v>
      </c>
      <c r="P179" s="93">
        <f>SUM('CA brut produits &amp; sites'!P188:P199)</f>
        <v>13701.240000000002</v>
      </c>
    </row>
    <row r="180" spans="1:16" x14ac:dyDescent="0.3">
      <c r="A180" s="94">
        <v>44287</v>
      </c>
      <c r="B180" s="146"/>
      <c r="C180" s="92">
        <f t="shared" ref="C180" si="30">SUM(D180:P180)</f>
        <v>1975080.9799999995</v>
      </c>
      <c r="D180" s="92">
        <f>SUM('CA brut produits &amp; sites'!D189:D200)</f>
        <v>748700.41999999993</v>
      </c>
      <c r="E180" s="92">
        <f>SUM('CA brut produits &amp; sites'!E189:E200)</f>
        <v>67534.189999999988</v>
      </c>
      <c r="F180" s="92">
        <f>SUM('CA brut produits &amp; sites'!F189:F200)</f>
        <v>138590.70000000001</v>
      </c>
      <c r="G180" s="92">
        <f>SUM('CA brut produits &amp; sites'!G189:G200)</f>
        <v>9992.25</v>
      </c>
      <c r="H180" s="92">
        <f>SUM('CA brut produits &amp; sites'!H189:H200)</f>
        <v>107357.52999999998</v>
      </c>
      <c r="I180" s="92">
        <f>SUM('CA brut produits &amp; sites'!I189:I200)</f>
        <v>260052.21999999997</v>
      </c>
      <c r="J180" s="92">
        <f>SUM('CA brut produits &amp; sites'!J189:J200)</f>
        <v>95364.189999999988</v>
      </c>
      <c r="K180" s="92">
        <f>SUM('CA brut produits &amp; sites'!K189:K200)</f>
        <v>286414.24</v>
      </c>
      <c r="L180" s="92">
        <f>SUM('CA brut produits &amp; sites'!L189:L200)</f>
        <v>111450.40999999999</v>
      </c>
      <c r="M180" s="92">
        <f>SUM('CA brut produits &amp; sites'!M189:M200)</f>
        <v>95322.96</v>
      </c>
      <c r="N180" s="92">
        <f>SUM('CA brut produits &amp; sites'!N189:N200)</f>
        <v>5017.8899999999994</v>
      </c>
      <c r="O180" s="92">
        <f>SUM('CA brut produits &amp; sites'!O189:O200)</f>
        <v>34222.740000000005</v>
      </c>
      <c r="P180" s="93">
        <f>SUM('CA brut produits &amp; sites'!P189:P200)</f>
        <v>15061.240000000002</v>
      </c>
    </row>
    <row r="181" spans="1:16" x14ac:dyDescent="0.3">
      <c r="A181" s="94">
        <v>44317</v>
      </c>
      <c r="B181" s="146"/>
      <c r="C181" s="92">
        <f t="shared" ref="C181" si="31">SUM(D181:P181)</f>
        <v>2044474.68</v>
      </c>
      <c r="D181" s="92">
        <f>SUM('CA brut produits &amp; sites'!D190:D201)</f>
        <v>762385.28</v>
      </c>
      <c r="E181" s="92">
        <f>SUM('CA brut produits &amp; sites'!E190:E201)</f>
        <v>74032.78</v>
      </c>
      <c r="F181" s="92">
        <f>SUM('CA brut produits &amp; sites'!F190:F201)</f>
        <v>139497.4</v>
      </c>
      <c r="G181" s="92">
        <f>SUM('CA brut produits &amp; sites'!G190:G201)</f>
        <v>10092.129999999999</v>
      </c>
      <c r="H181" s="92">
        <f>SUM('CA brut produits &amp; sites'!H190:H201)</f>
        <v>116404.96999999997</v>
      </c>
      <c r="I181" s="92">
        <f>SUM('CA brut produits &amp; sites'!I190:I201)</f>
        <v>271740.57999999996</v>
      </c>
      <c r="J181" s="92">
        <f>SUM('CA brut produits &amp; sites'!J190:J201)</f>
        <v>96999.489999999991</v>
      </c>
      <c r="K181" s="92">
        <f>SUM('CA brut produits &amp; sites'!K190:K201)</f>
        <v>301912.84999999998</v>
      </c>
      <c r="L181" s="92">
        <f>SUM('CA brut produits &amp; sites'!L190:L201)</f>
        <v>116643.6</v>
      </c>
      <c r="M181" s="92">
        <f>SUM('CA brut produits &amp; sites'!M190:M201)</f>
        <v>95754.41</v>
      </c>
      <c r="N181" s="92">
        <f>SUM('CA brut produits &amp; sites'!N190:N201)</f>
        <v>5017.8899999999994</v>
      </c>
      <c r="O181" s="92">
        <f>SUM('CA brut produits &amp; sites'!O190:O201)</f>
        <v>39498.31</v>
      </c>
      <c r="P181" s="93">
        <f>SUM('CA brut produits &amp; sites'!P190:P201)</f>
        <v>14494.990000000002</v>
      </c>
    </row>
    <row r="182" spans="1:16" x14ac:dyDescent="0.3">
      <c r="A182" s="94">
        <v>44348</v>
      </c>
      <c r="B182" s="146"/>
      <c r="C182" s="92">
        <f t="shared" ref="C182" si="32">SUM(D182:P182)</f>
        <v>2085941.1500000001</v>
      </c>
      <c r="D182" s="92">
        <f>SUM('CA brut produits &amp; sites'!D191:D202)</f>
        <v>770535.45</v>
      </c>
      <c r="E182" s="92">
        <f>SUM('CA brut produits &amp; sites'!E191:E202)</f>
        <v>80979.73000000001</v>
      </c>
      <c r="F182" s="92">
        <f>SUM('CA brut produits &amp; sites'!F191:F202)</f>
        <v>129812.68000000001</v>
      </c>
      <c r="G182" s="92">
        <f>SUM('CA brut produits &amp; sites'!G191:G202)</f>
        <v>11745.59</v>
      </c>
      <c r="H182" s="92">
        <f>SUM('CA brut produits &amp; sites'!H191:H202)</f>
        <v>133737.85</v>
      </c>
      <c r="I182" s="92">
        <f>SUM('CA brut produits &amp; sites'!I191:I202)</f>
        <v>247859.40999999997</v>
      </c>
      <c r="J182" s="92">
        <f>SUM('CA brut produits &amp; sites'!J191:J202)</f>
        <v>102476.79</v>
      </c>
      <c r="K182" s="92">
        <f>SUM('CA brut produits &amp; sites'!K191:K202)</f>
        <v>328445.00000000006</v>
      </c>
      <c r="L182" s="92">
        <f>SUM('CA brut produits &amp; sites'!L191:L202)</f>
        <v>123733.55</v>
      </c>
      <c r="M182" s="92">
        <f>SUM('CA brut produits &amp; sites'!M191:M202)</f>
        <v>102208.54</v>
      </c>
      <c r="N182" s="92">
        <f>SUM('CA brut produits &amp; sites'!N191:N202)</f>
        <v>339.94</v>
      </c>
      <c r="O182" s="92">
        <f>SUM('CA brut produits &amp; sites'!O191:O202)</f>
        <v>41139.130000000005</v>
      </c>
      <c r="P182" s="93">
        <f>SUM('CA brut produits &amp; sites'!P191:P202)</f>
        <v>12927.490000000002</v>
      </c>
    </row>
    <row r="183" spans="1:16" x14ac:dyDescent="0.3">
      <c r="A183" s="94">
        <v>44378</v>
      </c>
      <c r="B183" s="146"/>
      <c r="C183" s="92">
        <f t="shared" ref="C183" si="33">SUM(D183:P183)</f>
        <v>1993266.1500000001</v>
      </c>
      <c r="D183" s="92">
        <f>SUM('CA brut produits &amp; sites'!D192:D203)</f>
        <v>696862.95000000007</v>
      </c>
      <c r="E183" s="92">
        <f>SUM('CA brut produits &amp; sites'!E192:E203)</f>
        <v>80008.94</v>
      </c>
      <c r="F183" s="92">
        <f>SUM('CA brut produits &amp; sites'!F192:F203)</f>
        <v>127960.93000000001</v>
      </c>
      <c r="G183" s="92">
        <f>SUM('CA brut produits &amp; sites'!G192:G203)</f>
        <v>12851.369999999999</v>
      </c>
      <c r="H183" s="92">
        <f>SUM('CA brut produits &amp; sites'!H192:H203)</f>
        <v>126751.66</v>
      </c>
      <c r="I183" s="92">
        <f>SUM('CA brut produits &amp; sites'!I192:I203)</f>
        <v>236449.34999999998</v>
      </c>
      <c r="J183" s="92">
        <f>SUM('CA brut produits &amp; sites'!J192:J203)</f>
        <v>111340.71</v>
      </c>
      <c r="K183" s="92">
        <f>SUM('CA brut produits &amp; sites'!K192:K203)</f>
        <v>331643.68999999994</v>
      </c>
      <c r="L183" s="92">
        <f>SUM('CA brut produits &amp; sites'!L192:L203)</f>
        <v>112016.56999999999</v>
      </c>
      <c r="M183" s="92">
        <f>SUM('CA brut produits &amp; sites'!M192:M203)</f>
        <v>104544.94999999998</v>
      </c>
      <c r="N183" s="92">
        <f>SUM('CA brut produits &amp; sites'!N192:N203)</f>
        <v>339.94</v>
      </c>
      <c r="O183" s="92">
        <f>SUM('CA brut produits &amp; sites'!O192:O203)</f>
        <v>40259.85</v>
      </c>
      <c r="P183" s="93">
        <f>SUM('CA brut produits &amp; sites'!P192:P203)</f>
        <v>12235.240000000002</v>
      </c>
    </row>
    <row r="184" spans="1:16" x14ac:dyDescent="0.3">
      <c r="A184" s="94">
        <v>44409</v>
      </c>
      <c r="B184" s="146"/>
      <c r="C184" s="92">
        <f t="shared" ref="C184:C194" si="34">SUM(D184:P184)</f>
        <v>2004454.7999999998</v>
      </c>
      <c r="D184" s="92">
        <f>SUM('CA brut produits &amp; sites'!D193:D204)</f>
        <v>683938.65</v>
      </c>
      <c r="E184" s="92">
        <f>SUM('CA brut produits &amp; sites'!E193:E204)</f>
        <v>79334.460000000006</v>
      </c>
      <c r="F184" s="92">
        <f>SUM('CA brut produits &amp; sites'!F193:F204)</f>
        <v>120763.62000000001</v>
      </c>
      <c r="G184" s="92">
        <f>SUM('CA brut produits &amp; sites'!G193:G204)</f>
        <v>36297.300000000003</v>
      </c>
      <c r="H184" s="92">
        <f>SUM('CA brut produits &amp; sites'!H193:H204)</f>
        <v>141164.57</v>
      </c>
      <c r="I184" s="92">
        <f>SUM('CA brut produits &amp; sites'!I193:I204)</f>
        <v>243607.24</v>
      </c>
      <c r="J184" s="92">
        <f>SUM('CA brut produits &amp; sites'!J193:J204)</f>
        <v>107055.71</v>
      </c>
      <c r="K184" s="92">
        <f>SUM('CA brut produits &amp; sites'!K193:K204)</f>
        <v>332345.62999999995</v>
      </c>
      <c r="L184" s="92">
        <f>SUM('CA brut produits &amp; sites'!L193:L204)</f>
        <v>110884.43999999999</v>
      </c>
      <c r="M184" s="92">
        <f>SUM('CA brut produits &amp; sites'!M193:M204)</f>
        <v>101828.15999999999</v>
      </c>
      <c r="N184" s="92">
        <f>SUM('CA brut produits &amp; sites'!N193:N204)</f>
        <v>339.94</v>
      </c>
      <c r="O184" s="92">
        <f>SUM('CA brut produits &amp; sites'!O193:O204)</f>
        <v>37689.339999999997</v>
      </c>
      <c r="P184" s="93">
        <f>SUM('CA brut produits &amp; sites'!P193:P204)</f>
        <v>9205.7400000000016</v>
      </c>
    </row>
    <row r="185" spans="1:16" x14ac:dyDescent="0.3">
      <c r="A185" s="94">
        <v>44440</v>
      </c>
      <c r="B185" s="146"/>
      <c r="C185" s="92">
        <f t="shared" si="34"/>
        <v>2004470.4499999997</v>
      </c>
      <c r="D185" s="92">
        <f>SUM('CA brut produits &amp; sites'!D194:D205)</f>
        <v>667789.29999999993</v>
      </c>
      <c r="E185" s="92">
        <f>SUM('CA brut produits &amp; sites'!E194:E205)</f>
        <v>88692.049999999988</v>
      </c>
      <c r="F185" s="92">
        <f>SUM('CA brut produits &amp; sites'!F194:F205)</f>
        <v>120683.53</v>
      </c>
      <c r="G185" s="92">
        <f>SUM('CA brut produits &amp; sites'!G194:G205)</f>
        <v>40753.96</v>
      </c>
      <c r="H185" s="92">
        <f>SUM('CA brut produits &amp; sites'!H194:H205)</f>
        <v>138699.49</v>
      </c>
      <c r="I185" s="92">
        <f>SUM('CA brut produits &amp; sites'!I194:I205)</f>
        <v>243911.43000000002</v>
      </c>
      <c r="J185" s="92">
        <f>SUM('CA brut produits &amp; sites'!J194:J205)</f>
        <v>103316.11</v>
      </c>
      <c r="K185" s="92">
        <f>SUM('CA brut produits &amp; sites'!K194:K205)</f>
        <v>342557.17</v>
      </c>
      <c r="L185" s="92">
        <f>SUM('CA brut produits &amp; sites'!L194:L205)</f>
        <v>104755.9</v>
      </c>
      <c r="M185" s="92">
        <f>SUM('CA brut produits &amp; sites'!M194:M205)</f>
        <v>103155.04000000001</v>
      </c>
      <c r="N185" s="92">
        <f>SUM('CA brut produits &amp; sites'!N194:N205)</f>
        <v>339.94</v>
      </c>
      <c r="O185" s="92">
        <f>SUM('CA brut produits &amp; sites'!O194:O205)</f>
        <v>39193.339999999997</v>
      </c>
      <c r="P185" s="93">
        <f>SUM('CA brut produits &amp; sites'!P194:P205)</f>
        <v>10623.190000000002</v>
      </c>
    </row>
    <row r="186" spans="1:16" x14ac:dyDescent="0.3">
      <c r="A186" s="94">
        <v>44470</v>
      </c>
      <c r="B186" s="146"/>
      <c r="C186" s="92">
        <f t="shared" si="34"/>
        <v>2025181.71</v>
      </c>
      <c r="D186" s="92">
        <f>SUM('CA brut produits &amp; sites'!D195:D206)</f>
        <v>651845.96</v>
      </c>
      <c r="E186" s="92">
        <f>SUM('CA brut produits &amp; sites'!E195:E206)</f>
        <v>95136.94</v>
      </c>
      <c r="F186" s="92">
        <f>SUM('CA brut produits &amp; sites'!F195:F206)</f>
        <v>119359.73</v>
      </c>
      <c r="G186" s="92">
        <f>SUM('CA brut produits &amp; sites'!G195:G206)</f>
        <v>41061.79</v>
      </c>
      <c r="H186" s="92">
        <f>SUM('CA brut produits &amp; sites'!H195:H206)</f>
        <v>151734.47999999998</v>
      </c>
      <c r="I186" s="92">
        <f>SUM('CA brut produits &amp; sites'!I195:I206)</f>
        <v>236293.43</v>
      </c>
      <c r="J186" s="92">
        <f>SUM('CA brut produits &amp; sites'!J195:J206)</f>
        <v>108757.25</v>
      </c>
      <c r="K186" s="92">
        <f>SUM('CA brut produits &amp; sites'!K195:K206)</f>
        <v>360308.74</v>
      </c>
      <c r="L186" s="92">
        <f>SUM('CA brut produits &amp; sites'!L195:L206)</f>
        <v>105305.31</v>
      </c>
      <c r="M186" s="92">
        <f>SUM('CA brut produits &amp; sites'!M195:M206)</f>
        <v>100647.84000000001</v>
      </c>
      <c r="N186" s="92">
        <f>SUM('CA brut produits &amp; sites'!N195:N206)</f>
        <v>0</v>
      </c>
      <c r="O186" s="92">
        <f>SUM('CA brut produits &amp; sites'!O195:O206)</f>
        <v>40772.549999999996</v>
      </c>
      <c r="P186" s="93">
        <f>SUM('CA brut produits &amp; sites'!P195:P206)</f>
        <v>13957.69</v>
      </c>
    </row>
    <row r="187" spans="1:16" x14ac:dyDescent="0.3">
      <c r="A187" s="94">
        <v>44501</v>
      </c>
      <c r="B187" s="146"/>
      <c r="C187" s="92">
        <f t="shared" si="34"/>
        <v>2075545.7600000002</v>
      </c>
      <c r="D187" s="92">
        <f>SUM('CA brut produits &amp; sites'!D196:D207)</f>
        <v>683475.37</v>
      </c>
      <c r="E187" s="92">
        <f>SUM('CA brut produits &amp; sites'!E196:E207)</f>
        <v>99676.89999999998</v>
      </c>
      <c r="F187" s="92">
        <f>SUM('CA brut produits &amp; sites'!F196:F207)</f>
        <v>110763.4</v>
      </c>
      <c r="G187" s="92">
        <f>SUM('CA brut produits &amp; sites'!G196:G207)</f>
        <v>39937.360000000001</v>
      </c>
      <c r="H187" s="92">
        <f>SUM('CA brut produits &amp; sites'!H196:H207)</f>
        <v>160180.02999999997</v>
      </c>
      <c r="I187" s="92">
        <f>SUM('CA brut produits &amp; sites'!I196:I207)</f>
        <v>240190.05</v>
      </c>
      <c r="J187" s="92">
        <f>SUM('CA brut produits &amp; sites'!J196:J207)</f>
        <v>110043.8</v>
      </c>
      <c r="K187" s="92">
        <f>SUM('CA brut produits &amp; sites'!K196:K207)</f>
        <v>364564.09</v>
      </c>
      <c r="L187" s="92">
        <f>SUM('CA brut produits &amp; sites'!L196:L207)</f>
        <v>105380.54</v>
      </c>
      <c r="M187" s="92">
        <f>SUM('CA brut produits &amp; sites'!M196:M207)</f>
        <v>102821.69</v>
      </c>
      <c r="N187" s="92">
        <f>SUM('CA brut produits &amp; sites'!N196:N207)</f>
        <v>0</v>
      </c>
      <c r="O187" s="92">
        <f>SUM('CA brut produits &amp; sites'!O196:O207)</f>
        <v>38872.060000000005</v>
      </c>
      <c r="P187" s="93">
        <f>SUM('CA brut produits &amp; sites'!P196:P207)</f>
        <v>19640.47</v>
      </c>
    </row>
    <row r="188" spans="1:16" x14ac:dyDescent="0.3">
      <c r="A188" s="94">
        <v>44531</v>
      </c>
      <c r="B188" s="146"/>
      <c r="C188" s="92">
        <f t="shared" si="34"/>
        <v>2128750.9199999995</v>
      </c>
      <c r="D188" s="92">
        <f>SUM('CA brut produits &amp; sites'!D197:D208)</f>
        <v>723258.83</v>
      </c>
      <c r="E188" s="92">
        <f>SUM('CA brut produits &amp; sites'!E197:E208)</f>
        <v>106457.01999999999</v>
      </c>
      <c r="F188" s="92">
        <f>SUM('CA brut produits &amp; sites'!F197:F208)</f>
        <v>105294.99999999999</v>
      </c>
      <c r="G188" s="92">
        <f>SUM('CA brut produits &amp; sites'!G197:G208)</f>
        <v>39461.33</v>
      </c>
      <c r="H188" s="92">
        <f>SUM('CA brut produits &amp; sites'!H197:H208)</f>
        <v>161541.40999999997</v>
      </c>
      <c r="I188" s="92">
        <f>SUM('CA brut produits &amp; sites'!I197:I208)</f>
        <v>243160.85</v>
      </c>
      <c r="J188" s="92">
        <f>SUM('CA brut produits &amp; sites'!J197:J208)</f>
        <v>107240.88</v>
      </c>
      <c r="K188" s="92">
        <f>SUM('CA brut produits &amp; sites'!K197:K208)</f>
        <v>364953.21</v>
      </c>
      <c r="L188" s="92">
        <f>SUM('CA brut produits &amp; sites'!L197:L208)</f>
        <v>103290.64</v>
      </c>
      <c r="M188" s="92">
        <f>SUM('CA brut produits &amp; sites'!M197:M208)</f>
        <v>117089.84</v>
      </c>
      <c r="N188" s="92">
        <f>SUM('CA brut produits &amp; sites'!N197:N208)</f>
        <v>0</v>
      </c>
      <c r="O188" s="92">
        <f>SUM('CA brut produits &amp; sites'!O197:O208)</f>
        <v>38179.01</v>
      </c>
      <c r="P188" s="93">
        <f>SUM('CA brut produits &amp; sites'!P197:P208)</f>
        <v>18822.900000000001</v>
      </c>
    </row>
    <row r="189" spans="1:16" x14ac:dyDescent="0.3">
      <c r="A189" s="94">
        <v>44562</v>
      </c>
      <c r="B189" s="142"/>
      <c r="C189" s="92">
        <f t="shared" si="34"/>
        <v>2241205.54</v>
      </c>
      <c r="D189" s="92">
        <f>SUM('CA brut produits &amp; sites'!D198:D209)</f>
        <v>759265.8</v>
      </c>
      <c r="E189" s="92">
        <f>SUM('CA brut produits &amp; sites'!E198:E209)</f>
        <v>109160.31999999998</v>
      </c>
      <c r="F189" s="92">
        <f>SUM('CA brut produits &amp; sites'!F198:F209)</f>
        <v>107677.73999999999</v>
      </c>
      <c r="G189" s="92">
        <f>SUM('CA brut produits &amp; sites'!G198:G209)</f>
        <v>39564.960000000006</v>
      </c>
      <c r="H189" s="92">
        <f>SUM('CA brut produits &amp; sites'!H198:H209)</f>
        <v>169759.99</v>
      </c>
      <c r="I189" s="92">
        <f>SUM('CA brut produits &amp; sites'!I198:I209)</f>
        <v>272731.31</v>
      </c>
      <c r="J189" s="92">
        <f>SUM('CA brut produits &amp; sites'!J198:J209)</f>
        <v>119599.33</v>
      </c>
      <c r="K189" s="92">
        <f>SUM('CA brut produits &amp; sites'!K198:K209)</f>
        <v>378143.56</v>
      </c>
      <c r="L189" s="92">
        <f>SUM('CA brut produits &amp; sites'!L198:L209)</f>
        <v>104538.16</v>
      </c>
      <c r="M189" s="92">
        <f>SUM('CA brut produits &amp; sites'!M198:M209)</f>
        <v>112870.27</v>
      </c>
      <c r="N189" s="92">
        <f>SUM('CA brut produits &amp; sites'!N198:N209)</f>
        <v>0</v>
      </c>
      <c r="O189" s="92">
        <f>SUM('CA brut produits &amp; sites'!O198:O209)</f>
        <v>49821.9</v>
      </c>
      <c r="P189" s="93">
        <f>SUM('CA brut produits &amp; sites'!P198:P209)</f>
        <v>18072.2</v>
      </c>
    </row>
    <row r="190" spans="1:16" x14ac:dyDescent="0.3">
      <c r="A190" s="94">
        <v>44593</v>
      </c>
      <c r="B190" s="142"/>
      <c r="C190" s="92">
        <f t="shared" si="34"/>
        <v>2249841.89</v>
      </c>
      <c r="D190" s="92">
        <f>SUM('CA brut produits &amp; sites'!D199:D210)</f>
        <v>739447.02</v>
      </c>
      <c r="E190" s="92">
        <f>SUM('CA brut produits &amp; sites'!E199:E210)</f>
        <v>107619.95999999998</v>
      </c>
      <c r="F190" s="92">
        <f>SUM('CA brut produits &amp; sites'!F199:F210)</f>
        <v>114042.90999999999</v>
      </c>
      <c r="G190" s="92">
        <f>SUM('CA brut produits &amp; sites'!G199:G210)</f>
        <v>37521.000000000007</v>
      </c>
      <c r="H190" s="92">
        <f>SUM('CA brut produits &amp; sites'!H199:H210)</f>
        <v>167730.99</v>
      </c>
      <c r="I190" s="92">
        <f>SUM('CA brut produits &amp; sites'!I199:I210)</f>
        <v>297202.41000000003</v>
      </c>
      <c r="J190" s="92">
        <f>SUM('CA brut produits &amp; sites'!J199:J210)</f>
        <v>129114.5</v>
      </c>
      <c r="K190" s="92">
        <f>SUM('CA brut produits &amp; sites'!K199:K210)</f>
        <v>382754.06</v>
      </c>
      <c r="L190" s="92">
        <f>SUM('CA brut produits &amp; sites'!L199:L210)</f>
        <v>95768.3</v>
      </c>
      <c r="M190" s="92">
        <f>SUM('CA brut produits &amp; sites'!M199:M210)</f>
        <v>109654.27</v>
      </c>
      <c r="N190" s="92">
        <f>SUM('CA brut produits &amp; sites'!N199:N210)</f>
        <v>0</v>
      </c>
      <c r="O190" s="92">
        <f>SUM('CA brut produits &amp; sites'!O199:O210)</f>
        <v>50058.270000000004</v>
      </c>
      <c r="P190" s="93">
        <f>SUM('CA brut produits &amp; sites'!P199:P210)</f>
        <v>18928.2</v>
      </c>
    </row>
    <row r="191" spans="1:16" x14ac:dyDescent="0.3">
      <c r="A191" s="94">
        <v>44621</v>
      </c>
      <c r="B191" s="142"/>
      <c r="C191" s="92">
        <f t="shared" si="34"/>
        <v>2269728.1600000006</v>
      </c>
      <c r="D191" s="92">
        <f>SUM('CA brut produits &amp; sites'!D200:D211)</f>
        <v>748131.85000000009</v>
      </c>
      <c r="E191" s="92">
        <f>SUM('CA brut produits &amp; sites'!E200:E211)</f>
        <v>102884.88</v>
      </c>
      <c r="F191" s="92">
        <f>SUM('CA brut produits &amp; sites'!F200:F211)</f>
        <v>113506</v>
      </c>
      <c r="G191" s="92">
        <f>SUM('CA brut produits &amp; sites'!G200:G211)</f>
        <v>36664.170000000006</v>
      </c>
      <c r="H191" s="92">
        <f>SUM('CA brut produits &amp; sites'!H200:H211)</f>
        <v>171238.55</v>
      </c>
      <c r="I191" s="92">
        <f>SUM('CA brut produits &amp; sites'!I200:I211)</f>
        <v>308870.72000000003</v>
      </c>
      <c r="J191" s="92">
        <f>SUM('CA brut produits &amp; sites'!J200:J211)</f>
        <v>131102.1</v>
      </c>
      <c r="K191" s="92">
        <f>SUM('CA brut produits &amp; sites'!K200:K211)</f>
        <v>383506.72000000003</v>
      </c>
      <c r="L191" s="92">
        <f>SUM('CA brut produits &amp; sites'!L200:L211)</f>
        <v>91529.51999999999</v>
      </c>
      <c r="M191" s="92">
        <f>SUM('CA brut produits &amp; sites'!M200:M211)</f>
        <v>100261.79000000001</v>
      </c>
      <c r="N191" s="92">
        <f>SUM('CA brut produits &amp; sites'!N200:N211)</f>
        <v>0</v>
      </c>
      <c r="O191" s="92">
        <f>SUM('CA brut produits &amp; sites'!O200:O211)</f>
        <v>62725.409999999996</v>
      </c>
      <c r="P191" s="93">
        <f>SUM('CA brut produits &amp; sites'!P200:P211)</f>
        <v>19306.45</v>
      </c>
    </row>
    <row r="192" spans="1:16" x14ac:dyDescent="0.3">
      <c r="A192" s="94">
        <v>44652</v>
      </c>
      <c r="B192" s="142"/>
      <c r="C192" s="92">
        <f t="shared" si="34"/>
        <v>2212355.6100000003</v>
      </c>
      <c r="D192" s="92">
        <f>SUM('CA brut produits &amp; sites'!D201:D212)</f>
        <v>752249.52000000014</v>
      </c>
      <c r="E192" s="92">
        <f>SUM('CA brut produits &amp; sites'!E201:E212)</f>
        <v>95820.87000000001</v>
      </c>
      <c r="F192" s="92">
        <f>SUM('CA brut produits &amp; sites'!F201:F212)</f>
        <v>113181.73999999999</v>
      </c>
      <c r="G192" s="92">
        <f>SUM('CA brut produits &amp; sites'!G201:G212)</f>
        <v>34878.860000000008</v>
      </c>
      <c r="H192" s="92">
        <f>SUM('CA brut produits &amp; sites'!H201:H212)</f>
        <v>172332.75</v>
      </c>
      <c r="I192" s="92">
        <f>SUM('CA brut produits &amp; sites'!I201:I212)</f>
        <v>288903.37</v>
      </c>
      <c r="J192" s="92">
        <f>SUM('CA brut produits &amp; sites'!J201:J212)</f>
        <v>146459.08000000002</v>
      </c>
      <c r="K192" s="92">
        <f>SUM('CA brut produits &amp; sites'!K201:K212)</f>
        <v>374335.21</v>
      </c>
      <c r="L192" s="92">
        <f>SUM('CA brut produits &amp; sites'!L201:L212)</f>
        <v>88583.54</v>
      </c>
      <c r="M192" s="92">
        <f>SUM('CA brut produits &amp; sites'!M201:M212)</f>
        <v>70718.73</v>
      </c>
      <c r="N192" s="92">
        <f>SUM('CA brut produits &amp; sites'!N201:N212)</f>
        <v>0</v>
      </c>
      <c r="O192" s="92">
        <f>SUM('CA brut produits &amp; sites'!O201:O212)</f>
        <v>54722.840000000004</v>
      </c>
      <c r="P192" s="93">
        <f>SUM('CA brut produits &amp; sites'!P201:P212)</f>
        <v>20169.100000000002</v>
      </c>
    </row>
    <row r="193" spans="1:16" x14ac:dyDescent="0.3">
      <c r="A193" s="94">
        <v>44682</v>
      </c>
      <c r="B193" s="142"/>
      <c r="C193" s="92">
        <f t="shared" si="34"/>
        <v>2261879.5700000003</v>
      </c>
      <c r="D193" s="92">
        <f>SUM('CA brut produits &amp; sites'!D202:D213)</f>
        <v>775659.18</v>
      </c>
      <c r="E193" s="92">
        <f>SUM('CA brut produits &amp; sites'!E202:E213)</f>
        <v>85039.8</v>
      </c>
      <c r="F193" s="92">
        <f>SUM('CA brut produits &amp; sites'!F202:F213)</f>
        <v>122915.82</v>
      </c>
      <c r="G193" s="92">
        <f>SUM('CA brut produits &amp; sites'!G202:G213)</f>
        <v>34836.610000000008</v>
      </c>
      <c r="H193" s="92">
        <f>SUM('CA brut produits &amp; sites'!H202:H213)</f>
        <v>173361.34000000003</v>
      </c>
      <c r="I193" s="92">
        <f>SUM('CA brut produits &amp; sites'!I202:I213)</f>
        <v>294371.86</v>
      </c>
      <c r="J193" s="92">
        <f>SUM('CA brut produits &amp; sites'!J202:J213)</f>
        <v>152872.89000000001</v>
      </c>
      <c r="K193" s="92">
        <f>SUM('CA brut produits &amp; sites'!K202:K213)</f>
        <v>380937.82</v>
      </c>
      <c r="L193" s="92">
        <f>SUM('CA brut produits &amp; sites'!L202:L213)</f>
        <v>87069.61</v>
      </c>
      <c r="M193" s="92">
        <f>SUM('CA brut produits &amp; sites'!M202:M213)</f>
        <v>73596.639999999999</v>
      </c>
      <c r="N193" s="92">
        <f>SUM('CA brut produits &amp; sites'!N202:N213)</f>
        <v>0</v>
      </c>
      <c r="O193" s="92">
        <f>SUM('CA brut produits &amp; sites'!O202:O213)</f>
        <v>59183.900000000009</v>
      </c>
      <c r="P193" s="93">
        <f>SUM('CA brut produits &amp; sites'!P202:P213)</f>
        <v>22034.100000000002</v>
      </c>
    </row>
    <row r="194" spans="1:16" x14ac:dyDescent="0.3">
      <c r="A194" s="94">
        <v>44713</v>
      </c>
      <c r="B194" s="142"/>
      <c r="C194" s="92">
        <f t="shared" si="34"/>
        <v>2276034.16</v>
      </c>
      <c r="D194" s="92">
        <f>SUM('CA brut produits &amp; sites'!D203:D214)</f>
        <v>796876.97000000009</v>
      </c>
      <c r="E194" s="92">
        <f>SUM('CA brut produits &amp; sites'!E203:E214)</f>
        <v>82643.48000000001</v>
      </c>
      <c r="F194" s="92">
        <f>SUM('CA brut produits &amp; sites'!F203:F214)</f>
        <v>121112.67</v>
      </c>
      <c r="G194" s="92">
        <f>SUM('CA brut produits &amp; sites'!G203:G214)</f>
        <v>33340.39</v>
      </c>
      <c r="H194" s="92">
        <f>SUM('CA brut produits &amp; sites'!H203:H214)</f>
        <v>172234.51</v>
      </c>
      <c r="I194" s="92">
        <f>SUM('CA brut produits &amp; sites'!I203:I214)</f>
        <v>276100.8</v>
      </c>
      <c r="J194" s="92">
        <f>SUM('CA brut produits &amp; sites'!J203:J214)</f>
        <v>159333.59</v>
      </c>
      <c r="K194" s="92">
        <f>SUM('CA brut produits &amp; sites'!K203:K214)</f>
        <v>383048.55999999994</v>
      </c>
      <c r="L194" s="92">
        <f>SUM('CA brut produits &amp; sites'!L203:L214)</f>
        <v>84579.959999999992</v>
      </c>
      <c r="M194" s="92">
        <f>SUM('CA brut produits &amp; sites'!M203:M214)</f>
        <v>69786.98</v>
      </c>
      <c r="N194" s="92">
        <f>SUM('CA brut produits &amp; sites'!N203:N214)</f>
        <v>0</v>
      </c>
      <c r="O194" s="92">
        <f>SUM('CA brut produits &amp; sites'!O203:O214)</f>
        <v>69464.75</v>
      </c>
      <c r="P194" s="93">
        <f>SUM('CA brut produits &amp; sites'!P203:P214)</f>
        <v>27511.5</v>
      </c>
    </row>
    <row r="195" spans="1:16" x14ac:dyDescent="0.3">
      <c r="A195" s="94">
        <v>44743</v>
      </c>
      <c r="B195" s="142"/>
      <c r="P195" s="93"/>
    </row>
    <row r="196" spans="1:16" x14ac:dyDescent="0.3">
      <c r="A196" s="94">
        <v>44774</v>
      </c>
      <c r="B196" s="142"/>
      <c r="P196" s="93"/>
    </row>
    <row r="197" spans="1:16" x14ac:dyDescent="0.3">
      <c r="A197" s="94">
        <v>44805</v>
      </c>
      <c r="B197" s="142"/>
      <c r="P197" s="93"/>
    </row>
    <row r="198" spans="1:16" x14ac:dyDescent="0.3">
      <c r="A198" s="94">
        <v>44835</v>
      </c>
      <c r="B198" s="142"/>
      <c r="P198" s="93"/>
    </row>
    <row r="199" spans="1:16" x14ac:dyDescent="0.3">
      <c r="A199" s="94">
        <v>44866</v>
      </c>
      <c r="B199" s="142"/>
      <c r="P199" s="93"/>
    </row>
    <row r="200" spans="1:16" x14ac:dyDescent="0.3">
      <c r="A200" s="94">
        <v>44896</v>
      </c>
      <c r="B200" s="142"/>
      <c r="P200" s="93"/>
    </row>
    <row r="201" spans="1:16" x14ac:dyDescent="0.3">
      <c r="A201" s="94"/>
      <c r="B201" s="142"/>
      <c r="P201" s="93"/>
    </row>
    <row r="202" spans="1:16" x14ac:dyDescent="0.3">
      <c r="A202" s="94"/>
      <c r="B202" s="142"/>
      <c r="P202" s="93"/>
    </row>
    <row r="203" spans="1:16" ht="15" thickBot="1" x14ac:dyDescent="0.35">
      <c r="A203" s="94"/>
      <c r="B203" s="137"/>
      <c r="P203" s="93"/>
    </row>
    <row r="204" spans="1:16" ht="21.45" customHeight="1" thickTop="1" x14ac:dyDescent="0.3">
      <c r="A204" s="88">
        <v>41974</v>
      </c>
      <c r="B204" s="146" t="s">
        <v>17</v>
      </c>
      <c r="C204" s="95">
        <f t="shared" ref="C204:C240" si="35">SUM(D204:N204)</f>
        <v>581880.68999999983</v>
      </c>
      <c r="D204" s="95">
        <f>SUM('CA brut produits &amp; sites'!D222:D233)</f>
        <v>260481.77999999997</v>
      </c>
      <c r="E204" s="95">
        <f>SUM('CA brut produits &amp; sites'!E222:E233)</f>
        <v>88605.689999999988</v>
      </c>
      <c r="F204" s="95">
        <f>SUM('CA brut produits &amp; sites'!F222:F233)</f>
        <v>29206.37</v>
      </c>
      <c r="G204" s="95">
        <f>SUM('CA brut produits &amp; sites'!G222:G233)</f>
        <v>11761.239999999998</v>
      </c>
      <c r="H204" s="95">
        <f>SUM('CA brut produits &amp; sites'!H222:H233)</f>
        <v>10842.47</v>
      </c>
      <c r="I204" s="95">
        <f>SUM('CA brut produits &amp; sites'!I222:I233)</f>
        <v>34204.150000000009</v>
      </c>
      <c r="J204" s="95">
        <f>SUM('CA brut produits &amp; sites'!J222:J233)</f>
        <v>64889.61</v>
      </c>
      <c r="K204" s="95">
        <f>SUM('CA brut produits &amp; sites'!K222:K233)</f>
        <v>64695.070000000007</v>
      </c>
      <c r="L204" s="95">
        <f>SUM('CA brut produits &amp; sites'!L222:L233)</f>
        <v>10141.09</v>
      </c>
      <c r="M204" s="95">
        <f>SUM('CA brut produits &amp; sites'!M222:M233)</f>
        <v>7053.2200000000012</v>
      </c>
      <c r="N204" s="95">
        <f>SUM('CA brut produits &amp; sites'!N222:N233)</f>
        <v>0</v>
      </c>
      <c r="O204" s="95">
        <f>SUM('CA brut produits &amp; sites'!O222:O233)</f>
        <v>0</v>
      </c>
      <c r="P204" s="97">
        <f>SUM('CA brut produits &amp; sites'!P222:P233)</f>
        <v>0</v>
      </c>
    </row>
    <row r="205" spans="1:16" x14ac:dyDescent="0.3">
      <c r="A205" s="87">
        <v>42005</v>
      </c>
      <c r="B205" s="146"/>
      <c r="C205" s="92">
        <f t="shared" si="35"/>
        <v>548974.13000000012</v>
      </c>
      <c r="D205" s="92">
        <f>SUM('CA brut produits &amp; sites'!D223:D234)</f>
        <v>258807.89</v>
      </c>
      <c r="E205" s="92">
        <f>SUM('CA brut produits &amp; sites'!E223:E234)</f>
        <v>84821.01999999999</v>
      </c>
      <c r="F205" s="92">
        <f>SUM('CA brut produits &amp; sites'!F223:F234)</f>
        <v>23102.73</v>
      </c>
      <c r="G205" s="92">
        <f>SUM('CA brut produits &amp; sites'!G223:G234)</f>
        <v>10820.429999999998</v>
      </c>
      <c r="H205" s="92">
        <f>SUM('CA brut produits &amp; sites'!H223:H234)</f>
        <v>11569.499999999998</v>
      </c>
      <c r="I205" s="92">
        <f>SUM('CA brut produits &amp; sites'!I223:I234)</f>
        <v>31591.340000000004</v>
      </c>
      <c r="J205" s="92">
        <f>SUM('CA brut produits &amp; sites'!J223:J234)</f>
        <v>49871.61</v>
      </c>
      <c r="K205" s="92">
        <f>SUM('CA brut produits &amp; sites'!K223:K234)</f>
        <v>64079.31</v>
      </c>
      <c r="L205" s="92">
        <f>SUM('CA brut produits &amp; sites'!L223:L234)</f>
        <v>7748.5400000000009</v>
      </c>
      <c r="M205" s="92">
        <f>SUM('CA brut produits &amp; sites'!M223:M234)</f>
        <v>6561.7600000000011</v>
      </c>
      <c r="N205" s="92">
        <f>SUM('CA brut produits &amp; sites'!N223:N234)</f>
        <v>0</v>
      </c>
      <c r="O205" s="92">
        <f>SUM('CA brut produits &amp; sites'!O223:O234)</f>
        <v>0</v>
      </c>
      <c r="P205" s="93">
        <f>SUM('CA brut produits &amp; sites'!P223:P234)</f>
        <v>0</v>
      </c>
    </row>
    <row r="206" spans="1:16" x14ac:dyDescent="0.3">
      <c r="A206" s="87">
        <v>42036</v>
      </c>
      <c r="B206" s="146"/>
      <c r="C206" s="92">
        <f t="shared" si="35"/>
        <v>533114.38000000012</v>
      </c>
      <c r="D206" s="92">
        <f>SUM('CA brut produits &amp; sites'!D224:D235)</f>
        <v>257578.63000000006</v>
      </c>
      <c r="E206" s="92">
        <f>SUM('CA brut produits &amp; sites'!E224:E235)</f>
        <v>81008.710000000006</v>
      </c>
      <c r="F206" s="92">
        <f>SUM('CA brut produits &amp; sites'!F224:F235)</f>
        <v>20328.46</v>
      </c>
      <c r="G206" s="92">
        <f>SUM('CA brut produits &amp; sites'!G224:G235)</f>
        <v>9680.15</v>
      </c>
      <c r="H206" s="92">
        <f>SUM('CA brut produits &amp; sites'!H224:H235)</f>
        <v>11589.499999999998</v>
      </c>
      <c r="I206" s="92">
        <f>SUM('CA brut produits &amp; sites'!I224:I235)</f>
        <v>29732.700000000004</v>
      </c>
      <c r="J206" s="92">
        <f>SUM('CA brut produits &amp; sites'!J224:J235)</f>
        <v>48655.82</v>
      </c>
      <c r="K206" s="92">
        <f>SUM('CA brut produits &amp; sites'!K224:K235)</f>
        <v>62922.729999999996</v>
      </c>
      <c r="L206" s="92">
        <f>SUM('CA brut produits &amp; sites'!L224:L235)</f>
        <v>6759.16</v>
      </c>
      <c r="M206" s="92">
        <f>SUM('CA brut produits &amp; sites'!M224:M235)</f>
        <v>4858.5199999999995</v>
      </c>
      <c r="N206" s="92">
        <f>SUM('CA brut produits &amp; sites'!N224:N235)</f>
        <v>0</v>
      </c>
      <c r="O206" s="92">
        <f>SUM('CA brut produits &amp; sites'!O224:O235)</f>
        <v>0</v>
      </c>
      <c r="P206" s="93">
        <f>SUM('CA brut produits &amp; sites'!P224:P235)</f>
        <v>0</v>
      </c>
    </row>
    <row r="207" spans="1:16" x14ac:dyDescent="0.3">
      <c r="A207" s="87">
        <v>42064</v>
      </c>
      <c r="B207" s="146"/>
      <c r="C207" s="92">
        <f t="shared" si="35"/>
        <v>514914.86</v>
      </c>
      <c r="D207" s="92">
        <f>SUM('CA brut produits &amp; sites'!D225:D236)</f>
        <v>250210.68000000002</v>
      </c>
      <c r="E207" s="92">
        <f>SUM('CA brut produits &amp; sites'!E225:E236)</f>
        <v>78479.509999999995</v>
      </c>
      <c r="F207" s="92">
        <f>SUM('CA brut produits &amp; sites'!F225:F236)</f>
        <v>18757.759999999998</v>
      </c>
      <c r="G207" s="92">
        <f>SUM('CA brut produits &amp; sites'!G225:G236)</f>
        <v>9200.840000000002</v>
      </c>
      <c r="H207" s="92">
        <f>SUM('CA brut produits &amp; sites'!H225:H236)</f>
        <v>12473.849999999999</v>
      </c>
      <c r="I207" s="92">
        <f>SUM('CA brut produits &amp; sites'!I225:I236)</f>
        <v>28247.79</v>
      </c>
      <c r="J207" s="92">
        <f>SUM('CA brut produits &amp; sites'!J225:J236)</f>
        <v>44744.15</v>
      </c>
      <c r="K207" s="92">
        <f>SUM('CA brut produits &amp; sites'!K225:K236)</f>
        <v>62407.979999999996</v>
      </c>
      <c r="L207" s="92">
        <f>SUM('CA brut produits &amp; sites'!L225:L236)</f>
        <v>5646.7</v>
      </c>
      <c r="M207" s="92">
        <f>SUM('CA brut produits &amp; sites'!M225:M236)</f>
        <v>4745.5999999999995</v>
      </c>
      <c r="N207" s="92">
        <f>SUM('CA brut produits &amp; sites'!N225:N236)</f>
        <v>0</v>
      </c>
      <c r="O207" s="92">
        <f>SUM('CA brut produits &amp; sites'!O225:O236)</f>
        <v>0</v>
      </c>
      <c r="P207" s="93">
        <f>SUM('CA brut produits &amp; sites'!P225:P236)</f>
        <v>0</v>
      </c>
    </row>
    <row r="208" spans="1:16" x14ac:dyDescent="0.3">
      <c r="A208" s="87">
        <v>42095</v>
      </c>
      <c r="B208" s="146"/>
      <c r="C208" s="92">
        <f t="shared" si="35"/>
        <v>504321.1700000001</v>
      </c>
      <c r="D208" s="92">
        <f>SUM('CA brut produits &amp; sites'!D226:D237)</f>
        <v>247939.30000000005</v>
      </c>
      <c r="E208" s="92">
        <f>SUM('CA brut produits &amp; sites'!E226:E237)</f>
        <v>76642.14</v>
      </c>
      <c r="F208" s="92">
        <f>SUM('CA brut produits &amp; sites'!F226:F237)</f>
        <v>16604.150000000001</v>
      </c>
      <c r="G208" s="92">
        <f>SUM('CA brut produits &amp; sites'!G226:G237)</f>
        <v>9315.5500000000011</v>
      </c>
      <c r="H208" s="92">
        <f>SUM('CA brut produits &amp; sites'!H226:H237)</f>
        <v>10755.249999999998</v>
      </c>
      <c r="I208" s="92">
        <f>SUM('CA brut produits &amp; sites'!I226:I237)</f>
        <v>28916.690000000002</v>
      </c>
      <c r="J208" s="92">
        <f>SUM('CA brut produits &amp; sites'!J226:J237)</f>
        <v>44408.65</v>
      </c>
      <c r="K208" s="92">
        <f>SUM('CA brut produits &amp; sites'!K226:K237)</f>
        <v>60574.229999999989</v>
      </c>
      <c r="L208" s="92">
        <f>SUM('CA brut produits &amp; sites'!L226:L237)</f>
        <v>4551.34</v>
      </c>
      <c r="M208" s="92">
        <f>SUM('CA brut produits &amp; sites'!M226:M237)</f>
        <v>4613.8700000000008</v>
      </c>
      <c r="N208" s="92">
        <f>SUM('CA brut produits &amp; sites'!N226:N237)</f>
        <v>0</v>
      </c>
      <c r="O208" s="92">
        <f>SUM('CA brut produits &amp; sites'!O226:O237)</f>
        <v>0</v>
      </c>
      <c r="P208" s="93">
        <f>SUM('CA brut produits &amp; sites'!P226:P237)</f>
        <v>0</v>
      </c>
    </row>
    <row r="209" spans="1:16" x14ac:dyDescent="0.3">
      <c r="A209" s="87">
        <v>42125</v>
      </c>
      <c r="B209" s="146"/>
      <c r="C209" s="92">
        <f t="shared" si="35"/>
        <v>494299.51</v>
      </c>
      <c r="D209" s="92">
        <f>SUM('CA brut produits &amp; sites'!D227:D238)</f>
        <v>248373.13000000003</v>
      </c>
      <c r="E209" s="92">
        <f>SUM('CA brut produits &amp; sites'!E227:E238)</f>
        <v>73000.319999999992</v>
      </c>
      <c r="F209" s="92">
        <f>SUM('CA brut produits &amp; sites'!F227:F238)</f>
        <v>14959.779999999999</v>
      </c>
      <c r="G209" s="92">
        <f>SUM('CA brut produits &amp; sites'!G227:G238)</f>
        <v>9858.16</v>
      </c>
      <c r="H209" s="92">
        <f>SUM('CA brut produits &amp; sites'!H227:H238)</f>
        <v>10902.169999999998</v>
      </c>
      <c r="I209" s="92">
        <f>SUM('CA brut produits &amp; sites'!I227:I238)</f>
        <v>25316.74</v>
      </c>
      <c r="J209" s="92">
        <f>SUM('CA brut produits &amp; sites'!J227:J238)</f>
        <v>42705.65</v>
      </c>
      <c r="K209" s="92">
        <f>SUM('CA brut produits &amp; sites'!K227:K238)</f>
        <v>59604.340000000004</v>
      </c>
      <c r="L209" s="92">
        <f>SUM('CA brut produits &amp; sites'!L227:L238)</f>
        <v>5209.9399999999996</v>
      </c>
      <c r="M209" s="92">
        <f>SUM('CA brut produits &amp; sites'!M227:M238)</f>
        <v>4369.2800000000007</v>
      </c>
      <c r="N209" s="92">
        <f>SUM('CA brut produits &amp; sites'!N227:N238)</f>
        <v>0</v>
      </c>
      <c r="O209" s="92">
        <f>SUM('CA brut produits &amp; sites'!O227:O238)</f>
        <v>0</v>
      </c>
      <c r="P209" s="93">
        <f>SUM('CA brut produits &amp; sites'!P227:P238)</f>
        <v>0</v>
      </c>
    </row>
    <row r="210" spans="1:16" x14ac:dyDescent="0.3">
      <c r="A210" s="87">
        <v>42156</v>
      </c>
      <c r="B210" s="146"/>
      <c r="C210" s="92">
        <f t="shared" si="35"/>
        <v>496501.79</v>
      </c>
      <c r="D210" s="92">
        <f>SUM('CA brut produits &amp; sites'!D228:D239)</f>
        <v>250323.80000000002</v>
      </c>
      <c r="E210" s="92">
        <f>SUM('CA brut produits &amp; sites'!E228:E239)</f>
        <v>68675.570000000007</v>
      </c>
      <c r="F210" s="92">
        <f>SUM('CA brut produits &amp; sites'!F228:F239)</f>
        <v>16509.25</v>
      </c>
      <c r="G210" s="92">
        <f>SUM('CA brut produits &amp; sites'!G228:G239)</f>
        <v>9859.369999999999</v>
      </c>
      <c r="H210" s="92">
        <f>SUM('CA brut produits &amp; sites'!H228:H239)</f>
        <v>10751.22</v>
      </c>
      <c r="I210" s="92">
        <f>SUM('CA brut produits &amp; sites'!I228:I239)</f>
        <v>26129.21</v>
      </c>
      <c r="J210" s="92">
        <f>SUM('CA brut produits &amp; sites'!J228:J239)</f>
        <v>44708.130000000005</v>
      </c>
      <c r="K210" s="92">
        <f>SUM('CA brut produits &amp; sites'!K228:K239)</f>
        <v>59746.19</v>
      </c>
      <c r="L210" s="92">
        <f>SUM('CA brut produits &amp; sites'!L228:L239)</f>
        <v>5221.1400000000003</v>
      </c>
      <c r="M210" s="92">
        <f>SUM('CA brut produits &amp; sites'!M228:M239)</f>
        <v>4577.91</v>
      </c>
      <c r="N210" s="92">
        <f>SUM('CA brut produits &amp; sites'!N228:N239)</f>
        <v>0</v>
      </c>
      <c r="O210" s="92">
        <f>SUM('CA brut produits &amp; sites'!O228:O239)</f>
        <v>0</v>
      </c>
      <c r="P210" s="93">
        <f>SUM('CA brut produits &amp; sites'!P228:P239)</f>
        <v>0</v>
      </c>
    </row>
    <row r="211" spans="1:16" x14ac:dyDescent="0.3">
      <c r="A211" s="87">
        <v>42186</v>
      </c>
      <c r="B211" s="146"/>
      <c r="C211" s="92">
        <f t="shared" si="35"/>
        <v>502024.48999999993</v>
      </c>
      <c r="D211" s="92">
        <f>SUM('CA brut produits &amp; sites'!D229:D240)</f>
        <v>253303.24000000002</v>
      </c>
      <c r="E211" s="92">
        <f>SUM('CA brut produits &amp; sites'!E229:E240)</f>
        <v>67858.409999999989</v>
      </c>
      <c r="F211" s="92">
        <f>SUM('CA brut produits &amp; sites'!F229:F240)</f>
        <v>16934.16</v>
      </c>
      <c r="G211" s="92">
        <f>SUM('CA brut produits &amp; sites'!G229:G240)</f>
        <v>9573.15</v>
      </c>
      <c r="H211" s="92">
        <f>SUM('CA brut produits &amp; sites'!H229:H240)</f>
        <v>10792.22</v>
      </c>
      <c r="I211" s="92">
        <f>SUM('CA brut produits &amp; sites'!I229:I240)</f>
        <v>27398.789999999997</v>
      </c>
      <c r="J211" s="92">
        <f>SUM('CA brut produits &amp; sites'!J229:J240)</f>
        <v>44984.130000000005</v>
      </c>
      <c r="K211" s="92">
        <f>SUM('CA brut produits &amp; sites'!K229:K240)</f>
        <v>60615.560000000005</v>
      </c>
      <c r="L211" s="92">
        <f>SUM('CA brut produits &amp; sites'!L229:L240)</f>
        <v>6801.54</v>
      </c>
      <c r="M211" s="92">
        <f>SUM('CA brut produits &amp; sites'!M229:M240)</f>
        <v>3763.29</v>
      </c>
      <c r="N211" s="92">
        <f>SUM('CA brut produits &amp; sites'!N229:N240)</f>
        <v>0</v>
      </c>
      <c r="O211" s="92">
        <f>SUM('CA brut produits &amp; sites'!O229:O240)</f>
        <v>0</v>
      </c>
      <c r="P211" s="93">
        <f>SUM('CA brut produits &amp; sites'!P229:P240)</f>
        <v>0</v>
      </c>
    </row>
    <row r="212" spans="1:16" x14ac:dyDescent="0.3">
      <c r="A212" s="87">
        <v>42217</v>
      </c>
      <c r="B212" s="146"/>
      <c r="C212" s="92">
        <f t="shared" si="35"/>
        <v>504421.86000000004</v>
      </c>
      <c r="D212" s="92">
        <f>SUM('CA brut produits &amp; sites'!D230:D241)</f>
        <v>255119.34</v>
      </c>
      <c r="E212" s="92">
        <f>SUM('CA brut produits &amp; sites'!E230:E241)</f>
        <v>68452.06</v>
      </c>
      <c r="F212" s="92">
        <f>SUM('CA brut produits &amp; sites'!F230:F241)</f>
        <v>16949.28</v>
      </c>
      <c r="G212" s="92">
        <f>SUM('CA brut produits &amp; sites'!G230:G241)</f>
        <v>10046.789999999999</v>
      </c>
      <c r="H212" s="92">
        <f>SUM('CA brut produits &amp; sites'!H230:H241)</f>
        <v>10857.82</v>
      </c>
      <c r="I212" s="92">
        <f>SUM('CA brut produits &amp; sites'!I230:I241)</f>
        <v>27706.92</v>
      </c>
      <c r="J212" s="92">
        <f>SUM('CA brut produits &amp; sites'!J230:J241)</f>
        <v>44030.130000000005</v>
      </c>
      <c r="K212" s="92">
        <f>SUM('CA brut produits &amp; sites'!K230:K241)</f>
        <v>60341.7</v>
      </c>
      <c r="L212" s="92">
        <f>SUM('CA brut produits &amp; sites'!L230:L241)</f>
        <v>7225.12</v>
      </c>
      <c r="M212" s="92">
        <f>SUM('CA brut produits &amp; sites'!M230:M241)</f>
        <v>3692.7000000000003</v>
      </c>
      <c r="N212" s="92">
        <f>SUM('CA brut produits &amp; sites'!N230:N241)</f>
        <v>0</v>
      </c>
      <c r="O212" s="92">
        <f>SUM('CA brut produits &amp; sites'!O230:O241)</f>
        <v>0</v>
      </c>
      <c r="P212" s="93">
        <f>SUM('CA brut produits &amp; sites'!P230:P241)</f>
        <v>0</v>
      </c>
    </row>
    <row r="213" spans="1:16" x14ac:dyDescent="0.3">
      <c r="A213" s="87">
        <v>42248</v>
      </c>
      <c r="B213" s="146"/>
      <c r="C213" s="92">
        <f t="shared" si="35"/>
        <v>489387.54</v>
      </c>
      <c r="D213" s="92">
        <f>SUM('CA brut produits &amp; sites'!D231:D242)</f>
        <v>250430.69999999998</v>
      </c>
      <c r="E213" s="92">
        <f>SUM('CA brut produits &amp; sites'!E231:E242)</f>
        <v>72479.269999999975</v>
      </c>
      <c r="F213" s="92">
        <f>SUM('CA brut produits &amp; sites'!F231:F242)</f>
        <v>15368.9</v>
      </c>
      <c r="G213" s="92">
        <f>SUM('CA brut produits &amp; sites'!G231:G242)</f>
        <v>11491.289999999999</v>
      </c>
      <c r="H213" s="92">
        <f>SUM('CA brut produits &amp; sites'!H231:H242)</f>
        <v>10996.019999999999</v>
      </c>
      <c r="I213" s="92">
        <f>SUM('CA brut produits &amp; sites'!I231:I242)</f>
        <v>28097.849999999995</v>
      </c>
      <c r="J213" s="92">
        <f>SUM('CA brut produits &amp; sites'!J231:J242)</f>
        <v>29986.13</v>
      </c>
      <c r="K213" s="92">
        <f>SUM('CA brut produits &amp; sites'!K231:K242)</f>
        <v>60533.489999999991</v>
      </c>
      <c r="L213" s="92">
        <f>SUM('CA brut produits &amp; sites'!L231:L242)</f>
        <v>7343.18</v>
      </c>
      <c r="M213" s="92">
        <f>SUM('CA brut produits &amp; sites'!M231:M242)</f>
        <v>2660.71</v>
      </c>
      <c r="N213" s="92">
        <f>SUM('CA brut produits &amp; sites'!N231:N242)</f>
        <v>0</v>
      </c>
      <c r="O213" s="92">
        <f>SUM('CA brut produits &amp; sites'!O231:O242)</f>
        <v>0</v>
      </c>
      <c r="P213" s="93">
        <f>SUM('CA brut produits &amp; sites'!P231:P242)</f>
        <v>0</v>
      </c>
    </row>
    <row r="214" spans="1:16" x14ac:dyDescent="0.3">
      <c r="A214" s="87">
        <v>42278</v>
      </c>
      <c r="B214" s="146"/>
      <c r="C214" s="92">
        <f t="shared" si="35"/>
        <v>481818.36</v>
      </c>
      <c r="D214" s="92">
        <f>SUM('CA brut produits &amp; sites'!D232:D243)</f>
        <v>244805.92</v>
      </c>
      <c r="E214" s="92">
        <f>SUM('CA brut produits &amp; sites'!E232:E243)</f>
        <v>69505.159999999974</v>
      </c>
      <c r="F214" s="92">
        <f>SUM('CA brut produits &amp; sites'!F232:F243)</f>
        <v>15305.48</v>
      </c>
      <c r="G214" s="92">
        <f>SUM('CA brut produits &amp; sites'!G232:G243)</f>
        <v>12220.32</v>
      </c>
      <c r="H214" s="92">
        <f>SUM('CA brut produits &amp; sites'!H232:H243)</f>
        <v>11586.460000000001</v>
      </c>
      <c r="I214" s="92">
        <f>SUM('CA brut produits &amp; sites'!I232:I243)</f>
        <v>26780.94</v>
      </c>
      <c r="J214" s="92">
        <f>SUM('CA brut produits &amp; sites'!J232:J243)</f>
        <v>27465.13</v>
      </c>
      <c r="K214" s="92">
        <f>SUM('CA brut produits &amp; sites'!K232:K243)</f>
        <v>61895.450000000004</v>
      </c>
      <c r="L214" s="92">
        <f>SUM('CA brut produits &amp; sites'!L232:L243)</f>
        <v>9669.59</v>
      </c>
      <c r="M214" s="92">
        <f>SUM('CA brut produits &amp; sites'!M232:M243)</f>
        <v>2583.91</v>
      </c>
      <c r="N214" s="92">
        <f>SUM('CA brut produits &amp; sites'!N232:N243)</f>
        <v>0</v>
      </c>
      <c r="O214" s="92">
        <f>SUM('CA brut produits &amp; sites'!O232:O243)</f>
        <v>0</v>
      </c>
      <c r="P214" s="93">
        <f>SUM('CA brut produits &amp; sites'!P232:P243)</f>
        <v>0</v>
      </c>
    </row>
    <row r="215" spans="1:16" x14ac:dyDescent="0.3">
      <c r="A215" s="87">
        <v>42309</v>
      </c>
      <c r="B215" s="146"/>
      <c r="C215" s="92">
        <f t="shared" si="35"/>
        <v>500233.16999999993</v>
      </c>
      <c r="D215" s="92">
        <f>SUM('CA brut produits &amp; sites'!D233:D244)</f>
        <v>250440.04</v>
      </c>
      <c r="E215" s="92">
        <f>SUM('CA brut produits &amp; sites'!E233:E244)</f>
        <v>74039.27999999997</v>
      </c>
      <c r="F215" s="92">
        <f>SUM('CA brut produits &amp; sites'!F233:F244)</f>
        <v>17698.04</v>
      </c>
      <c r="G215" s="92">
        <f>SUM('CA brut produits &amp; sites'!G233:G244)</f>
        <v>13188.23</v>
      </c>
      <c r="H215" s="92">
        <f>SUM('CA brut produits &amp; sites'!H233:H244)</f>
        <v>10517.03</v>
      </c>
      <c r="I215" s="92">
        <f>SUM('CA brut produits &amp; sites'!I233:I244)</f>
        <v>27898.790000000005</v>
      </c>
      <c r="J215" s="92">
        <f>SUM('CA brut produits &amp; sites'!J233:J244)</f>
        <v>30631.32</v>
      </c>
      <c r="K215" s="92">
        <f>SUM('CA brut produits &amp; sites'!K233:K244)</f>
        <v>63454.62</v>
      </c>
      <c r="L215" s="92">
        <f>SUM('CA brut produits &amp; sites'!L233:L244)</f>
        <v>9889.01</v>
      </c>
      <c r="M215" s="92">
        <f>SUM('CA brut produits &amp; sites'!M233:M244)</f>
        <v>2476.81</v>
      </c>
      <c r="N215" s="92">
        <f>SUM('CA brut produits &amp; sites'!N233:N244)</f>
        <v>0</v>
      </c>
      <c r="O215" s="92">
        <f>SUM('CA brut produits &amp; sites'!O233:O244)</f>
        <v>0</v>
      </c>
      <c r="P215" s="93">
        <f>SUM('CA brut produits &amp; sites'!P233:P244)</f>
        <v>0</v>
      </c>
    </row>
    <row r="216" spans="1:16" x14ac:dyDescent="0.3">
      <c r="A216" s="87">
        <v>42339</v>
      </c>
      <c r="B216" s="146"/>
      <c r="C216" s="92">
        <f t="shared" si="35"/>
        <v>484644.83999999991</v>
      </c>
      <c r="D216" s="92">
        <f>SUM('CA brut produits &amp; sites'!D234:D245)</f>
        <v>239900.52000000002</v>
      </c>
      <c r="E216" s="92">
        <f>SUM('CA brut produits &amp; sites'!E234:E245)</f>
        <v>71812.169999999955</v>
      </c>
      <c r="F216" s="92">
        <f>SUM('CA brut produits &amp; sites'!F234:F245)</f>
        <v>18161.390000000003</v>
      </c>
      <c r="G216" s="92">
        <f>SUM('CA brut produits &amp; sites'!G234:G245)</f>
        <v>14726.720000000001</v>
      </c>
      <c r="H216" s="92">
        <f>SUM('CA brut produits &amp; sites'!H234:H245)</f>
        <v>9579.83</v>
      </c>
      <c r="I216" s="92">
        <f>SUM('CA brut produits &amp; sites'!I234:I245)</f>
        <v>27774.99</v>
      </c>
      <c r="J216" s="92">
        <f>SUM('CA brut produits &amp; sites'!J234:J245)</f>
        <v>25859.48</v>
      </c>
      <c r="K216" s="92">
        <f>SUM('CA brut produits &amp; sites'!K234:K245)</f>
        <v>63553.94</v>
      </c>
      <c r="L216" s="92">
        <f>SUM('CA brut produits &amp; sites'!L234:L245)</f>
        <v>11246.350000000002</v>
      </c>
      <c r="M216" s="92">
        <f>SUM('CA brut produits &amp; sites'!M234:M245)</f>
        <v>1783.78</v>
      </c>
      <c r="N216" s="92">
        <f>SUM('CA brut produits &amp; sites'!N234:N245)</f>
        <v>245.67000000000002</v>
      </c>
      <c r="O216" s="92">
        <f>SUM('CA brut produits &amp; sites'!O234:O245)</f>
        <v>0</v>
      </c>
      <c r="P216" s="93">
        <f>SUM('CA brut produits &amp; sites'!P234:P245)</f>
        <v>0</v>
      </c>
    </row>
    <row r="217" spans="1:16" x14ac:dyDescent="0.3">
      <c r="A217" s="87">
        <v>42370</v>
      </c>
      <c r="B217" s="146"/>
      <c r="C217" s="92">
        <f t="shared" si="35"/>
        <v>494423.4599999999</v>
      </c>
      <c r="D217" s="92">
        <f>SUM('CA brut produits &amp; sites'!D235:D246)</f>
        <v>238969.66</v>
      </c>
      <c r="E217" s="92">
        <f>SUM('CA brut produits &amp; sites'!E235:E246)</f>
        <v>71438.749999999985</v>
      </c>
      <c r="F217" s="92">
        <f>SUM('CA brut produits &amp; sites'!F235:F246)</f>
        <v>18588.73</v>
      </c>
      <c r="G217" s="92">
        <f>SUM('CA brut produits &amp; sites'!G235:G246)</f>
        <v>14967.3</v>
      </c>
      <c r="H217" s="92">
        <f>SUM('CA brut produits &amp; sites'!H235:H246)</f>
        <v>9064.6099999999988</v>
      </c>
      <c r="I217" s="92">
        <f>SUM('CA brut produits &amp; sites'!I235:I246)</f>
        <v>30523.890000000003</v>
      </c>
      <c r="J217" s="92">
        <f>SUM('CA brut produits &amp; sites'!J235:J246)</f>
        <v>32416.61</v>
      </c>
      <c r="K217" s="92">
        <f>SUM('CA brut produits &amp; sites'!K235:K246)</f>
        <v>63905.57</v>
      </c>
      <c r="L217" s="92">
        <f>SUM('CA brut produits &amp; sites'!L235:L246)</f>
        <v>12458.06</v>
      </c>
      <c r="M217" s="92">
        <f>SUM('CA brut produits &amp; sites'!M235:M246)</f>
        <v>1844.6099999999997</v>
      </c>
      <c r="N217" s="92">
        <f>SUM('CA brut produits &amp; sites'!N235:N246)</f>
        <v>245.67000000000002</v>
      </c>
      <c r="O217" s="92">
        <f>SUM('CA brut produits &amp; sites'!O235:O246)</f>
        <v>0</v>
      </c>
      <c r="P217" s="93">
        <f>SUM('CA brut produits &amp; sites'!P235:P246)</f>
        <v>0</v>
      </c>
    </row>
    <row r="218" spans="1:16" x14ac:dyDescent="0.3">
      <c r="A218" s="87">
        <v>42401</v>
      </c>
      <c r="B218" s="146"/>
      <c r="C218" s="92">
        <f t="shared" si="35"/>
        <v>499799.37</v>
      </c>
      <c r="D218" s="92">
        <f>SUM('CA brut produits &amp; sites'!D236:D247)</f>
        <v>236370.54</v>
      </c>
      <c r="E218" s="92">
        <f>SUM('CA brut produits &amp; sites'!E236:E247)</f>
        <v>72553.829999999973</v>
      </c>
      <c r="F218" s="92">
        <f>SUM('CA brut produits &amp; sites'!F236:F247)</f>
        <v>19565.689999999999</v>
      </c>
      <c r="G218" s="92">
        <f>SUM('CA brut produits &amp; sites'!G236:G247)</f>
        <v>15211.039999999999</v>
      </c>
      <c r="H218" s="92">
        <f>SUM('CA brut produits &amp; sites'!H236:H247)</f>
        <v>9039.0099999999984</v>
      </c>
      <c r="I218" s="92">
        <f>SUM('CA brut produits &amp; sites'!I236:I247)</f>
        <v>31663.140000000003</v>
      </c>
      <c r="J218" s="92">
        <f>SUM('CA brut produits &amp; sites'!J236:J247)</f>
        <v>32864.17</v>
      </c>
      <c r="K218" s="92">
        <f>SUM('CA brut produits &amp; sites'!K236:K247)</f>
        <v>65413.340000000004</v>
      </c>
      <c r="L218" s="92">
        <f>SUM('CA brut produits &amp; sites'!L236:L247)</f>
        <v>15013.650000000001</v>
      </c>
      <c r="M218" s="92">
        <f>SUM('CA brut produits &amp; sites'!M236:M247)</f>
        <v>1859.2899999999995</v>
      </c>
      <c r="N218" s="92">
        <f>SUM('CA brut produits &amp; sites'!N236:N247)</f>
        <v>245.67000000000002</v>
      </c>
      <c r="O218" s="92">
        <f>SUM('CA brut produits &amp; sites'!O236:O247)</f>
        <v>0</v>
      </c>
      <c r="P218" s="93">
        <f>SUM('CA brut produits &amp; sites'!P236:P247)</f>
        <v>0</v>
      </c>
    </row>
    <row r="219" spans="1:16" x14ac:dyDescent="0.3">
      <c r="A219" s="87">
        <v>42430</v>
      </c>
      <c r="B219" s="146"/>
      <c r="C219" s="92">
        <f t="shared" si="35"/>
        <v>517038.71999999991</v>
      </c>
      <c r="D219" s="92">
        <f>SUM('CA brut produits &amp; sites'!D237:D248)</f>
        <v>234409.90000000002</v>
      </c>
      <c r="E219" s="92">
        <f>SUM('CA brut produits &amp; sites'!E237:E248)</f>
        <v>76132.149999999965</v>
      </c>
      <c r="F219" s="92">
        <f>SUM('CA brut produits &amp; sites'!F237:F248)</f>
        <v>19744.349999999999</v>
      </c>
      <c r="G219" s="92">
        <f>SUM('CA brut produits &amp; sites'!G237:G248)</f>
        <v>17615.719999999998</v>
      </c>
      <c r="H219" s="92">
        <f>SUM('CA brut produits &amp; sites'!H237:H248)</f>
        <v>8548.36</v>
      </c>
      <c r="I219" s="92">
        <f>SUM('CA brut produits &amp; sites'!I237:I248)</f>
        <v>40829.340000000011</v>
      </c>
      <c r="J219" s="92">
        <f>SUM('CA brut produits &amp; sites'!J237:J248)</f>
        <v>33270.089999999997</v>
      </c>
      <c r="K219" s="92">
        <f>SUM('CA brut produits &amp; sites'!K237:K248)</f>
        <v>66451.320000000007</v>
      </c>
      <c r="L219" s="92">
        <f>SUM('CA brut produits &amp; sites'!L237:L248)</f>
        <v>16839.95</v>
      </c>
      <c r="M219" s="92">
        <f>SUM('CA brut produits &amp; sites'!M237:M248)</f>
        <v>2831.87</v>
      </c>
      <c r="N219" s="92">
        <f>SUM('CA brut produits &amp; sites'!N237:N248)</f>
        <v>365.67</v>
      </c>
      <c r="O219" s="92">
        <f>SUM('CA brut produits &amp; sites'!O237:O248)</f>
        <v>0</v>
      </c>
      <c r="P219" s="93">
        <f>SUM('CA brut produits &amp; sites'!P237:P248)</f>
        <v>0</v>
      </c>
    </row>
    <row r="220" spans="1:16" x14ac:dyDescent="0.3">
      <c r="A220" s="87">
        <v>42461</v>
      </c>
      <c r="B220" s="146"/>
      <c r="C220" s="92">
        <f t="shared" si="35"/>
        <v>523452.84999999992</v>
      </c>
      <c r="D220" s="92">
        <f>SUM('CA brut produits &amp; sites'!D238:D249)</f>
        <v>237236.88</v>
      </c>
      <c r="E220" s="92">
        <f>SUM('CA brut produits &amp; sites'!E238:E249)</f>
        <v>75251.949999999983</v>
      </c>
      <c r="F220" s="92">
        <f>SUM('CA brut produits &amp; sites'!F238:F249)</f>
        <v>20288.939999999999</v>
      </c>
      <c r="G220" s="92">
        <f>SUM('CA brut produits &amp; sites'!G238:G249)</f>
        <v>17613.159999999996</v>
      </c>
      <c r="H220" s="92">
        <f>SUM('CA brut produits &amp; sites'!H238:H249)</f>
        <v>8210.9599999999991</v>
      </c>
      <c r="I220" s="92">
        <f>SUM('CA brut produits &amp; sites'!I238:I249)</f>
        <v>39885.140000000007</v>
      </c>
      <c r="J220" s="92">
        <f>SUM('CA brut produits &amp; sites'!J238:J249)</f>
        <v>35290.869999999995</v>
      </c>
      <c r="K220" s="92">
        <f>SUM('CA brut produits &amp; sites'!K238:K249)</f>
        <v>68334.929999999993</v>
      </c>
      <c r="L220" s="92">
        <f>SUM('CA brut produits &amp; sites'!L238:L249)</f>
        <v>17996.559999999998</v>
      </c>
      <c r="M220" s="92">
        <f>SUM('CA brut produits &amp; sites'!M238:M249)</f>
        <v>2827.7899999999995</v>
      </c>
      <c r="N220" s="92">
        <f>SUM('CA brut produits &amp; sites'!N238:N249)</f>
        <v>515.67000000000007</v>
      </c>
      <c r="O220" s="92">
        <f>SUM('CA brut produits &amp; sites'!O238:O249)</f>
        <v>0</v>
      </c>
      <c r="P220" s="93">
        <f>SUM('CA brut produits &amp; sites'!P238:P249)</f>
        <v>0</v>
      </c>
    </row>
    <row r="221" spans="1:16" x14ac:dyDescent="0.3">
      <c r="A221" s="87">
        <v>42491</v>
      </c>
      <c r="B221" s="146"/>
      <c r="C221" s="92">
        <f t="shared" si="35"/>
        <v>526580.81000000006</v>
      </c>
      <c r="D221" s="92">
        <f>SUM('CA brut produits &amp; sites'!D239:D250)</f>
        <v>242195.59</v>
      </c>
      <c r="E221" s="92">
        <f>SUM('CA brut produits &amp; sites'!E239:E250)</f>
        <v>75720.37999999999</v>
      </c>
      <c r="F221" s="92">
        <f>SUM('CA brut produits &amp; sites'!F239:F250)</f>
        <v>19337.490000000002</v>
      </c>
      <c r="G221" s="92">
        <f>SUM('CA brut produits &amp; sites'!G239:G250)</f>
        <v>17074.21</v>
      </c>
      <c r="H221" s="92">
        <f>SUM('CA brut produits &amp; sites'!H239:H250)</f>
        <v>8244.58</v>
      </c>
      <c r="I221" s="92">
        <f>SUM('CA brut produits &amp; sites'!I239:I250)</f>
        <v>39034.129999999997</v>
      </c>
      <c r="J221" s="92">
        <f>SUM('CA brut produits &amp; sites'!J239:J250)</f>
        <v>34799.780000000006</v>
      </c>
      <c r="K221" s="92">
        <f>SUM('CA brut produits &amp; sites'!K239:K250)</f>
        <v>68457.599999999991</v>
      </c>
      <c r="L221" s="92">
        <f>SUM('CA brut produits &amp; sites'!L239:L250)</f>
        <v>18426.060000000001</v>
      </c>
      <c r="M221" s="92">
        <f>SUM('CA brut produits &amp; sites'!M239:M250)</f>
        <v>2775.3199999999997</v>
      </c>
      <c r="N221" s="92">
        <f>SUM('CA brut produits &amp; sites'!N239:N250)</f>
        <v>515.67000000000007</v>
      </c>
      <c r="O221" s="92">
        <f>SUM('CA brut produits &amp; sites'!O239:O250)</f>
        <v>0</v>
      </c>
      <c r="P221" s="93">
        <f>SUM('CA brut produits &amp; sites'!P239:P250)</f>
        <v>0</v>
      </c>
    </row>
    <row r="222" spans="1:16" x14ac:dyDescent="0.3">
      <c r="A222" s="87">
        <v>42522</v>
      </c>
      <c r="B222" s="146"/>
      <c r="C222" s="92">
        <f t="shared" si="35"/>
        <v>540746.43999999994</v>
      </c>
      <c r="D222" s="92">
        <f>SUM('CA brut produits &amp; sites'!D240:D251)</f>
        <v>247181.43000000002</v>
      </c>
      <c r="E222" s="92">
        <f>SUM('CA brut produits &amp; sites'!E240:E251)</f>
        <v>74267.039999999979</v>
      </c>
      <c r="F222" s="92">
        <f>SUM('CA brut produits &amp; sites'!F240:F251)</f>
        <v>19325.880000000005</v>
      </c>
      <c r="G222" s="92">
        <f>SUM('CA brut produits &amp; sites'!G240:G251)</f>
        <v>15995.939999999999</v>
      </c>
      <c r="H222" s="92">
        <f>SUM('CA brut produits &amp; sites'!H240:H251)</f>
        <v>7779.7300000000005</v>
      </c>
      <c r="I222" s="92">
        <f>SUM('CA brut produits &amp; sites'!I240:I251)</f>
        <v>37827.189999999995</v>
      </c>
      <c r="J222" s="92">
        <f>SUM('CA brut produits &amp; sites'!J240:J251)</f>
        <v>44753.14</v>
      </c>
      <c r="K222" s="92">
        <f>SUM('CA brut produits &amp; sites'!K240:K251)</f>
        <v>70264.459999999992</v>
      </c>
      <c r="L222" s="92">
        <f>SUM('CA brut produits &amp; sites'!L240:L251)</f>
        <v>20143.560000000001</v>
      </c>
      <c r="M222" s="92">
        <f>SUM('CA brut produits &amp; sites'!M240:M251)</f>
        <v>2310.3200000000002</v>
      </c>
      <c r="N222" s="92">
        <f>SUM('CA brut produits &amp; sites'!N240:N251)</f>
        <v>897.75</v>
      </c>
      <c r="O222" s="92">
        <f>SUM('CA brut produits &amp; sites'!O240:O251)</f>
        <v>0</v>
      </c>
      <c r="P222" s="93">
        <f>SUM('CA brut produits &amp; sites'!P240:P251)</f>
        <v>0</v>
      </c>
    </row>
    <row r="223" spans="1:16" x14ac:dyDescent="0.3">
      <c r="A223" s="87">
        <v>42552</v>
      </c>
      <c r="B223" s="146"/>
      <c r="C223" s="92">
        <f t="shared" si="35"/>
        <v>535618.4</v>
      </c>
      <c r="D223" s="92">
        <f>SUM('CA brut produits &amp; sites'!D241:D252)</f>
        <v>238800.69</v>
      </c>
      <c r="E223" s="92">
        <f>SUM('CA brut produits &amp; sites'!E241:E252)</f>
        <v>73748.02999999997</v>
      </c>
      <c r="F223" s="92">
        <f>SUM('CA brut produits &amp; sites'!F241:F252)</f>
        <v>20922.840000000004</v>
      </c>
      <c r="G223" s="92">
        <f>SUM('CA brut produits &amp; sites'!G241:G252)</f>
        <v>16373.239999999996</v>
      </c>
      <c r="H223" s="92">
        <f>SUM('CA brut produits &amp; sites'!H241:H252)</f>
        <v>7768.7300000000005</v>
      </c>
      <c r="I223" s="92">
        <f>SUM('CA brut produits &amp; sites'!I241:I252)</f>
        <v>39715.730000000003</v>
      </c>
      <c r="J223" s="92">
        <f>SUM('CA brut produits &amp; sites'!J241:J252)</f>
        <v>45529.64</v>
      </c>
      <c r="K223" s="92">
        <f>SUM('CA brut produits &amp; sites'!K241:K252)</f>
        <v>69771.669999999984</v>
      </c>
      <c r="L223" s="92">
        <f>SUM('CA brut produits &amp; sites'!L241:L252)</f>
        <v>19854.190000000002</v>
      </c>
      <c r="M223" s="92">
        <f>SUM('CA brut produits &amp; sites'!M241:M252)</f>
        <v>2235.8900000000003</v>
      </c>
      <c r="N223" s="92">
        <f>SUM('CA brut produits &amp; sites'!N241:N252)</f>
        <v>897.75</v>
      </c>
      <c r="O223" s="92">
        <f>SUM('CA brut produits &amp; sites'!O241:O252)</f>
        <v>0</v>
      </c>
      <c r="P223" s="93">
        <f>SUM('CA brut produits &amp; sites'!P241:P252)</f>
        <v>0</v>
      </c>
    </row>
    <row r="224" spans="1:16" x14ac:dyDescent="0.3">
      <c r="A224" s="87">
        <v>42583</v>
      </c>
      <c r="B224" s="146"/>
      <c r="C224" s="92">
        <f t="shared" si="35"/>
        <v>538804.83000000007</v>
      </c>
      <c r="D224" s="92">
        <f>SUM('CA brut produits &amp; sites'!D242:D253)</f>
        <v>241294.97000000003</v>
      </c>
      <c r="E224" s="92">
        <f>SUM('CA brut produits &amp; sites'!E242:E253)</f>
        <v>73314.679999999978</v>
      </c>
      <c r="F224" s="92">
        <f>SUM('CA brut produits &amp; sites'!F242:F253)</f>
        <v>19958.940000000002</v>
      </c>
      <c r="G224" s="92">
        <f>SUM('CA brut produits &amp; sites'!G242:G253)</f>
        <v>16096.289999999995</v>
      </c>
      <c r="H224" s="92">
        <f>SUM('CA brut produits &amp; sites'!H242:H253)</f>
        <v>8889.18</v>
      </c>
      <c r="I224" s="92">
        <f>SUM('CA brut produits &amp; sites'!I242:I253)</f>
        <v>38752.700000000004</v>
      </c>
      <c r="J224" s="92">
        <f>SUM('CA brut produits &amp; sites'!J242:J253)</f>
        <v>45308.639999999999</v>
      </c>
      <c r="K224" s="92">
        <f>SUM('CA brut produits &amp; sites'!K242:K253)</f>
        <v>71354.319999999992</v>
      </c>
      <c r="L224" s="92">
        <f>SUM('CA brut produits &amp; sites'!L242:L253)</f>
        <v>20996.74</v>
      </c>
      <c r="M224" s="92">
        <f>SUM('CA brut produits &amp; sites'!M242:M253)</f>
        <v>1940.62</v>
      </c>
      <c r="N224" s="92">
        <f>SUM('CA brut produits &amp; sites'!N242:N253)</f>
        <v>897.75</v>
      </c>
      <c r="O224" s="92">
        <f>SUM('CA brut produits &amp; sites'!O242:O253)</f>
        <v>0</v>
      </c>
      <c r="P224" s="93">
        <f>SUM('CA brut produits &amp; sites'!P242:P253)</f>
        <v>0</v>
      </c>
    </row>
    <row r="225" spans="1:16" x14ac:dyDescent="0.3">
      <c r="A225" s="87">
        <v>42614</v>
      </c>
      <c r="B225" s="146"/>
      <c r="C225" s="92">
        <f t="shared" si="35"/>
        <v>533315.03999999992</v>
      </c>
      <c r="D225" s="92">
        <f>SUM('CA brut produits &amp; sites'!D243:D254)</f>
        <v>243079.88999999998</v>
      </c>
      <c r="E225" s="92">
        <f>SUM('CA brut produits &amp; sites'!E243:E254)</f>
        <v>65148.109999999993</v>
      </c>
      <c r="F225" s="92">
        <f>SUM('CA brut produits &amp; sites'!F243:F254)</f>
        <v>18702.609999999997</v>
      </c>
      <c r="G225" s="92">
        <f>SUM('CA brut produits &amp; sites'!G243:G254)</f>
        <v>15206.529999999997</v>
      </c>
      <c r="H225" s="92">
        <f>SUM('CA brut produits &amp; sites'!H243:H254)</f>
        <v>8955.98</v>
      </c>
      <c r="I225" s="92">
        <f>SUM('CA brut produits &amp; sites'!I243:I254)</f>
        <v>36337.850000000006</v>
      </c>
      <c r="J225" s="92">
        <f>SUM('CA brut produits &amp; sites'!J243:J254)</f>
        <v>49359.14</v>
      </c>
      <c r="K225" s="92">
        <f>SUM('CA brut produits &amp; sites'!K243:K254)</f>
        <v>71040.679999999993</v>
      </c>
      <c r="L225" s="92">
        <f>SUM('CA brut produits &amp; sites'!L243:L254)</f>
        <v>22655.390000000003</v>
      </c>
      <c r="M225" s="92">
        <f>SUM('CA brut produits &amp; sites'!M243:M254)</f>
        <v>1931.1100000000001</v>
      </c>
      <c r="N225" s="92">
        <f>SUM('CA brut produits &amp; sites'!N243:N254)</f>
        <v>897.75</v>
      </c>
      <c r="O225" s="92">
        <f>SUM('CA brut produits &amp; sites'!O243:O254)</f>
        <v>0</v>
      </c>
      <c r="P225" s="93">
        <f>SUM('CA brut produits &amp; sites'!P243:P254)</f>
        <v>0</v>
      </c>
    </row>
    <row r="226" spans="1:16" x14ac:dyDescent="0.3">
      <c r="A226" s="87">
        <v>42644</v>
      </c>
      <c r="B226" s="146"/>
      <c r="C226" s="92">
        <f t="shared" si="35"/>
        <v>512351.24999999994</v>
      </c>
      <c r="D226" s="92">
        <f>SUM('CA brut produits &amp; sites'!D244:D255)</f>
        <v>228626.14999999997</v>
      </c>
      <c r="E226" s="92">
        <f>SUM('CA brut produits &amp; sites'!E244:E255)</f>
        <v>62392.189999999988</v>
      </c>
      <c r="F226" s="92">
        <f>SUM('CA brut produits &amp; sites'!F244:F255)</f>
        <v>19027.289999999997</v>
      </c>
      <c r="G226" s="92">
        <f>SUM('CA brut produits &amp; sites'!G244:G255)</f>
        <v>14153.419999999998</v>
      </c>
      <c r="H226" s="92">
        <f>SUM('CA brut produits &amp; sites'!H244:H255)</f>
        <v>5239.03</v>
      </c>
      <c r="I226" s="92">
        <f>SUM('CA brut produits &amp; sites'!I244:I255)</f>
        <v>37116.870000000003</v>
      </c>
      <c r="J226" s="92">
        <f>SUM('CA brut produits &amp; sites'!J244:J255)</f>
        <v>53345.14</v>
      </c>
      <c r="K226" s="92">
        <f>SUM('CA brut produits &amp; sites'!K244:K255)</f>
        <v>67382.00999999998</v>
      </c>
      <c r="L226" s="92">
        <f>SUM('CA brut produits &amp; sites'!L244:L255)</f>
        <v>22201.180000000004</v>
      </c>
      <c r="M226" s="92">
        <f>SUM('CA brut produits &amp; sites'!M244:M255)</f>
        <v>1970.22</v>
      </c>
      <c r="N226" s="92">
        <f>SUM('CA brut produits &amp; sites'!N244:N255)</f>
        <v>897.75</v>
      </c>
      <c r="O226" s="92">
        <f>SUM('CA brut produits &amp; sites'!O244:O255)</f>
        <v>0</v>
      </c>
      <c r="P226" s="93">
        <f>SUM('CA brut produits &amp; sites'!P244:P255)</f>
        <v>0</v>
      </c>
    </row>
    <row r="227" spans="1:16" x14ac:dyDescent="0.3">
      <c r="A227" s="87">
        <v>42675</v>
      </c>
      <c r="B227" s="146"/>
      <c r="C227" s="92">
        <f t="shared" si="35"/>
        <v>484617.81000000006</v>
      </c>
      <c r="D227" s="92">
        <f>SUM('CA brut produits &amp; sites'!D245:D256)</f>
        <v>220286.56999999995</v>
      </c>
      <c r="E227" s="92">
        <f>SUM('CA brut produits &amp; sites'!E245:E256)</f>
        <v>54679.33</v>
      </c>
      <c r="F227" s="92">
        <f>SUM('CA brut produits &amp; sites'!F245:F256)</f>
        <v>16551.449999999997</v>
      </c>
      <c r="G227" s="92">
        <f>SUM('CA brut produits &amp; sites'!G245:G256)</f>
        <v>13146.649999999998</v>
      </c>
      <c r="H227" s="92">
        <f>SUM('CA brut produits &amp; sites'!H245:H256)</f>
        <v>4627.63</v>
      </c>
      <c r="I227" s="92">
        <f>SUM('CA brut produits &amp; sites'!I245:I256)</f>
        <v>36824.900000000009</v>
      </c>
      <c r="J227" s="92">
        <f>SUM('CA brut produits &amp; sites'!J245:J256)</f>
        <v>46705.45</v>
      </c>
      <c r="K227" s="92">
        <f>SUM('CA brut produits &amp; sites'!K245:K256)</f>
        <v>65385.779999999984</v>
      </c>
      <c r="L227" s="92">
        <f>SUM('CA brut produits &amp; sites'!L245:L256)</f>
        <v>23452.28</v>
      </c>
      <c r="M227" s="92">
        <f>SUM('CA brut produits &amp; sites'!M245:M256)</f>
        <v>2060.02</v>
      </c>
      <c r="N227" s="92">
        <f>SUM('CA brut produits &amp; sites'!N245:N256)</f>
        <v>897.75</v>
      </c>
      <c r="O227" s="92">
        <f>SUM('CA brut produits &amp; sites'!O245:O256)</f>
        <v>0</v>
      </c>
      <c r="P227" s="93">
        <f>SUM('CA brut produits &amp; sites'!P245:P256)</f>
        <v>0</v>
      </c>
    </row>
    <row r="228" spans="1:16" x14ac:dyDescent="0.3">
      <c r="A228" s="87">
        <v>42705</v>
      </c>
      <c r="B228" s="146"/>
      <c r="C228" s="92">
        <f t="shared" si="35"/>
        <v>478129.45</v>
      </c>
      <c r="D228" s="92">
        <f>SUM('CA brut produits &amp; sites'!D246:D257)</f>
        <v>216452.24999999994</v>
      </c>
      <c r="E228" s="92">
        <f>SUM('CA brut produits &amp; sites'!E246:E257)</f>
        <v>52300.27</v>
      </c>
      <c r="F228" s="92">
        <f>SUM('CA brut produits &amp; sites'!F246:F257)</f>
        <v>16814.499999999996</v>
      </c>
      <c r="G228" s="92">
        <f>SUM('CA brut produits &amp; sites'!G246:G257)</f>
        <v>12095.869999999999</v>
      </c>
      <c r="H228" s="92">
        <f>SUM('CA brut produits &amp; sites'!H246:H257)</f>
        <v>5331.3099999999995</v>
      </c>
      <c r="I228" s="92">
        <f>SUM('CA brut produits &amp; sites'!I246:I257)</f>
        <v>36563.030000000013</v>
      </c>
      <c r="J228" s="92">
        <f>SUM('CA brut produits &amp; sites'!J246:J257)</f>
        <v>44196.93</v>
      </c>
      <c r="K228" s="92">
        <f>SUM('CA brut produits &amp; sites'!K246:K257)</f>
        <v>66904.929999999993</v>
      </c>
      <c r="L228" s="92">
        <f>SUM('CA brut produits &amp; sites'!L246:L257)</f>
        <v>24372.26</v>
      </c>
      <c r="M228" s="92">
        <f>SUM('CA brut produits &amp; sites'!M246:M257)</f>
        <v>2052.84</v>
      </c>
      <c r="N228" s="92">
        <f>SUM('CA brut produits &amp; sites'!N246:N257)</f>
        <v>1045.26</v>
      </c>
      <c r="O228" s="92">
        <f>SUM('CA brut produits &amp; sites'!O246:O257)</f>
        <v>0</v>
      </c>
      <c r="P228" s="93">
        <f>SUM('CA brut produits &amp; sites'!P246:P257)</f>
        <v>0</v>
      </c>
    </row>
    <row r="229" spans="1:16" ht="14.7" customHeight="1" x14ac:dyDescent="0.3">
      <c r="A229" s="87">
        <v>42736</v>
      </c>
      <c r="B229" s="146"/>
      <c r="C229" s="92">
        <f t="shared" si="35"/>
        <v>474644.83999999997</v>
      </c>
      <c r="D229" s="92">
        <f>SUM('CA brut produits &amp; sites'!D247:D258)</f>
        <v>220867.84999999995</v>
      </c>
      <c r="E229" s="92">
        <f>SUM('CA brut produits &amp; sites'!E247:E258)</f>
        <v>51525.799999999996</v>
      </c>
      <c r="F229" s="92">
        <f>SUM('CA brut produits &amp; sites'!F247:F258)</f>
        <v>17825.329999999998</v>
      </c>
      <c r="G229" s="92">
        <f>SUM('CA brut produits &amp; sites'!G247:G258)</f>
        <v>11924.68</v>
      </c>
      <c r="H229" s="92">
        <f>SUM('CA brut produits &amp; sites'!H247:H258)</f>
        <v>5256.3099999999995</v>
      </c>
      <c r="I229" s="92">
        <f>SUM('CA brut produits &amp; sites'!I247:I258)</f>
        <v>33184.87000000001</v>
      </c>
      <c r="J229" s="92">
        <f>SUM('CA brut produits &amp; sites'!J247:J258)</f>
        <v>38095.800000000003</v>
      </c>
      <c r="K229" s="92">
        <f>SUM('CA brut produits &amp; sites'!K247:K258)</f>
        <v>68268.399999999994</v>
      </c>
      <c r="L229" s="92">
        <f>SUM('CA brut produits &amp; sites'!L247:L258)</f>
        <v>24442.440000000002</v>
      </c>
      <c r="M229" s="92">
        <f>SUM('CA brut produits &amp; sites'!M247:M258)</f>
        <v>2005.9599999999998</v>
      </c>
      <c r="N229" s="92">
        <f>SUM('CA brut produits &amp; sites'!N247:N258)</f>
        <v>1247.4000000000001</v>
      </c>
      <c r="O229" s="92">
        <f>SUM('CA brut produits &amp; sites'!O247:O258)</f>
        <v>0</v>
      </c>
      <c r="P229" s="93">
        <f>SUM('CA brut produits &amp; sites'!P247:P258)</f>
        <v>0</v>
      </c>
    </row>
    <row r="230" spans="1:16" x14ac:dyDescent="0.3">
      <c r="A230" s="87">
        <v>42767</v>
      </c>
      <c r="B230" s="146"/>
      <c r="C230" s="92">
        <f t="shared" si="35"/>
        <v>471689.73999999993</v>
      </c>
      <c r="D230" s="92">
        <f>SUM('CA brut produits &amp; sites'!D248:D259)</f>
        <v>220202.27999999997</v>
      </c>
      <c r="E230" s="92">
        <f>SUM('CA brut produits &amp; sites'!E248:E259)</f>
        <v>51912.13</v>
      </c>
      <c r="F230" s="92">
        <f>SUM('CA brut produits &amp; sites'!F248:F259)</f>
        <v>17317.979999999996</v>
      </c>
      <c r="G230" s="92">
        <f>SUM('CA brut produits &amp; sites'!G248:G259)</f>
        <v>12048.41</v>
      </c>
      <c r="H230" s="92">
        <f>SUM('CA brut produits &amp; sites'!H248:H259)</f>
        <v>5851.04</v>
      </c>
      <c r="I230" s="92">
        <f>SUM('CA brut produits &amp; sites'!I248:I259)</f>
        <v>32051.660000000011</v>
      </c>
      <c r="J230" s="92">
        <f>SUM('CA brut produits &amp; sites'!J248:J259)</f>
        <v>35216.03</v>
      </c>
      <c r="K230" s="92">
        <f>SUM('CA brut produits &amp; sites'!K248:K259)</f>
        <v>69107.97</v>
      </c>
      <c r="L230" s="92">
        <f>SUM('CA brut produits &amp; sites'!L248:L259)</f>
        <v>23391.08</v>
      </c>
      <c r="M230" s="92">
        <f>SUM('CA brut produits &amp; sites'!M248:M259)</f>
        <v>3343.76</v>
      </c>
      <c r="N230" s="92">
        <f>SUM('CA brut produits &amp; sites'!N248:N259)</f>
        <v>1247.4000000000001</v>
      </c>
      <c r="O230" s="92">
        <f>SUM('CA brut produits &amp; sites'!O248:O259)</f>
        <v>0</v>
      </c>
      <c r="P230" s="93">
        <f>SUM('CA brut produits &amp; sites'!P248:P259)</f>
        <v>0</v>
      </c>
    </row>
    <row r="231" spans="1:16" x14ac:dyDescent="0.3">
      <c r="A231" s="87">
        <v>42795</v>
      </c>
      <c r="B231" s="146"/>
      <c r="C231" s="92">
        <f t="shared" si="35"/>
        <v>460757.25000000012</v>
      </c>
      <c r="D231" s="92">
        <f>SUM('CA brut produits &amp; sites'!D249:D260)</f>
        <v>221056.09999999998</v>
      </c>
      <c r="E231" s="92">
        <f>SUM('CA brut produits &amp; sites'!E249:E260)</f>
        <v>49202.469999999994</v>
      </c>
      <c r="F231" s="92">
        <f>SUM('CA brut produits &amp; sites'!F249:F260)</f>
        <v>17370.829999999998</v>
      </c>
      <c r="G231" s="92">
        <f>SUM('CA brut produits &amp; sites'!G249:G260)</f>
        <v>9708.9700000000012</v>
      </c>
      <c r="H231" s="92">
        <f>SUM('CA brut produits &amp; sites'!H249:H260)</f>
        <v>5692.3399999999992</v>
      </c>
      <c r="I231" s="92">
        <f>SUM('CA brut produits &amp; sites'!I249:I260)</f>
        <v>25083.559999999998</v>
      </c>
      <c r="J231" s="92">
        <f>SUM('CA brut produits &amp; sites'!J249:J260)</f>
        <v>35394.03</v>
      </c>
      <c r="K231" s="92">
        <f>SUM('CA brut produits &amp; sites'!K249:K260)</f>
        <v>70389.149999999994</v>
      </c>
      <c r="L231" s="92">
        <f>SUM('CA brut produits &amp; sites'!L249:L260)</f>
        <v>23219.38</v>
      </c>
      <c r="M231" s="92">
        <f>SUM('CA brut produits &amp; sites'!M249:M260)</f>
        <v>2513.02</v>
      </c>
      <c r="N231" s="92">
        <f>SUM('CA brut produits &amp; sites'!N249:N260)</f>
        <v>1127.4000000000001</v>
      </c>
      <c r="O231" s="92">
        <f>SUM('CA brut produits &amp; sites'!O249:O260)</f>
        <v>0</v>
      </c>
      <c r="P231" s="93">
        <f>SUM('CA brut produits &amp; sites'!P249:P260)</f>
        <v>0</v>
      </c>
    </row>
    <row r="232" spans="1:16" x14ac:dyDescent="0.3">
      <c r="A232" s="87">
        <v>42826</v>
      </c>
      <c r="B232" s="146"/>
      <c r="C232" s="92">
        <f t="shared" si="35"/>
        <v>453586.9</v>
      </c>
      <c r="D232" s="92">
        <f>SUM('CA brut produits &amp; sites'!D250:D261)</f>
        <v>213620.37</v>
      </c>
      <c r="E232" s="92">
        <f>SUM('CA brut produits &amp; sites'!E250:E261)</f>
        <v>49131.86</v>
      </c>
      <c r="F232" s="92">
        <f>SUM('CA brut produits &amp; sites'!F250:F261)</f>
        <v>17840.980000000003</v>
      </c>
      <c r="G232" s="92">
        <f>SUM('CA brut produits &amp; sites'!G250:G261)</f>
        <v>9277.9900000000016</v>
      </c>
      <c r="H232" s="92">
        <f>SUM('CA brut produits &amp; sites'!H250:H261)</f>
        <v>5628.3399999999992</v>
      </c>
      <c r="I232" s="92">
        <f>SUM('CA brut produits &amp; sites'!I250:I261)</f>
        <v>26695.91</v>
      </c>
      <c r="J232" s="92">
        <f>SUM('CA brut produits &amp; sites'!J250:J261)</f>
        <v>35450.75</v>
      </c>
      <c r="K232" s="92">
        <f>SUM('CA brut produits &amp; sites'!K250:K261)</f>
        <v>68727.540000000008</v>
      </c>
      <c r="L232" s="92">
        <f>SUM('CA brut produits &amp; sites'!L250:L261)</f>
        <v>23664.570000000003</v>
      </c>
      <c r="M232" s="92">
        <f>SUM('CA brut produits &amp; sites'!M250:M261)</f>
        <v>2571.19</v>
      </c>
      <c r="N232" s="92">
        <f>SUM('CA brut produits &amp; sites'!N250:N261)</f>
        <v>977.4</v>
      </c>
      <c r="O232" s="92">
        <f>SUM('CA brut produits &amp; sites'!O250:O261)</f>
        <v>0</v>
      </c>
      <c r="P232" s="93">
        <f>SUM('CA brut produits &amp; sites'!P250:P261)</f>
        <v>0</v>
      </c>
    </row>
    <row r="233" spans="1:16" x14ac:dyDescent="0.3">
      <c r="A233" s="87">
        <v>42856</v>
      </c>
      <c r="B233" s="146"/>
      <c r="C233" s="92">
        <f t="shared" si="35"/>
        <v>442002.34000000008</v>
      </c>
      <c r="D233" s="92">
        <f>SUM('CA brut produits &amp; sites'!D251:D262)</f>
        <v>199350.67</v>
      </c>
      <c r="E233" s="92">
        <f>SUM('CA brut produits &amp; sites'!E251:E262)</f>
        <v>48392.710000000006</v>
      </c>
      <c r="F233" s="92">
        <f>SUM('CA brut produits &amp; sites'!F251:F262)</f>
        <v>18811.150000000001</v>
      </c>
      <c r="G233" s="92">
        <f>SUM('CA brut produits &amp; sites'!G251:G262)</f>
        <v>9645.3300000000017</v>
      </c>
      <c r="H233" s="92">
        <f>SUM('CA brut produits &amp; sites'!H251:H262)</f>
        <v>5983.64</v>
      </c>
      <c r="I233" s="92">
        <f>SUM('CA brut produits &amp; sites'!I251:I262)</f>
        <v>30080.750000000004</v>
      </c>
      <c r="J233" s="92">
        <f>SUM('CA brut produits &amp; sites'!J251:J262)</f>
        <v>34300.839999999997</v>
      </c>
      <c r="K233" s="92">
        <f>SUM('CA brut produits &amp; sites'!K251:K262)</f>
        <v>67731.55</v>
      </c>
      <c r="L233" s="92">
        <f>SUM('CA brut produits &amp; sites'!L251:L262)</f>
        <v>23532.480000000003</v>
      </c>
      <c r="M233" s="92">
        <f>SUM('CA brut produits &amp; sites'!M251:M262)</f>
        <v>3195.8200000000006</v>
      </c>
      <c r="N233" s="92">
        <f>SUM('CA brut produits &amp; sites'!N251:N262)</f>
        <v>977.4</v>
      </c>
      <c r="O233" s="92">
        <f>SUM('CA brut produits &amp; sites'!O251:O262)</f>
        <v>0</v>
      </c>
      <c r="P233" s="93">
        <f>SUM('CA brut produits &amp; sites'!P251:P262)</f>
        <v>0</v>
      </c>
    </row>
    <row r="234" spans="1:16" x14ac:dyDescent="0.3">
      <c r="A234" s="87">
        <v>42887</v>
      </c>
      <c r="B234" s="146"/>
      <c r="C234" s="92">
        <f t="shared" si="35"/>
        <v>418829.2699999999</v>
      </c>
      <c r="D234" s="92">
        <f>SUM('CA brut produits &amp; sites'!D252:D263)</f>
        <v>186977.19</v>
      </c>
      <c r="E234" s="92">
        <f>SUM('CA brut produits &amp; sites'!E252:E263)</f>
        <v>47584.66</v>
      </c>
      <c r="F234" s="92">
        <f>SUM('CA brut produits &amp; sites'!F252:F263)</f>
        <v>18434.030000000002</v>
      </c>
      <c r="G234" s="92">
        <f>SUM('CA brut produits &amp; sites'!G252:G263)</f>
        <v>9628.0500000000011</v>
      </c>
      <c r="H234" s="92">
        <f>SUM('CA brut produits &amp; sites'!H252:H263)</f>
        <v>5712.44</v>
      </c>
      <c r="I234" s="92">
        <f>SUM('CA brut produits &amp; sites'!I252:I263)</f>
        <v>30041.670000000002</v>
      </c>
      <c r="J234" s="92">
        <f>SUM('CA brut produits &amp; sites'!J252:J263)</f>
        <v>24911</v>
      </c>
      <c r="K234" s="92">
        <f>SUM('CA brut produits &amp; sites'!K252:K263)</f>
        <v>66686.149999999994</v>
      </c>
      <c r="L234" s="92">
        <f>SUM('CA brut produits &amp; sites'!L252:L263)</f>
        <v>23691.730000000003</v>
      </c>
      <c r="M234" s="92">
        <f>SUM('CA brut produits &amp; sites'!M252:M263)</f>
        <v>3241.05</v>
      </c>
      <c r="N234" s="92">
        <f>SUM('CA brut produits &amp; sites'!N252:N263)</f>
        <v>1921.3</v>
      </c>
      <c r="O234" s="92">
        <f>SUM('CA brut produits &amp; sites'!O252:O263)</f>
        <v>0</v>
      </c>
      <c r="P234" s="93">
        <f>SUM('CA brut produits &amp; sites'!P252:P263)</f>
        <v>0</v>
      </c>
    </row>
    <row r="235" spans="1:16" x14ac:dyDescent="0.3">
      <c r="A235" s="87">
        <v>42917</v>
      </c>
      <c r="B235" s="146"/>
      <c r="C235" s="92">
        <f t="shared" si="35"/>
        <v>415600.93000000005</v>
      </c>
      <c r="D235" s="92">
        <f>SUM('CA brut produits &amp; sites'!D253:D264)</f>
        <v>185810.14</v>
      </c>
      <c r="E235" s="92">
        <f>SUM('CA brut produits &amp; sites'!E253:E264)</f>
        <v>46108.87000000001</v>
      </c>
      <c r="F235" s="92">
        <f>SUM('CA brut produits &amp; sites'!F253:F264)</f>
        <v>19388.150000000001</v>
      </c>
      <c r="G235" s="92">
        <f>SUM('CA brut produits &amp; sites'!G253:G264)</f>
        <v>9425.7800000000007</v>
      </c>
      <c r="H235" s="92">
        <f>SUM('CA brut produits &amp; sites'!H253:H264)</f>
        <v>6654.44</v>
      </c>
      <c r="I235" s="92">
        <f>SUM('CA brut produits &amp; sites'!I253:I264)</f>
        <v>28178.14</v>
      </c>
      <c r="J235" s="92">
        <f>SUM('CA brut produits &amp; sites'!J253:J264)</f>
        <v>22608.5</v>
      </c>
      <c r="K235" s="92">
        <f>SUM('CA brut produits &amp; sites'!K253:K264)</f>
        <v>68018.78</v>
      </c>
      <c r="L235" s="92">
        <f>SUM('CA brut produits &amp; sites'!L253:L264)</f>
        <v>24155.46</v>
      </c>
      <c r="M235" s="92">
        <f>SUM('CA brut produits &amp; sites'!M253:M264)</f>
        <v>3331.3700000000003</v>
      </c>
      <c r="N235" s="92">
        <f>SUM('CA brut produits &amp; sites'!N253:N264)</f>
        <v>1921.3</v>
      </c>
      <c r="O235" s="92">
        <f>SUM('CA brut produits &amp; sites'!O253:O264)</f>
        <v>0</v>
      </c>
      <c r="P235" s="93">
        <f>SUM('CA brut produits &amp; sites'!P253:P264)</f>
        <v>0</v>
      </c>
    </row>
    <row r="236" spans="1:16" x14ac:dyDescent="0.3">
      <c r="A236" s="87">
        <v>42948</v>
      </c>
      <c r="B236" s="146"/>
      <c r="C236" s="92">
        <f t="shared" si="35"/>
        <v>408932.42</v>
      </c>
      <c r="D236" s="92">
        <f>SUM('CA brut produits &amp; sites'!D254:D265)</f>
        <v>179934.2</v>
      </c>
      <c r="E236" s="92">
        <f>SUM('CA brut produits &amp; sites'!E254:E265)</f>
        <v>45867.64</v>
      </c>
      <c r="F236" s="92">
        <f>SUM('CA brut produits &amp; sites'!F254:F265)</f>
        <v>19682.03</v>
      </c>
      <c r="G236" s="92">
        <f>SUM('CA brut produits &amp; sites'!G254:G265)</f>
        <v>9045.59</v>
      </c>
      <c r="H236" s="92">
        <f>SUM('CA brut produits &amp; sites'!H254:H265)</f>
        <v>5606.3</v>
      </c>
      <c r="I236" s="92">
        <f>SUM('CA brut produits &amp; sites'!I254:I265)</f>
        <v>29086.91</v>
      </c>
      <c r="J236" s="92">
        <f>SUM('CA brut produits &amp; sites'!J254:J265)</f>
        <v>22633.5</v>
      </c>
      <c r="K236" s="92">
        <f>SUM('CA brut produits &amp; sites'!K254:K265)</f>
        <v>67190.58</v>
      </c>
      <c r="L236" s="92">
        <f>SUM('CA brut produits &amp; sites'!L254:L265)</f>
        <v>24339.309999999998</v>
      </c>
      <c r="M236" s="92">
        <f>SUM('CA brut produits &amp; sites'!M254:M265)</f>
        <v>3625.0600000000004</v>
      </c>
      <c r="N236" s="92">
        <f>SUM('CA brut produits &amp; sites'!N254:N265)</f>
        <v>1921.3</v>
      </c>
      <c r="O236" s="92">
        <f>SUM('CA brut produits &amp; sites'!O254:O265)</f>
        <v>0</v>
      </c>
      <c r="P236" s="93">
        <f>SUM('CA brut produits &amp; sites'!P254:P265)</f>
        <v>0</v>
      </c>
    </row>
    <row r="237" spans="1:16" x14ac:dyDescent="0.3">
      <c r="A237" s="87">
        <v>42979</v>
      </c>
      <c r="B237" s="146"/>
      <c r="C237" s="92">
        <f t="shared" si="35"/>
        <v>415273.66</v>
      </c>
      <c r="D237" s="92">
        <f>SUM('CA brut produits &amp; sites'!D255:D266)</f>
        <v>173731.43000000002</v>
      </c>
      <c r="E237" s="92">
        <f>SUM('CA brut produits &amp; sites'!E255:E266)</f>
        <v>45337.42</v>
      </c>
      <c r="F237" s="92">
        <f>SUM('CA brut produits &amp; sites'!F255:F266)</f>
        <v>19051.880000000005</v>
      </c>
      <c r="G237" s="92">
        <f>SUM('CA brut produits &amp; sites'!G255:G266)</f>
        <v>8005.39</v>
      </c>
      <c r="H237" s="92">
        <f>SUM('CA brut produits &amp; sites'!H255:H266)</f>
        <v>5802.170000000001</v>
      </c>
      <c r="I237" s="92">
        <f>SUM('CA brut produits &amp; sites'!I255:I266)</f>
        <v>30044</v>
      </c>
      <c r="J237" s="92">
        <f>SUM('CA brut produits &amp; sites'!J255:J266)</f>
        <v>36261</v>
      </c>
      <c r="K237" s="92">
        <f>SUM('CA brut produits &amp; sites'!K255:K266)</f>
        <v>67004.22</v>
      </c>
      <c r="L237" s="92">
        <f>SUM('CA brut produits &amp; sites'!L255:L266)</f>
        <v>24352.69</v>
      </c>
      <c r="M237" s="92">
        <f>SUM('CA brut produits &amp; sites'!M255:M266)</f>
        <v>3762.1600000000003</v>
      </c>
      <c r="N237" s="92">
        <f>SUM('CA brut produits &amp; sites'!N255:N266)</f>
        <v>1921.3</v>
      </c>
      <c r="O237" s="92">
        <f>SUM('CA brut produits &amp; sites'!O255:O266)</f>
        <v>0</v>
      </c>
      <c r="P237" s="93">
        <f>SUM('CA brut produits &amp; sites'!P255:P266)</f>
        <v>0</v>
      </c>
    </row>
    <row r="238" spans="1:16" x14ac:dyDescent="0.3">
      <c r="A238" s="87">
        <v>43009</v>
      </c>
      <c r="B238" s="146"/>
      <c r="C238" s="92">
        <f t="shared" si="35"/>
        <v>432793.95999999996</v>
      </c>
      <c r="D238" s="92">
        <f>SUM('CA brut produits &amp; sites'!D256:D267)</f>
        <v>185507.90999999997</v>
      </c>
      <c r="E238" s="92">
        <f>SUM('CA brut produits &amp; sites'!E256:E267)</f>
        <v>46363.89</v>
      </c>
      <c r="F238" s="92">
        <f>SUM('CA brut produits &amp; sites'!F256:F267)</f>
        <v>18698.8</v>
      </c>
      <c r="G238" s="92">
        <f>SUM('CA brut produits &amp; sites'!G256:G267)</f>
        <v>8823.56</v>
      </c>
      <c r="H238" s="92">
        <f>SUM('CA brut produits &amp; sites'!H256:H267)</f>
        <v>5747.38</v>
      </c>
      <c r="I238" s="92">
        <f>SUM('CA brut produits &amp; sites'!I256:I267)</f>
        <v>30944.750000000004</v>
      </c>
      <c r="J238" s="92">
        <f>SUM('CA brut produits &amp; sites'!J256:J267)</f>
        <v>32155</v>
      </c>
      <c r="K238" s="92">
        <f>SUM('CA brut produits &amp; sites'!K256:K267)</f>
        <v>74983.03</v>
      </c>
      <c r="L238" s="92">
        <f>SUM('CA brut produits &amp; sites'!L256:L267)</f>
        <v>23200.140000000003</v>
      </c>
      <c r="M238" s="92">
        <f>SUM('CA brut produits &amp; sites'!M256:M267)</f>
        <v>4448.2000000000007</v>
      </c>
      <c r="N238" s="92">
        <f>SUM('CA brut produits &amp; sites'!N256:N267)</f>
        <v>1921.3</v>
      </c>
      <c r="O238" s="92">
        <f>SUM('CA brut produits &amp; sites'!O256:O267)</f>
        <v>0</v>
      </c>
      <c r="P238" s="93">
        <f>SUM('CA brut produits &amp; sites'!P256:P267)</f>
        <v>0</v>
      </c>
    </row>
    <row r="239" spans="1:16" x14ac:dyDescent="0.3">
      <c r="A239" s="87">
        <v>43040</v>
      </c>
      <c r="B239" s="146"/>
      <c r="C239" s="92">
        <f t="shared" si="35"/>
        <v>448563.83</v>
      </c>
      <c r="D239" s="92">
        <f>SUM('CA brut produits &amp; sites'!D257:D268)</f>
        <v>192860.86</v>
      </c>
      <c r="E239" s="92">
        <f>SUM('CA brut produits &amp; sites'!E257:E268)</f>
        <v>44821.14</v>
      </c>
      <c r="F239" s="92">
        <f>SUM('CA brut produits &amp; sites'!F257:F268)</f>
        <v>19163.340000000004</v>
      </c>
      <c r="G239" s="92">
        <f>SUM('CA brut produits &amp; sites'!G257:G268)</f>
        <v>8699.93</v>
      </c>
      <c r="H239" s="92">
        <f>SUM('CA brut produits &amp; sites'!H257:H268)</f>
        <v>5620.71</v>
      </c>
      <c r="I239" s="92">
        <f>SUM('CA brut produits &amp; sites'!I257:I268)</f>
        <v>33230.620000000003</v>
      </c>
      <c r="J239" s="92">
        <f>SUM('CA brut produits &amp; sites'!J257:J268)</f>
        <v>32587</v>
      </c>
      <c r="K239" s="92">
        <f>SUM('CA brut produits &amp; sites'!K257:K268)</f>
        <v>82373.81</v>
      </c>
      <c r="L239" s="92">
        <f>SUM('CA brut produits &amp; sites'!L257:L268)</f>
        <v>22505.9</v>
      </c>
      <c r="M239" s="92">
        <f>SUM('CA brut produits &amp; sites'!M257:M268)</f>
        <v>4779.22</v>
      </c>
      <c r="N239" s="92">
        <f>SUM('CA brut produits &amp; sites'!N257:N268)</f>
        <v>1921.3</v>
      </c>
      <c r="O239" s="92">
        <f>SUM('CA brut produits &amp; sites'!O257:O268)</f>
        <v>0</v>
      </c>
      <c r="P239" s="93">
        <f>SUM('CA brut produits &amp; sites'!P257:P268)</f>
        <v>0</v>
      </c>
    </row>
    <row r="240" spans="1:16" x14ac:dyDescent="0.3">
      <c r="A240" s="87">
        <v>43070</v>
      </c>
      <c r="B240" s="146"/>
      <c r="C240" s="92">
        <f t="shared" si="35"/>
        <v>448134.14999999997</v>
      </c>
      <c r="D240" s="92">
        <f>SUM('CA brut produits &amp; sites'!D258:D269)</f>
        <v>191156.06</v>
      </c>
      <c r="E240" s="92">
        <f>SUM('CA brut produits &amp; sites'!E258:E269)</f>
        <v>44742.8</v>
      </c>
      <c r="F240" s="92">
        <f>SUM('CA brut produits &amp; sites'!F258:F269)</f>
        <v>18098.52</v>
      </c>
      <c r="G240" s="92">
        <f>SUM('CA brut produits &amp; sites'!G258:G269)</f>
        <v>7991.81</v>
      </c>
      <c r="H240" s="92">
        <f>SUM('CA brut produits &amp; sites'!H258:H269)</f>
        <v>4970.2299999999996</v>
      </c>
      <c r="I240" s="92">
        <f>SUM('CA brut produits &amp; sites'!I258:I269)</f>
        <v>33624.43</v>
      </c>
      <c r="J240" s="92">
        <f>SUM('CA brut produits &amp; sites'!J258:J269)</f>
        <v>38597</v>
      </c>
      <c r="K240" s="92">
        <f>SUM('CA brut produits &amp; sites'!K258:K269)</f>
        <v>81046.169999999984</v>
      </c>
      <c r="L240" s="92">
        <f>SUM('CA brut produits &amp; sites'!L258:L269)</f>
        <v>20955.09</v>
      </c>
      <c r="M240" s="92">
        <f>SUM('CA brut produits &amp; sites'!M258:M269)</f>
        <v>5423.92</v>
      </c>
      <c r="N240" s="92">
        <f>SUM('CA brut produits &amp; sites'!N258:N269)</f>
        <v>1528.12</v>
      </c>
      <c r="O240" s="92">
        <f>SUM('CA brut produits &amp; sites'!O258:O269)</f>
        <v>0</v>
      </c>
      <c r="P240" s="93">
        <f>SUM('CA brut produits &amp; sites'!P258:P269)</f>
        <v>0</v>
      </c>
    </row>
    <row r="241" spans="1:16" x14ac:dyDescent="0.3">
      <c r="A241" s="87">
        <v>43101</v>
      </c>
      <c r="B241" s="146"/>
      <c r="C241" s="92">
        <f t="shared" ref="C241:C268" si="36">SUM(D241:P241)</f>
        <v>449445.65000000008</v>
      </c>
      <c r="D241" s="92">
        <f>SUM('CA brut produits &amp; sites'!D259:D270)</f>
        <v>183132.28999999998</v>
      </c>
      <c r="E241" s="92">
        <f>SUM('CA brut produits &amp; sites'!E259:E270)</f>
        <v>44560.58</v>
      </c>
      <c r="F241" s="92">
        <f>SUM('CA brut produits &amp; sites'!F259:F270)</f>
        <v>19619.84</v>
      </c>
      <c r="G241" s="92">
        <f>SUM('CA brut produits &amp; sites'!G259:G270)</f>
        <v>9533.2900000000009</v>
      </c>
      <c r="H241" s="92">
        <f>SUM('CA brut produits &amp; sites'!H259:H270)</f>
        <v>4858.2299999999996</v>
      </c>
      <c r="I241" s="92">
        <f>SUM('CA brut produits &amp; sites'!I259:I270)</f>
        <v>37682.120000000003</v>
      </c>
      <c r="J241" s="92">
        <f>SUM('CA brut produits &amp; sites'!J259:J270)</f>
        <v>40729.5</v>
      </c>
      <c r="K241" s="92">
        <f>SUM('CA brut produits &amp; sites'!K259:K270)</f>
        <v>81949.459999999992</v>
      </c>
      <c r="L241" s="92">
        <f>SUM('CA brut produits &amp; sites'!L259:L270)</f>
        <v>20405.900000000001</v>
      </c>
      <c r="M241" s="92">
        <f>SUM('CA brut produits &amp; sites'!M259:M270)</f>
        <v>5479.96</v>
      </c>
      <c r="N241" s="92">
        <f>SUM('CA brut produits &amp; sites'!N259:N270)</f>
        <v>1325.98</v>
      </c>
      <c r="O241" s="92">
        <f>SUM('CA brut produits &amp; sites'!O259:O270)</f>
        <v>0</v>
      </c>
      <c r="P241" s="93">
        <f>SUM('CA brut produits &amp; sites'!P259:P270)</f>
        <v>168.5</v>
      </c>
    </row>
    <row r="242" spans="1:16" x14ac:dyDescent="0.3">
      <c r="A242" s="87">
        <v>43132</v>
      </c>
      <c r="B242" s="146"/>
      <c r="C242" s="92">
        <f t="shared" si="36"/>
        <v>444292.68000000005</v>
      </c>
      <c r="D242" s="92">
        <f>SUM('CA brut produits &amp; sites'!D260:D271)</f>
        <v>179179.89</v>
      </c>
      <c r="E242" s="92">
        <f>SUM('CA brut produits &amp; sites'!E260:E271)</f>
        <v>41967.890000000007</v>
      </c>
      <c r="F242" s="92">
        <f>SUM('CA brut produits &amp; sites'!F260:F271)</f>
        <v>20769.969999999998</v>
      </c>
      <c r="G242" s="92">
        <f>SUM('CA brut produits &amp; sites'!G260:G271)</f>
        <v>9698.2800000000007</v>
      </c>
      <c r="H242" s="92">
        <f>SUM('CA brut produits &amp; sites'!H260:H271)</f>
        <v>4389.2999999999993</v>
      </c>
      <c r="I242" s="92">
        <f>SUM('CA brut produits &amp; sites'!I260:I271)</f>
        <v>39180.730000000003</v>
      </c>
      <c r="J242" s="92">
        <f>SUM('CA brut produits &amp; sites'!J260:J271)</f>
        <v>41139.699999999997</v>
      </c>
      <c r="K242" s="92">
        <f>SUM('CA brut produits &amp; sites'!K260:K271)</f>
        <v>80813.600000000006</v>
      </c>
      <c r="L242" s="92">
        <f>SUM('CA brut produits &amp; sites'!L260:L271)</f>
        <v>20191.82</v>
      </c>
      <c r="M242" s="92">
        <f>SUM('CA brut produits &amp; sites'!M260:M271)</f>
        <v>4927.2099999999991</v>
      </c>
      <c r="N242" s="92">
        <f>SUM('CA brut produits &amp; sites'!N260:N271)</f>
        <v>1709.89</v>
      </c>
      <c r="O242" s="92">
        <f>SUM('CA brut produits &amp; sites'!O260:O271)</f>
        <v>0</v>
      </c>
      <c r="P242" s="93">
        <f>SUM('CA brut produits &amp; sites'!P260:P271)</f>
        <v>324.39999999999998</v>
      </c>
    </row>
    <row r="243" spans="1:16" x14ac:dyDescent="0.3">
      <c r="A243" s="87">
        <v>43160</v>
      </c>
      <c r="B243" s="146"/>
      <c r="C243" s="92">
        <f t="shared" si="36"/>
        <v>444708.1</v>
      </c>
      <c r="D243" s="92">
        <f>SUM('CA brut produits &amp; sites'!D261:D272)</f>
        <v>177631.43</v>
      </c>
      <c r="E243" s="92">
        <f>SUM('CA brut produits &amp; sites'!E261:E272)</f>
        <v>39680.050000000003</v>
      </c>
      <c r="F243" s="92">
        <f>SUM('CA brut produits &amp; sites'!F261:F272)</f>
        <v>20366.979999999996</v>
      </c>
      <c r="G243" s="92">
        <f>SUM('CA brut produits &amp; sites'!G261:G272)</f>
        <v>9625.4100000000017</v>
      </c>
      <c r="H243" s="92">
        <f>SUM('CA brut produits &amp; sites'!H261:H272)</f>
        <v>4755.3</v>
      </c>
      <c r="I243" s="92">
        <f>SUM('CA brut produits &amp; sites'!I261:I272)</f>
        <v>39382.950000000004</v>
      </c>
      <c r="J243" s="92">
        <f>SUM('CA brut produits &amp; sites'!J261:J272)</f>
        <v>42349.7</v>
      </c>
      <c r="K243" s="92">
        <f>SUM('CA brut produits &amp; sites'!K261:K272)</f>
        <v>82107.11</v>
      </c>
      <c r="L243" s="92">
        <f>SUM('CA brut produits &amp; sites'!L261:L272)</f>
        <v>19662.679999999997</v>
      </c>
      <c r="M243" s="92">
        <f>SUM('CA brut produits &amp; sites'!M261:M272)</f>
        <v>6257.1999999999989</v>
      </c>
      <c r="N243" s="92">
        <f>SUM('CA brut produits &amp; sites'!N261:N272)</f>
        <v>1709.89</v>
      </c>
      <c r="O243" s="92">
        <f>SUM('CA brut produits &amp; sites'!O261:O272)</f>
        <v>0</v>
      </c>
      <c r="P243" s="93">
        <f>SUM('CA brut produits &amp; sites'!P261:P272)</f>
        <v>1179.4000000000001</v>
      </c>
    </row>
    <row r="244" spans="1:16" x14ac:dyDescent="0.3">
      <c r="A244" s="87">
        <v>43191</v>
      </c>
      <c r="B244" s="146"/>
      <c r="C244" s="92">
        <f t="shared" si="36"/>
        <v>442349.04</v>
      </c>
      <c r="D244" s="92">
        <f>SUM('CA brut produits &amp; sites'!D262:D273)</f>
        <v>171802.11999999997</v>
      </c>
      <c r="E244" s="92">
        <f>SUM('CA brut produits &amp; sites'!E262:E273)</f>
        <v>38453.74</v>
      </c>
      <c r="F244" s="92">
        <f>SUM('CA brut produits &amp; sites'!F262:F273)</f>
        <v>20186.859999999997</v>
      </c>
      <c r="G244" s="92">
        <f>SUM('CA brut produits &amp; sites'!G262:G273)</f>
        <v>9791.7400000000016</v>
      </c>
      <c r="H244" s="92">
        <f>SUM('CA brut produits &amp; sites'!H262:H273)</f>
        <v>5242.9800000000005</v>
      </c>
      <c r="I244" s="92">
        <f>SUM('CA brut produits &amp; sites'!I262:I273)</f>
        <v>39319.11</v>
      </c>
      <c r="J244" s="92">
        <f>SUM('CA brut produits &amp; sites'!J262:J273)</f>
        <v>46923.729999999996</v>
      </c>
      <c r="K244" s="92">
        <f>SUM('CA brut produits &amp; sites'!K262:K273)</f>
        <v>82236.050000000017</v>
      </c>
      <c r="L244" s="92">
        <f>SUM('CA brut produits &amp; sites'!L262:L273)</f>
        <v>18685.979999999996</v>
      </c>
      <c r="M244" s="92">
        <f>SUM('CA brut produits &amp; sites'!M262:M273)</f>
        <v>6198.94</v>
      </c>
      <c r="N244" s="92">
        <f>SUM('CA brut produits &amp; sites'!N262:N273)</f>
        <v>1709.89</v>
      </c>
      <c r="O244" s="92">
        <f>SUM('CA brut produits &amp; sites'!O262:O273)</f>
        <v>0</v>
      </c>
      <c r="P244" s="93">
        <f>SUM('CA brut produits &amp; sites'!P262:P273)</f>
        <v>1797.9</v>
      </c>
    </row>
    <row r="245" spans="1:16" x14ac:dyDescent="0.3">
      <c r="A245" s="87">
        <v>43221</v>
      </c>
      <c r="B245" s="146"/>
      <c r="C245" s="92">
        <f t="shared" si="36"/>
        <v>439192.1999999999</v>
      </c>
      <c r="D245" s="92">
        <f>SUM('CA brut produits &amp; sites'!D263:D274)</f>
        <v>172175.4</v>
      </c>
      <c r="E245" s="92">
        <f>SUM('CA brut produits &amp; sites'!E263:E274)</f>
        <v>36765.769999999997</v>
      </c>
      <c r="F245" s="92">
        <f>SUM('CA brut produits &amp; sites'!F263:F274)</f>
        <v>21089.109999999997</v>
      </c>
      <c r="G245" s="92">
        <f>SUM('CA brut produits &amp; sites'!G263:G274)</f>
        <v>9245.7100000000009</v>
      </c>
      <c r="H245" s="92">
        <f>SUM('CA brut produits &amp; sites'!H263:H274)</f>
        <v>4581.58</v>
      </c>
      <c r="I245" s="92">
        <f>SUM('CA brut produits &amp; sites'!I263:I274)</f>
        <v>36015.679999999993</v>
      </c>
      <c r="J245" s="92">
        <f>SUM('CA brut produits &amp; sites'!J263:J274)</f>
        <v>46554.939999999995</v>
      </c>
      <c r="K245" s="92">
        <f>SUM('CA brut produits &amp; sites'!K263:K274)</f>
        <v>83437.999999999985</v>
      </c>
      <c r="L245" s="92">
        <f>SUM('CA brut produits &amp; sites'!L263:L274)</f>
        <v>17620.43</v>
      </c>
      <c r="M245" s="92">
        <f>SUM('CA brut produits &amp; sites'!M263:M274)</f>
        <v>5617.2900000000009</v>
      </c>
      <c r="N245" s="92">
        <f>SUM('CA brut produits &amp; sites'!N263:N274)</f>
        <v>4027.99</v>
      </c>
      <c r="O245" s="92">
        <f>SUM('CA brut produits &amp; sites'!O263:O274)</f>
        <v>0</v>
      </c>
      <c r="P245" s="93">
        <f>SUM('CA brut produits &amp; sites'!P263:P274)</f>
        <v>2060.3000000000002</v>
      </c>
    </row>
    <row r="246" spans="1:16" x14ac:dyDescent="0.3">
      <c r="A246" s="87">
        <v>43252</v>
      </c>
      <c r="B246" s="146"/>
      <c r="C246" s="92">
        <f t="shared" si="36"/>
        <v>433929.99999999994</v>
      </c>
      <c r="D246" s="92">
        <f>SUM('CA brut produits &amp; sites'!D264:D275)</f>
        <v>171854.85</v>
      </c>
      <c r="E246" s="92">
        <f>SUM('CA brut produits &amp; sites'!E264:E275)</f>
        <v>35857.68</v>
      </c>
      <c r="F246" s="92">
        <f>SUM('CA brut produits &amp; sites'!F264:F275)</f>
        <v>20159.21</v>
      </c>
      <c r="G246" s="92">
        <f>SUM('CA brut produits &amp; sites'!G264:G275)</f>
        <v>8537.5199999999986</v>
      </c>
      <c r="H246" s="92">
        <f>SUM('CA brut produits &amp; sites'!H264:H275)</f>
        <v>4722.58</v>
      </c>
      <c r="I246" s="92">
        <f>SUM('CA brut produits &amp; sites'!I264:I275)</f>
        <v>37535.86</v>
      </c>
      <c r="J246" s="92">
        <f>SUM('CA brut produits &amp; sites'!J264:J275)</f>
        <v>43418.939999999995</v>
      </c>
      <c r="K246" s="92">
        <f>SUM('CA brut produits &amp; sites'!K264:K275)</f>
        <v>84513.409999999989</v>
      </c>
      <c r="L246" s="92">
        <f>SUM('CA brut produits &amp; sites'!L264:L275)</f>
        <v>16750.8</v>
      </c>
      <c r="M246" s="92">
        <f>SUM('CA brut produits &amp; sites'!M264:M275)</f>
        <v>5814.8400000000011</v>
      </c>
      <c r="N246" s="92">
        <f>SUM('CA brut produits &amp; sites'!N264:N275)</f>
        <v>2702.0099999999998</v>
      </c>
      <c r="O246" s="92">
        <f>SUM('CA brut produits &amp; sites'!O264:O275)</f>
        <v>0</v>
      </c>
      <c r="P246" s="93">
        <f>SUM('CA brut produits &amp; sites'!P264:P275)</f>
        <v>2062.3000000000002</v>
      </c>
    </row>
    <row r="247" spans="1:16" x14ac:dyDescent="0.3">
      <c r="A247" s="87">
        <v>43282</v>
      </c>
      <c r="B247" s="146"/>
      <c r="C247" s="92">
        <f t="shared" si="36"/>
        <v>439182.78</v>
      </c>
      <c r="D247" s="92">
        <f>SUM('CA brut produits &amp; sites'!D265:D276)</f>
        <v>175739.38</v>
      </c>
      <c r="E247" s="92">
        <f>SUM('CA brut produits &amp; sites'!E265:E276)</f>
        <v>37242.949999999997</v>
      </c>
      <c r="F247" s="92">
        <f>SUM('CA brut produits &amp; sites'!F265:F276)</f>
        <v>18206.439999999999</v>
      </c>
      <c r="G247" s="92">
        <f>SUM('CA brut produits &amp; sites'!G265:G276)</f>
        <v>9076.76</v>
      </c>
      <c r="H247" s="92">
        <f>SUM('CA brut produits &amp; sites'!H265:H276)</f>
        <v>3773.9199999999996</v>
      </c>
      <c r="I247" s="92">
        <f>SUM('CA brut produits &amp; sites'!I265:I276)</f>
        <v>38795.54</v>
      </c>
      <c r="J247" s="92">
        <f>SUM('CA brut produits &amp; sites'!J265:J276)</f>
        <v>44446.939999999995</v>
      </c>
      <c r="K247" s="92">
        <f>SUM('CA brut produits &amp; sites'!K265:K276)</f>
        <v>84794.36</v>
      </c>
      <c r="L247" s="92">
        <f>SUM('CA brut produits &amp; sites'!L265:L276)</f>
        <v>16334.27</v>
      </c>
      <c r="M247" s="92">
        <f>SUM('CA brut produits &amp; sites'!M265:M276)</f>
        <v>5662.9100000000008</v>
      </c>
      <c r="N247" s="92">
        <f>SUM('CA brut produits &amp; sites'!N265:N276)</f>
        <v>2702.0099999999998</v>
      </c>
      <c r="O247" s="92">
        <f>SUM('CA brut produits &amp; sites'!O265:O276)</f>
        <v>0</v>
      </c>
      <c r="P247" s="93">
        <f>SUM('CA brut produits &amp; sites'!P265:P276)</f>
        <v>2407.3000000000002</v>
      </c>
    </row>
    <row r="248" spans="1:16" x14ac:dyDescent="0.3">
      <c r="A248" s="87">
        <v>43313</v>
      </c>
      <c r="B248" s="146"/>
      <c r="C248" s="92">
        <f t="shared" si="36"/>
        <v>444082.96</v>
      </c>
      <c r="D248" s="92">
        <f>SUM('CA brut produits &amp; sites'!D266:D277)</f>
        <v>180179.01</v>
      </c>
      <c r="E248" s="92">
        <f>SUM('CA brut produits &amp; sites'!E266:E277)</f>
        <v>36986.739999999991</v>
      </c>
      <c r="F248" s="92">
        <f>SUM('CA brut produits &amp; sites'!F266:F277)</f>
        <v>18090.09</v>
      </c>
      <c r="G248" s="92">
        <f>SUM('CA brut produits &amp; sites'!G266:G277)</f>
        <v>9163.91</v>
      </c>
      <c r="H248" s="92">
        <f>SUM('CA brut produits &amp; sites'!H266:H277)</f>
        <v>3636.0099999999998</v>
      </c>
      <c r="I248" s="92">
        <f>SUM('CA brut produits &amp; sites'!I266:I277)</f>
        <v>38938.700000000004</v>
      </c>
      <c r="J248" s="92">
        <f>SUM('CA brut produits &amp; sites'!J266:J277)</f>
        <v>44341.939999999995</v>
      </c>
      <c r="K248" s="92">
        <f>SUM('CA brut produits &amp; sites'!K266:K277)</f>
        <v>86755.51</v>
      </c>
      <c r="L248" s="92">
        <f>SUM('CA brut produits &amp; sites'!L266:L277)</f>
        <v>15512.720000000001</v>
      </c>
      <c r="M248" s="92">
        <f>SUM('CA brut produits &amp; sites'!M266:M277)</f>
        <v>5279.0200000000013</v>
      </c>
      <c r="N248" s="92">
        <f>SUM('CA brut produits &amp; sites'!N266:N277)</f>
        <v>2702.0099999999998</v>
      </c>
      <c r="O248" s="92">
        <f>SUM('CA brut produits &amp; sites'!O266:O277)</f>
        <v>0</v>
      </c>
      <c r="P248" s="93">
        <f>SUM('CA brut produits &amp; sites'!P266:P277)</f>
        <v>2497.3000000000002</v>
      </c>
    </row>
    <row r="249" spans="1:16" x14ac:dyDescent="0.3">
      <c r="A249" s="87">
        <v>43344</v>
      </c>
      <c r="B249" s="146"/>
      <c r="C249" s="92">
        <f t="shared" si="36"/>
        <v>430384.23999999993</v>
      </c>
      <c r="D249" s="92">
        <f>SUM('CA brut produits &amp; sites'!D267:D278)</f>
        <v>175503.22</v>
      </c>
      <c r="E249" s="92">
        <f>SUM('CA brut produits &amp; sites'!E267:E278)</f>
        <v>37806.290000000008</v>
      </c>
      <c r="F249" s="92">
        <f>SUM('CA brut produits &amp; sites'!F267:F278)</f>
        <v>18199.79</v>
      </c>
      <c r="G249" s="92">
        <f>SUM('CA brut produits &amp; sites'!G267:G278)</f>
        <v>9262.15</v>
      </c>
      <c r="H249" s="92">
        <f>SUM('CA brut produits &amp; sites'!H267:H278)</f>
        <v>3399.59</v>
      </c>
      <c r="I249" s="92">
        <f>SUM('CA brut produits &amp; sites'!I267:I278)</f>
        <v>39642.340000000004</v>
      </c>
      <c r="J249" s="92">
        <f>SUM('CA brut produits &amp; sites'!J267:J278)</f>
        <v>35017.94</v>
      </c>
      <c r="K249" s="92">
        <f>SUM('CA brut produits &amp; sites'!K267:K278)</f>
        <v>86216.42</v>
      </c>
      <c r="L249" s="92">
        <f>SUM('CA brut produits &amp; sites'!L267:L278)</f>
        <v>15005.970000000001</v>
      </c>
      <c r="M249" s="92">
        <f>SUM('CA brut produits &amp; sites'!M267:M278)</f>
        <v>5025.2200000000012</v>
      </c>
      <c r="N249" s="92">
        <f>SUM('CA brut produits &amp; sites'!N267:N278)</f>
        <v>2702.0099999999998</v>
      </c>
      <c r="O249" s="92">
        <f>SUM('CA brut produits &amp; sites'!O267:O278)</f>
        <v>0</v>
      </c>
      <c r="P249" s="93">
        <f>SUM('CA brut produits &amp; sites'!P267:P278)</f>
        <v>2603.3000000000002</v>
      </c>
    </row>
    <row r="250" spans="1:16" x14ac:dyDescent="0.3">
      <c r="A250" s="87">
        <v>43374</v>
      </c>
      <c r="B250" s="146"/>
      <c r="C250" s="92">
        <f t="shared" si="36"/>
        <v>419236.3</v>
      </c>
      <c r="D250" s="92">
        <f>SUM('CA brut produits &amp; sites'!D268:D279)</f>
        <v>168084.14</v>
      </c>
      <c r="E250" s="92">
        <f>SUM('CA brut produits &amp; sites'!E268:E279)</f>
        <v>37103.360000000001</v>
      </c>
      <c r="F250" s="92">
        <f>SUM('CA brut produits &amp; sites'!F268:F279)</f>
        <v>18379.789999999997</v>
      </c>
      <c r="G250" s="92">
        <f>SUM('CA brut produits &amp; sites'!G268:G279)</f>
        <v>8805.6899999999987</v>
      </c>
      <c r="H250" s="92">
        <f>SUM('CA brut produits &amp; sites'!H268:H279)</f>
        <v>2922.44</v>
      </c>
      <c r="I250" s="92">
        <f>SUM('CA brut produits &amp; sites'!I268:I279)</f>
        <v>39463.39</v>
      </c>
      <c r="J250" s="92">
        <f>SUM('CA brut produits &amp; sites'!J268:J279)</f>
        <v>36741.94</v>
      </c>
      <c r="K250" s="92">
        <f>SUM('CA brut produits &amp; sites'!K268:K279)</f>
        <v>81525.19</v>
      </c>
      <c r="L250" s="92">
        <f>SUM('CA brut produits &amp; sites'!L268:L279)</f>
        <v>15328.659999999998</v>
      </c>
      <c r="M250" s="92">
        <f>SUM('CA brut produits &amp; sites'!M268:M279)</f>
        <v>5368.6900000000005</v>
      </c>
      <c r="N250" s="92">
        <f>SUM('CA brut produits &amp; sites'!N268:N279)</f>
        <v>2702.0099999999998</v>
      </c>
      <c r="O250" s="92">
        <f>SUM('CA brut produits &amp; sites'!O268:O279)</f>
        <v>0</v>
      </c>
      <c r="P250" s="93">
        <f>SUM('CA brut produits &amp; sites'!P268:P279)</f>
        <v>2811</v>
      </c>
    </row>
    <row r="251" spans="1:16" x14ac:dyDescent="0.3">
      <c r="A251" s="87">
        <v>43405</v>
      </c>
      <c r="B251" s="146"/>
      <c r="C251" s="92">
        <f t="shared" si="36"/>
        <v>410879.89000000007</v>
      </c>
      <c r="D251" s="92">
        <f>SUM('CA brut produits &amp; sites'!D269:D280)</f>
        <v>161859.4</v>
      </c>
      <c r="E251" s="92">
        <f>SUM('CA brut produits &amp; sites'!E269:E280)</f>
        <v>38434.479999999996</v>
      </c>
      <c r="F251" s="92">
        <f>SUM('CA brut produits &amp; sites'!F269:F280)</f>
        <v>18677.170000000002</v>
      </c>
      <c r="G251" s="92">
        <f>SUM('CA brut produits &amp; sites'!G269:G280)</f>
        <v>8272.3599999999988</v>
      </c>
      <c r="H251" s="92">
        <f>SUM('CA brut produits &amp; sites'!H269:H280)</f>
        <v>4090.2200000000003</v>
      </c>
      <c r="I251" s="92">
        <f>SUM('CA brut produits &amp; sites'!I269:I280)</f>
        <v>38048.26</v>
      </c>
      <c r="J251" s="92">
        <f>SUM('CA brut produits &amp; sites'!J269:J280)</f>
        <v>38513.94</v>
      </c>
      <c r="K251" s="92">
        <f>SUM('CA brut produits &amp; sites'!K269:K280)</f>
        <v>76335.09</v>
      </c>
      <c r="L251" s="92">
        <f>SUM('CA brut produits &amp; sites'!L269:L280)</f>
        <v>15660.379999999997</v>
      </c>
      <c r="M251" s="92">
        <f>SUM('CA brut produits &amp; sites'!M269:M280)</f>
        <v>4989.58</v>
      </c>
      <c r="N251" s="92">
        <f>SUM('CA brut produits &amp; sites'!N269:N280)</f>
        <v>2702.0099999999998</v>
      </c>
      <c r="O251" s="92">
        <f>SUM('CA brut produits &amp; sites'!O269:O280)</f>
        <v>0</v>
      </c>
      <c r="P251" s="93">
        <f>SUM('CA brut produits &amp; sites'!P269:P280)</f>
        <v>3297</v>
      </c>
    </row>
    <row r="252" spans="1:16" x14ac:dyDescent="0.3">
      <c r="A252" s="94">
        <v>43435</v>
      </c>
      <c r="B252" s="146"/>
      <c r="C252" s="92">
        <f t="shared" si="36"/>
        <v>421933.23</v>
      </c>
      <c r="D252" s="92">
        <f>SUM('CA brut produits &amp; sites'!D270:D281)</f>
        <v>169851.63999999998</v>
      </c>
      <c r="E252" s="92">
        <f>SUM('CA brut produits &amp; sites'!E270:E281)</f>
        <v>37644.11</v>
      </c>
      <c r="F252" s="92">
        <f>SUM('CA brut produits &amp; sites'!F270:F281)</f>
        <v>19532.84</v>
      </c>
      <c r="G252" s="92">
        <f>SUM('CA brut produits &amp; sites'!G270:G281)</f>
        <v>8231.08</v>
      </c>
      <c r="H252" s="92">
        <f>SUM('CA brut produits &amp; sites'!H270:H281)</f>
        <v>4498.3200000000006</v>
      </c>
      <c r="I252" s="92">
        <f>SUM('CA brut produits &amp; sites'!I270:I281)</f>
        <v>41804.19</v>
      </c>
      <c r="J252" s="92">
        <f>SUM('CA brut produits &amp; sites'!J270:J281)</f>
        <v>37018.94</v>
      </c>
      <c r="K252" s="92">
        <f>SUM('CA brut produits &amp; sites'!K270:K281)</f>
        <v>77173.09</v>
      </c>
      <c r="L252" s="92">
        <f>SUM('CA brut produits &amp; sites'!L270:L281)</f>
        <v>15899.779999999999</v>
      </c>
      <c r="M252" s="92">
        <f>SUM('CA brut produits &amp; sites'!M270:M281)</f>
        <v>4277.2299999999996</v>
      </c>
      <c r="N252" s="92">
        <f>SUM('CA brut produits &amp; sites'!N270:N281)</f>
        <v>2702.0099999999998</v>
      </c>
      <c r="O252" s="92">
        <f>SUM('CA brut produits &amp; sites'!O270:O281)</f>
        <v>0</v>
      </c>
      <c r="P252" s="93">
        <f>SUM('CA brut produits &amp; sites'!P270:P281)</f>
        <v>3300</v>
      </c>
    </row>
    <row r="253" spans="1:16" x14ac:dyDescent="0.3">
      <c r="A253" s="94">
        <v>43466</v>
      </c>
      <c r="B253" s="146"/>
      <c r="C253" s="92">
        <f t="shared" si="36"/>
        <v>412963.75999999989</v>
      </c>
      <c r="D253" s="92">
        <f>SUM('CA brut produits &amp; sites'!D271:D282)</f>
        <v>169989.51999999996</v>
      </c>
      <c r="E253" s="92">
        <f>SUM('CA brut produits &amp; sites'!E271:E282)</f>
        <v>35515.82</v>
      </c>
      <c r="F253" s="92">
        <f>SUM('CA brut produits &amp; sites'!F271:F282)</f>
        <v>17770.38</v>
      </c>
      <c r="G253" s="92">
        <f>SUM('CA brut produits &amp; sites'!G271:G282)</f>
        <v>6772.7399999999989</v>
      </c>
      <c r="H253" s="92">
        <f>SUM('CA brut produits &amp; sites'!H271:H282)</f>
        <v>4498.3200000000006</v>
      </c>
      <c r="I253" s="92">
        <f>SUM('CA brut produits &amp; sites'!I271:I282)</f>
        <v>41735.659999999996</v>
      </c>
      <c r="J253" s="92">
        <f>SUM('CA brut produits &amp; sites'!J271:J282)</f>
        <v>34162.920000000006</v>
      </c>
      <c r="K253" s="92">
        <f>SUM('CA brut produits &amp; sites'!K271:K282)</f>
        <v>76116.179999999993</v>
      </c>
      <c r="L253" s="92">
        <f>SUM('CA brut produits &amp; sites'!L271:L282)</f>
        <v>15226.06</v>
      </c>
      <c r="M253" s="92">
        <f>SUM('CA brut produits &amp; sites'!M271:M282)</f>
        <v>4235.9900000000007</v>
      </c>
      <c r="N253" s="92">
        <f>SUM('CA brut produits &amp; sites'!N271:N282)</f>
        <v>2702.0099999999998</v>
      </c>
      <c r="O253" s="92">
        <f>SUM('CA brut produits &amp; sites'!O271:O282)</f>
        <v>1082.8599999999999</v>
      </c>
      <c r="P253" s="93">
        <f>SUM('CA brut produits &amp; sites'!P271:P282)</f>
        <v>3155.3</v>
      </c>
    </row>
    <row r="254" spans="1:16" x14ac:dyDescent="0.3">
      <c r="A254" s="94">
        <v>43497</v>
      </c>
      <c r="B254" s="146"/>
      <c r="C254" s="92">
        <f t="shared" si="36"/>
        <v>409779.27000000008</v>
      </c>
      <c r="D254" s="92">
        <f>SUM('CA brut produits &amp; sites'!D272:D283)</f>
        <v>168534.80999999997</v>
      </c>
      <c r="E254" s="92">
        <f>SUM('CA brut produits &amp; sites'!E272:E283)</f>
        <v>35822.460000000006</v>
      </c>
      <c r="F254" s="92">
        <f>SUM('CA brut produits &amp; sites'!F272:F283)</f>
        <v>16341.359999999997</v>
      </c>
      <c r="G254" s="92">
        <f>SUM('CA brut produits &amp; sites'!G272:G283)</f>
        <v>6328.89</v>
      </c>
      <c r="H254" s="92">
        <f>SUM('CA brut produits &amp; sites'!H272:H283)</f>
        <v>4528.12</v>
      </c>
      <c r="I254" s="92">
        <f>SUM('CA brut produits &amp; sites'!I272:I283)</f>
        <v>41353.520000000004</v>
      </c>
      <c r="J254" s="92">
        <f>SUM('CA brut produits &amp; sites'!J272:J283)</f>
        <v>35340.720000000001</v>
      </c>
      <c r="K254" s="92">
        <f>SUM('CA brut produits &amp; sites'!K272:K283)</f>
        <v>76525.03</v>
      </c>
      <c r="L254" s="92">
        <f>SUM('CA brut produits &amp; sites'!L272:L283)</f>
        <v>14222.69</v>
      </c>
      <c r="M254" s="92">
        <f>SUM('CA brut produits &amp; sites'!M272:M283)</f>
        <v>3422.59</v>
      </c>
      <c r="N254" s="92">
        <f>SUM('CA brut produits &amp; sites'!N272:N283)</f>
        <v>2318.1</v>
      </c>
      <c r="O254" s="92">
        <f>SUM('CA brut produits &amp; sites'!O272:O283)</f>
        <v>1943.58</v>
      </c>
      <c r="P254" s="93">
        <f>SUM('CA brut produits &amp; sites'!P272:P283)</f>
        <v>3097.4</v>
      </c>
    </row>
    <row r="255" spans="1:16" x14ac:dyDescent="0.3">
      <c r="A255" s="94">
        <v>43525</v>
      </c>
      <c r="B255" s="146"/>
      <c r="C255" s="92">
        <f t="shared" si="36"/>
        <v>415406.11</v>
      </c>
      <c r="D255" s="92">
        <f>SUM('CA brut produits &amp; sites'!D273:D284)</f>
        <v>168383.12</v>
      </c>
      <c r="E255" s="92">
        <f>SUM('CA brut produits &amp; sites'!E273:E284)</f>
        <v>36129.009999999995</v>
      </c>
      <c r="F255" s="92">
        <f>SUM('CA brut produits &amp; sites'!F273:F284)</f>
        <v>16934.829999999998</v>
      </c>
      <c r="G255" s="92">
        <f>SUM('CA brut produits &amp; sites'!G273:G284)</f>
        <v>5767.66</v>
      </c>
      <c r="H255" s="92">
        <f>SUM('CA brut produits &amp; sites'!H273:H284)</f>
        <v>3999.12</v>
      </c>
      <c r="I255" s="92">
        <f>SUM('CA brut produits &amp; sites'!I273:I284)</f>
        <v>39237.69</v>
      </c>
      <c r="J255" s="92">
        <f>SUM('CA brut produits &amp; sites'!J273:J284)</f>
        <v>45384.72</v>
      </c>
      <c r="K255" s="92">
        <f>SUM('CA brut produits &amp; sites'!K273:K284)</f>
        <v>74648.87</v>
      </c>
      <c r="L255" s="92">
        <f>SUM('CA brut produits &amp; sites'!L273:L284)</f>
        <v>14697.960000000003</v>
      </c>
      <c r="M255" s="92">
        <f>SUM('CA brut produits &amp; sites'!M273:M284)</f>
        <v>1847.18</v>
      </c>
      <c r="N255" s="92">
        <f>SUM('CA brut produits &amp; sites'!N273:N284)</f>
        <v>2318.1</v>
      </c>
      <c r="O255" s="92">
        <f>SUM('CA brut produits &amp; sites'!O273:O284)</f>
        <v>2954.05</v>
      </c>
      <c r="P255" s="93">
        <f>SUM('CA brut produits &amp; sites'!P273:P284)</f>
        <v>3103.8000000000006</v>
      </c>
    </row>
    <row r="256" spans="1:16" x14ac:dyDescent="0.3">
      <c r="A256" s="94">
        <v>43556</v>
      </c>
      <c r="B256" s="146"/>
      <c r="C256" s="92">
        <f t="shared" si="36"/>
        <v>415210.86999999994</v>
      </c>
      <c r="D256" s="92">
        <f>SUM('CA brut produits &amp; sites'!D274:D285)</f>
        <v>172259.74000000002</v>
      </c>
      <c r="E256" s="92">
        <f>SUM('CA brut produits &amp; sites'!E274:E285)</f>
        <v>36861.47</v>
      </c>
      <c r="F256" s="92">
        <f>SUM('CA brut produits &amp; sites'!F274:F285)</f>
        <v>16577.46</v>
      </c>
      <c r="G256" s="92">
        <f>SUM('CA brut produits &amp; sites'!G274:G285)</f>
        <v>5806.8200000000006</v>
      </c>
      <c r="H256" s="92">
        <f>SUM('CA brut produits &amp; sites'!H274:H285)</f>
        <v>3667.4399999999996</v>
      </c>
      <c r="I256" s="92">
        <f>SUM('CA brut produits &amp; sites'!I274:I285)</f>
        <v>38423.57</v>
      </c>
      <c r="J256" s="92">
        <f>SUM('CA brut produits &amp; sites'!J274:J285)</f>
        <v>40495.89</v>
      </c>
      <c r="K256" s="92">
        <f>SUM('CA brut produits &amp; sites'!K274:K285)</f>
        <v>74672.639999999999</v>
      </c>
      <c r="L256" s="92">
        <f>SUM('CA brut produits &amp; sites'!L274:L285)</f>
        <v>13981.410000000002</v>
      </c>
      <c r="M256" s="92">
        <f>SUM('CA brut produits &amp; sites'!M274:M285)</f>
        <v>1826.9700000000003</v>
      </c>
      <c r="N256" s="92">
        <f>SUM('CA brut produits &amp; sites'!N274:N285)</f>
        <v>2318.1</v>
      </c>
      <c r="O256" s="92">
        <f>SUM('CA brut produits &amp; sites'!O274:O285)</f>
        <v>5565.66</v>
      </c>
      <c r="P256" s="93">
        <f>SUM('CA brut produits &amp; sites'!P274:P285)</f>
        <v>2753.7</v>
      </c>
    </row>
    <row r="257" spans="1:16" x14ac:dyDescent="0.3">
      <c r="A257" s="94">
        <v>43586</v>
      </c>
      <c r="B257" s="146"/>
      <c r="C257" s="92">
        <f t="shared" si="36"/>
        <v>426483.33999999991</v>
      </c>
      <c r="D257" s="92">
        <f>SUM('CA brut produits &amp; sites'!D275:D286)</f>
        <v>181844.49999999997</v>
      </c>
      <c r="E257" s="92">
        <f>SUM('CA brut produits &amp; sites'!E275:E286)</f>
        <v>36102.33</v>
      </c>
      <c r="F257" s="92">
        <f>SUM('CA brut produits &amp; sites'!F275:F286)</f>
        <v>16293.71</v>
      </c>
      <c r="G257" s="92">
        <f>SUM('CA brut produits &amp; sites'!G275:G286)</f>
        <v>5561.8</v>
      </c>
      <c r="H257" s="92">
        <f>SUM('CA brut produits &amp; sites'!H275:H286)</f>
        <v>3667.44</v>
      </c>
      <c r="I257" s="92">
        <f>SUM('CA brut produits &amp; sites'!I275:I286)</f>
        <v>38749.919999999998</v>
      </c>
      <c r="J257" s="92">
        <f>SUM('CA brut produits &amp; sites'!J275:J286)</f>
        <v>40752.679999999993</v>
      </c>
      <c r="K257" s="92">
        <f>SUM('CA brut produits &amp; sites'!K275:K286)</f>
        <v>76312.419999999984</v>
      </c>
      <c r="L257" s="92">
        <f>SUM('CA brut produits &amp; sites'!L275:L286)</f>
        <v>13732.000000000002</v>
      </c>
      <c r="M257" s="92">
        <f>SUM('CA brut produits &amp; sites'!M275:M286)</f>
        <v>1769.6200000000001</v>
      </c>
      <c r="N257" s="92">
        <f>SUM('CA brut produits &amp; sites'!N275:N286)</f>
        <v>0</v>
      </c>
      <c r="O257" s="92">
        <f>SUM('CA brut produits &amp; sites'!O275:O286)</f>
        <v>8528.619999999999</v>
      </c>
      <c r="P257" s="93">
        <f>SUM('CA brut produits &amp; sites'!P275:P286)</f>
        <v>3168.3</v>
      </c>
    </row>
    <row r="258" spans="1:16" x14ac:dyDescent="0.3">
      <c r="A258" s="94">
        <v>43617</v>
      </c>
      <c r="B258" s="146"/>
      <c r="C258" s="92">
        <f t="shared" si="36"/>
        <v>428233.1</v>
      </c>
      <c r="D258" s="92">
        <f>SUM('CA brut produits &amp; sites'!D276:D287)</f>
        <v>185145.1</v>
      </c>
      <c r="E258" s="92">
        <f>SUM('CA brut produits &amp; sites'!E276:E287)</f>
        <v>36340.929999999993</v>
      </c>
      <c r="F258" s="92">
        <f>SUM('CA brut produits &amp; sites'!F276:F287)</f>
        <v>16411.939999999999</v>
      </c>
      <c r="G258" s="92">
        <f>SUM('CA brut produits &amp; sites'!G276:G287)</f>
        <v>5586.67</v>
      </c>
      <c r="H258" s="92">
        <f>SUM('CA brut produits &amp; sites'!H276:H287)</f>
        <v>3793.89</v>
      </c>
      <c r="I258" s="92">
        <f>SUM('CA brut produits &amp; sites'!I276:I287)</f>
        <v>35833.090000000004</v>
      </c>
      <c r="J258" s="92">
        <f>SUM('CA brut produits &amp; sites'!J276:J287)</f>
        <v>40350.679999999993</v>
      </c>
      <c r="K258" s="92">
        <f>SUM('CA brut produits &amp; sites'!K276:K287)</f>
        <v>76902.079999999987</v>
      </c>
      <c r="L258" s="92">
        <f>SUM('CA brut produits &amp; sites'!L276:L287)</f>
        <v>12339.810000000001</v>
      </c>
      <c r="M258" s="92">
        <f>SUM('CA brut produits &amp; sites'!M276:M287)</f>
        <v>1582.5500000000002</v>
      </c>
      <c r="N258" s="92">
        <f>SUM('CA brut produits &amp; sites'!N276:N287)</f>
        <v>0</v>
      </c>
      <c r="O258" s="92">
        <f>SUM('CA brut produits &amp; sites'!O276:O287)</f>
        <v>10757.06</v>
      </c>
      <c r="P258" s="93">
        <f>SUM('CA brut produits &amp; sites'!P276:P287)</f>
        <v>3189.3</v>
      </c>
    </row>
    <row r="259" spans="1:16" x14ac:dyDescent="0.3">
      <c r="A259" s="94">
        <v>43647</v>
      </c>
      <c r="B259" s="146"/>
      <c r="C259" s="92">
        <f t="shared" si="36"/>
        <v>422388.7699999999</v>
      </c>
      <c r="D259" s="92">
        <f>SUM('CA brut produits &amp; sites'!D277:D288)</f>
        <v>180400.45</v>
      </c>
      <c r="E259" s="92">
        <f>SUM('CA brut produits &amp; sites'!E277:E288)</f>
        <v>35205.61</v>
      </c>
      <c r="F259" s="92">
        <f>SUM('CA brut produits &amp; sites'!F277:F288)</f>
        <v>17606.879999999997</v>
      </c>
      <c r="G259" s="92">
        <f>SUM('CA brut produits &amp; sites'!G277:G288)</f>
        <v>5029.1900000000005</v>
      </c>
      <c r="H259" s="92">
        <f>SUM('CA brut produits &amp; sites'!H277:H288)</f>
        <v>4355.5499999999993</v>
      </c>
      <c r="I259" s="92">
        <f>SUM('CA brut produits &amp; sites'!I277:I288)</f>
        <v>33570.25</v>
      </c>
      <c r="J259" s="92">
        <f>SUM('CA brut produits &amp; sites'!J277:J288)</f>
        <v>40724.679999999993</v>
      </c>
      <c r="K259" s="92">
        <f>SUM('CA brut produits &amp; sites'!K277:K288)</f>
        <v>76828.009999999995</v>
      </c>
      <c r="L259" s="92">
        <f>SUM('CA brut produits &amp; sites'!L277:L288)</f>
        <v>10636.73</v>
      </c>
      <c r="M259" s="92">
        <f>SUM('CA brut produits &amp; sites'!M277:M288)</f>
        <v>1672.16</v>
      </c>
      <c r="N259" s="92">
        <f>SUM('CA brut produits &amp; sites'!N277:N288)</f>
        <v>488.85</v>
      </c>
      <c r="O259" s="92">
        <f>SUM('CA brut produits &amp; sites'!O277:O288)</f>
        <v>13026.11</v>
      </c>
      <c r="P259" s="93">
        <f>SUM('CA brut produits &amp; sites'!P277:P288)</f>
        <v>2844.3</v>
      </c>
    </row>
    <row r="260" spans="1:16" x14ac:dyDescent="0.3">
      <c r="A260" s="94">
        <v>43678</v>
      </c>
      <c r="B260" s="146"/>
      <c r="C260" s="92">
        <f t="shared" si="36"/>
        <v>416002.82999999996</v>
      </c>
      <c r="D260" s="92">
        <f>SUM('CA brut produits &amp; sites'!D278:D289)</f>
        <v>177186.25</v>
      </c>
      <c r="E260" s="92">
        <f>SUM('CA brut produits &amp; sites'!E278:E289)</f>
        <v>33980.300000000003</v>
      </c>
      <c r="F260" s="92">
        <f>SUM('CA brut produits &amp; sites'!F278:F289)</f>
        <v>17356.199999999997</v>
      </c>
      <c r="G260" s="92">
        <f>SUM('CA brut produits &amp; sites'!G278:G289)</f>
        <v>4802.6500000000005</v>
      </c>
      <c r="H260" s="92">
        <f>SUM('CA brut produits &amp; sites'!H278:H289)</f>
        <v>4467.5499999999993</v>
      </c>
      <c r="I260" s="92">
        <f>SUM('CA brut produits &amp; sites'!I278:I289)</f>
        <v>32221.610000000004</v>
      </c>
      <c r="J260" s="92">
        <f>SUM('CA brut produits &amp; sites'!J278:J289)</f>
        <v>41131.569999999992</v>
      </c>
      <c r="K260" s="92">
        <f>SUM('CA brut produits &amp; sites'!K278:K289)</f>
        <v>74479.62999999999</v>
      </c>
      <c r="L260" s="92">
        <f>SUM('CA brut produits &amp; sites'!L278:L289)</f>
        <v>9596.36</v>
      </c>
      <c r="M260" s="92">
        <f>SUM('CA brut produits &amp; sites'!M278:M289)</f>
        <v>1744.16</v>
      </c>
      <c r="N260" s="92">
        <f>SUM('CA brut produits &amp; sites'!N278:N289)</f>
        <v>488.85</v>
      </c>
      <c r="O260" s="92">
        <f>SUM('CA brut produits &amp; sites'!O278:O289)</f>
        <v>15793.400000000001</v>
      </c>
      <c r="P260" s="93">
        <f>SUM('CA brut produits &amp; sites'!P278:P289)</f>
        <v>2754.3</v>
      </c>
    </row>
    <row r="261" spans="1:16" x14ac:dyDescent="0.3">
      <c r="A261" s="94">
        <v>43709</v>
      </c>
      <c r="B261" s="146"/>
      <c r="C261" s="92">
        <f t="shared" si="36"/>
        <v>402932.26999999996</v>
      </c>
      <c r="D261" s="92">
        <f>SUM('CA brut produits &amp; sites'!D279:D290)</f>
        <v>177530.74</v>
      </c>
      <c r="E261" s="92">
        <f>SUM('CA brut produits &amp; sites'!E279:E290)</f>
        <v>32393.570000000003</v>
      </c>
      <c r="F261" s="92">
        <f>SUM('CA brut produits &amp; sites'!F279:F290)</f>
        <v>16785.170000000002</v>
      </c>
      <c r="G261" s="92">
        <f>SUM('CA brut produits &amp; sites'!G279:G290)</f>
        <v>4579.13</v>
      </c>
      <c r="H261" s="92">
        <f>SUM('CA brut produits &amp; sites'!H279:H290)</f>
        <v>4404.9599999999991</v>
      </c>
      <c r="I261" s="92">
        <f>SUM('CA brut produits &amp; sites'!I279:I290)</f>
        <v>30116.81</v>
      </c>
      <c r="J261" s="92">
        <f>SUM('CA brut produits &amp; sites'!J279:J290)</f>
        <v>31057.17</v>
      </c>
      <c r="K261" s="92">
        <f>SUM('CA brut produits &amp; sites'!K279:K290)</f>
        <v>74572.009999999995</v>
      </c>
      <c r="L261" s="92">
        <f>SUM('CA brut produits &amp; sites'!L279:L290)</f>
        <v>8579.17</v>
      </c>
      <c r="M261" s="92">
        <f>SUM('CA brut produits &amp; sites'!M279:M290)</f>
        <v>1744.3600000000001</v>
      </c>
      <c r="N261" s="92">
        <f>SUM('CA brut produits &amp; sites'!N279:N290)</f>
        <v>488.85</v>
      </c>
      <c r="O261" s="92">
        <f>SUM('CA brut produits &amp; sites'!O279:O290)</f>
        <v>17999.030000000002</v>
      </c>
      <c r="P261" s="93">
        <f>SUM('CA brut produits &amp; sites'!P279:P290)</f>
        <v>2681.3</v>
      </c>
    </row>
    <row r="262" spans="1:16" x14ac:dyDescent="0.3">
      <c r="A262" s="94">
        <v>43739</v>
      </c>
      <c r="B262" s="146"/>
      <c r="C262" s="92">
        <f t="shared" si="36"/>
        <v>406257.97</v>
      </c>
      <c r="D262" s="92">
        <f>SUM('CA brut produits &amp; sites'!D280:D291)</f>
        <v>175374.18</v>
      </c>
      <c r="E262" s="92">
        <f>SUM('CA brut produits &amp; sites'!E280:E291)</f>
        <v>32856.060000000005</v>
      </c>
      <c r="F262" s="92">
        <f>SUM('CA brut produits &amp; sites'!F280:F291)</f>
        <v>16614.57</v>
      </c>
      <c r="G262" s="92">
        <f>SUM('CA brut produits &amp; sites'!G280:G291)</f>
        <v>4861.8900000000003</v>
      </c>
      <c r="H262" s="92">
        <f>SUM('CA brut produits &amp; sites'!H280:H291)</f>
        <v>4997.84</v>
      </c>
      <c r="I262" s="92">
        <f>SUM('CA brut produits &amp; sites'!I280:I291)</f>
        <v>27520.89</v>
      </c>
      <c r="J262" s="92">
        <f>SUM('CA brut produits &amp; sites'!J280:J291)</f>
        <v>36159.97</v>
      </c>
      <c r="K262" s="92">
        <f>SUM('CA brut produits &amp; sites'!K280:K291)</f>
        <v>75097.72</v>
      </c>
      <c r="L262" s="92">
        <f>SUM('CA brut produits &amp; sites'!L280:L291)</f>
        <v>8300.4599999999991</v>
      </c>
      <c r="M262" s="92">
        <f>SUM('CA brut produits &amp; sites'!M280:M291)</f>
        <v>632.90000000000009</v>
      </c>
      <c r="N262" s="92">
        <f>SUM('CA brut produits &amp; sites'!N280:N291)</f>
        <v>488.85</v>
      </c>
      <c r="O262" s="92">
        <f>SUM('CA brut produits &amp; sites'!O280:O291)</f>
        <v>20446.54</v>
      </c>
      <c r="P262" s="93">
        <f>SUM('CA brut produits &amp; sites'!P280:P291)</f>
        <v>2906.1</v>
      </c>
    </row>
    <row r="263" spans="1:16" x14ac:dyDescent="0.3">
      <c r="A263" s="94">
        <v>43770</v>
      </c>
      <c r="B263" s="146"/>
      <c r="C263" s="92">
        <f t="shared" si="36"/>
        <v>398951.27999999997</v>
      </c>
      <c r="D263" s="92">
        <f>SUM('CA brut produits &amp; sites'!D281:D292)</f>
        <v>173389.43999999994</v>
      </c>
      <c r="E263" s="92">
        <f>SUM('CA brut produits &amp; sites'!E281:E292)</f>
        <v>31882.84</v>
      </c>
      <c r="F263" s="92">
        <f>SUM('CA brut produits &amp; sites'!F281:F292)</f>
        <v>16781.300000000003</v>
      </c>
      <c r="G263" s="92">
        <f>SUM('CA brut produits &amp; sites'!G281:G292)</f>
        <v>5326.74</v>
      </c>
      <c r="H263" s="92">
        <f>SUM('CA brut produits &amp; sites'!H281:H292)</f>
        <v>3885.6800000000003</v>
      </c>
      <c r="I263" s="92">
        <f>SUM('CA brut produits &amp; sites'!I281:I292)</f>
        <v>26040.39</v>
      </c>
      <c r="J263" s="92">
        <f>SUM('CA brut produits &amp; sites'!J281:J292)</f>
        <v>32851.97</v>
      </c>
      <c r="K263" s="92">
        <f>SUM('CA brut produits &amp; sites'!K281:K292)</f>
        <v>75131.660000000018</v>
      </c>
      <c r="L263" s="92">
        <f>SUM('CA brut produits &amp; sites'!L281:L292)</f>
        <v>7736.69</v>
      </c>
      <c r="M263" s="92">
        <f>SUM('CA brut produits &amp; sites'!M281:M292)</f>
        <v>575.19000000000005</v>
      </c>
      <c r="N263" s="92">
        <f>SUM('CA brut produits &amp; sites'!N281:N292)</f>
        <v>488.85</v>
      </c>
      <c r="O263" s="92">
        <f>SUM('CA brut produits &amp; sites'!O281:O292)</f>
        <v>22342.100000000002</v>
      </c>
      <c r="P263" s="93">
        <f>SUM('CA brut produits &amp; sites'!P281:P292)</f>
        <v>2518.4299999999998</v>
      </c>
    </row>
    <row r="264" spans="1:16" x14ac:dyDescent="0.3">
      <c r="A264" s="94">
        <v>43800</v>
      </c>
      <c r="B264" s="146"/>
      <c r="C264" s="92">
        <f t="shared" si="36"/>
        <v>391638.41999999993</v>
      </c>
      <c r="D264" s="92">
        <f>SUM('CA brut produits &amp; sites'!D282:D293)</f>
        <v>167715.94999999998</v>
      </c>
      <c r="E264" s="92">
        <f>SUM('CA brut produits &amp; sites'!E282:E293)</f>
        <v>33752.129999999997</v>
      </c>
      <c r="F264" s="92">
        <f>SUM('CA brut produits &amp; sites'!F282:F293)</f>
        <v>16382.490000000002</v>
      </c>
      <c r="G264" s="92">
        <f>SUM('CA brut produits &amp; sites'!G282:G293)</f>
        <v>6092.8300000000008</v>
      </c>
      <c r="H264" s="92">
        <f>SUM('CA brut produits &amp; sites'!H282:H293)</f>
        <v>3276.58</v>
      </c>
      <c r="I264" s="92">
        <f>SUM('CA brut produits &amp; sites'!I282:I293)</f>
        <v>23009.45</v>
      </c>
      <c r="J264" s="92">
        <f>SUM('CA brut produits &amp; sites'!J282:J293)</f>
        <v>29069.969999999998</v>
      </c>
      <c r="K264" s="92">
        <f>SUM('CA brut produits &amp; sites'!K282:K293)</f>
        <v>76494.42</v>
      </c>
      <c r="L264" s="92">
        <f>SUM('CA brut produits &amp; sites'!L282:L293)</f>
        <v>7335.4300000000012</v>
      </c>
      <c r="M264" s="92">
        <f>SUM('CA brut produits &amp; sites'!M282:M293)</f>
        <v>564.49</v>
      </c>
      <c r="N264" s="92">
        <f>SUM('CA brut produits &amp; sites'!N282:N293)</f>
        <v>488.85</v>
      </c>
      <c r="O264" s="92">
        <f>SUM('CA brut produits &amp; sites'!O282:O293)</f>
        <v>24655.4</v>
      </c>
      <c r="P264" s="93">
        <f>SUM('CA brut produits &amp; sites'!P282:P293)</f>
        <v>2800.43</v>
      </c>
    </row>
    <row r="265" spans="1:16" x14ac:dyDescent="0.3">
      <c r="A265" s="94">
        <v>43831</v>
      </c>
      <c r="B265" s="146"/>
      <c r="C265" s="92">
        <f t="shared" si="36"/>
        <v>389617.51</v>
      </c>
      <c r="D265" s="92">
        <f>SUM('CA brut produits &amp; sites'!D283:D294)</f>
        <v>167284.29999999999</v>
      </c>
      <c r="E265" s="92">
        <f>SUM('CA brut produits &amp; sites'!E283:E294)</f>
        <v>34033.369999999995</v>
      </c>
      <c r="F265" s="92">
        <f>SUM('CA brut produits &amp; sites'!F283:F294)</f>
        <v>15936.020000000002</v>
      </c>
      <c r="G265" s="92">
        <f>SUM('CA brut produits &amp; sites'!G283:G294)</f>
        <v>6051.8900000000012</v>
      </c>
      <c r="H265" s="92">
        <f>SUM('CA brut produits &amp; sites'!H283:H294)</f>
        <v>3351.12</v>
      </c>
      <c r="I265" s="92">
        <f>SUM('CA brut produits &amp; sites'!I283:I294)</f>
        <v>18591.88</v>
      </c>
      <c r="J265" s="92">
        <f>SUM('CA brut produits &amp; sites'!J283:J294)</f>
        <v>29699.929999999997</v>
      </c>
      <c r="K265" s="92">
        <f>SUM('CA brut produits &amp; sites'!K283:K294)</f>
        <v>77447.8</v>
      </c>
      <c r="L265" s="92">
        <f>SUM('CA brut produits &amp; sites'!L283:L294)</f>
        <v>7828.6600000000008</v>
      </c>
      <c r="M265" s="92">
        <f>SUM('CA brut produits &amp; sites'!M283:M294)</f>
        <v>429.69</v>
      </c>
      <c r="N265" s="92">
        <f>SUM('CA brut produits &amp; sites'!N283:N294)</f>
        <v>488.85</v>
      </c>
      <c r="O265" s="92">
        <f>SUM('CA brut produits &amp; sites'!O283:O294)</f>
        <v>25512.97</v>
      </c>
      <c r="P265" s="93">
        <f>SUM('CA brut produits &amp; sites'!P283:P294)</f>
        <v>2961.03</v>
      </c>
    </row>
    <row r="266" spans="1:16" x14ac:dyDescent="0.3">
      <c r="A266" s="94">
        <v>43862</v>
      </c>
      <c r="B266" s="146"/>
      <c r="C266" s="92">
        <f t="shared" si="36"/>
        <v>388696.51</v>
      </c>
      <c r="D266" s="92">
        <f>SUM('CA brut produits &amp; sites'!D284:D295)</f>
        <v>170568.08</v>
      </c>
      <c r="E266" s="92">
        <f>SUM('CA brut produits &amp; sites'!E284:E295)</f>
        <v>32554.399999999998</v>
      </c>
      <c r="F266" s="92">
        <f>SUM('CA brut produits &amp; sites'!F284:F295)</f>
        <v>16212.44</v>
      </c>
      <c r="G266" s="92">
        <f>SUM('CA brut produits &amp; sites'!G284:G295)</f>
        <v>5838.6500000000015</v>
      </c>
      <c r="H266" s="92">
        <f>SUM('CA brut produits &amp; sites'!H284:H295)</f>
        <v>3119.12</v>
      </c>
      <c r="I266" s="92">
        <f>SUM('CA brut produits &amp; sites'!I284:I295)</f>
        <v>16266.409999999998</v>
      </c>
      <c r="J266" s="92">
        <f>SUM('CA brut produits &amp; sites'!J284:J295)</f>
        <v>28986.929999999997</v>
      </c>
      <c r="K266" s="92">
        <f>SUM('CA brut produits &amp; sites'!K284:K295)</f>
        <v>76281.88</v>
      </c>
      <c r="L266" s="92">
        <f>SUM('CA brut produits &amp; sites'!L284:L295)</f>
        <v>7689.9500000000007</v>
      </c>
      <c r="M266" s="92">
        <f>SUM('CA brut produits &amp; sites'!M284:M295)</f>
        <v>421.09</v>
      </c>
      <c r="N266" s="92">
        <f>SUM('CA brut produits &amp; sites'!N284:N295)</f>
        <v>488.85</v>
      </c>
      <c r="O266" s="92">
        <f>SUM('CA brut produits &amp; sites'!O284:O295)</f>
        <v>27400.68</v>
      </c>
      <c r="P266" s="93">
        <f>SUM('CA brut produits &amp; sites'!P284:P295)</f>
        <v>2868.03</v>
      </c>
    </row>
    <row r="267" spans="1:16" x14ac:dyDescent="0.3">
      <c r="A267" s="94">
        <v>43891</v>
      </c>
      <c r="B267" s="146"/>
      <c r="C267" s="92">
        <f t="shared" si="36"/>
        <v>364053.63999999996</v>
      </c>
      <c r="D267" s="92">
        <f>SUM('CA brut produits &amp; sites'!D285:D296)</f>
        <v>168511.86</v>
      </c>
      <c r="E267" s="92">
        <f>SUM('CA brut produits &amp; sites'!E285:E296)</f>
        <v>31881.920000000002</v>
      </c>
      <c r="F267" s="92">
        <f>SUM('CA brut produits &amp; sites'!F285:F296)</f>
        <v>15279.810000000001</v>
      </c>
      <c r="G267" s="92">
        <f>SUM('CA brut produits &amp; sites'!G285:G296)</f>
        <v>5646.2100000000009</v>
      </c>
      <c r="H267" s="92">
        <f>SUM('CA brut produits &amp; sites'!H285:H296)</f>
        <v>3153.33</v>
      </c>
      <c r="I267" s="92">
        <f>SUM('CA brut produits &amp; sites'!I285:I296)</f>
        <v>14544.050000000001</v>
      </c>
      <c r="J267" s="92">
        <f>SUM('CA brut produits &amp; sites'!J285:J296)</f>
        <v>17749.93</v>
      </c>
      <c r="K267" s="92">
        <f>SUM('CA brut produits &amp; sites'!K285:K296)</f>
        <v>71886.33</v>
      </c>
      <c r="L267" s="92">
        <f>SUM('CA brut produits &amp; sites'!L285:L296)</f>
        <v>5982.420000000001</v>
      </c>
      <c r="M267" s="92">
        <f>SUM('CA brut produits &amp; sites'!M285:M296)</f>
        <v>362.09</v>
      </c>
      <c r="N267" s="92">
        <f>SUM('CA brut produits &amp; sites'!N285:N296)</f>
        <v>488.85</v>
      </c>
      <c r="O267" s="92">
        <f>SUM('CA brut produits &amp; sites'!O285:O296)</f>
        <v>26390.210000000006</v>
      </c>
      <c r="P267" s="93">
        <f>SUM('CA brut produits &amp; sites'!P285:P296)</f>
        <v>2176.63</v>
      </c>
    </row>
    <row r="268" spans="1:16" x14ac:dyDescent="0.3">
      <c r="A268" s="94">
        <v>43922</v>
      </c>
      <c r="B268" s="146"/>
      <c r="C268" s="92">
        <f t="shared" si="36"/>
        <v>336763.6999999999</v>
      </c>
      <c r="D268" s="92">
        <f>SUM('CA brut produits &amp; sites'!D286:D297)</f>
        <v>159140.91</v>
      </c>
      <c r="E268" s="92">
        <f>SUM('CA brut produits &amp; sites'!E286:E297)</f>
        <v>28639.329999999998</v>
      </c>
      <c r="F268" s="92">
        <f>SUM('CA brut produits &amp; sites'!F286:F297)</f>
        <v>13861.429999999998</v>
      </c>
      <c r="G268" s="92">
        <f>SUM('CA brut produits &amp; sites'!G286:G297)</f>
        <v>5115.3500000000004</v>
      </c>
      <c r="H268" s="92">
        <f>SUM('CA brut produits &amp; sites'!H286:H297)</f>
        <v>2987.33</v>
      </c>
      <c r="I268" s="92">
        <f>SUM('CA brut produits &amp; sites'!I286:I297)</f>
        <v>12390.88</v>
      </c>
      <c r="J268" s="92">
        <f>SUM('CA brut produits &amp; sites'!J286:J297)</f>
        <v>15822.730000000001</v>
      </c>
      <c r="K268" s="92">
        <f>SUM('CA brut produits &amp; sites'!K286:K297)</f>
        <v>66633.790000000008</v>
      </c>
      <c r="L268" s="92">
        <f>SUM('CA brut produits &amp; sites'!L286:L297)</f>
        <v>5682.1100000000006</v>
      </c>
      <c r="M268" s="92">
        <f>SUM('CA brut produits &amp; sites'!M286:M297)</f>
        <v>314.15999999999997</v>
      </c>
      <c r="N268" s="92">
        <f>SUM('CA brut produits &amp; sites'!N286:N297)</f>
        <v>488.85</v>
      </c>
      <c r="O268" s="92">
        <f>SUM('CA brut produits &amp; sites'!O286:O297)</f>
        <v>23778.6</v>
      </c>
      <c r="P268" s="93">
        <f>SUM('CA brut produits &amp; sites'!P286:P297)</f>
        <v>1908.23</v>
      </c>
    </row>
    <row r="269" spans="1:16" x14ac:dyDescent="0.3">
      <c r="A269" s="94">
        <v>43952</v>
      </c>
      <c r="B269" s="146"/>
      <c r="C269" s="92">
        <f t="shared" ref="C269" si="37">SUM(D269:P269)</f>
        <v>311292.64</v>
      </c>
      <c r="D269" s="92">
        <f>SUM('CA brut produits &amp; sites'!D287:D298)</f>
        <v>149442.53000000003</v>
      </c>
      <c r="E269" s="92">
        <f>SUM('CA brut produits &amp; sites'!E287:E298)</f>
        <v>27598.829999999998</v>
      </c>
      <c r="F269" s="92">
        <f>SUM('CA brut produits &amp; sites'!F287:F298)</f>
        <v>12188.529999999999</v>
      </c>
      <c r="G269" s="92">
        <f>SUM('CA brut produits &amp; sites'!G287:G298)</f>
        <v>4949.8200000000006</v>
      </c>
      <c r="H269" s="92">
        <f>SUM('CA brut produits &amp; sites'!H287:H298)</f>
        <v>2955.33</v>
      </c>
      <c r="I269" s="92">
        <f>SUM('CA brut produits &amp; sites'!I287:I298)</f>
        <v>10734.59</v>
      </c>
      <c r="J269" s="92">
        <f>SUM('CA brut produits &amp; sites'!J287:J298)</f>
        <v>15880.730000000001</v>
      </c>
      <c r="K269" s="92">
        <f>SUM('CA brut produits &amp; sites'!K287:K298)</f>
        <v>59731.98000000001</v>
      </c>
      <c r="L269" s="92">
        <f>SUM('CA brut produits &amp; sites'!L287:L298)</f>
        <v>4973.62</v>
      </c>
      <c r="M269" s="92">
        <f>SUM('CA brut produits &amp; sites'!M287:M298)</f>
        <v>300.95999999999998</v>
      </c>
      <c r="N269" s="92">
        <f>SUM('CA brut produits &amp; sites'!N287:N298)</f>
        <v>488.85</v>
      </c>
      <c r="O269" s="92">
        <f>SUM('CA brut produits &amp; sites'!O287:O298)</f>
        <v>20815.64</v>
      </c>
      <c r="P269" s="93">
        <f>SUM('CA brut produits &amp; sites'!P287:P298)</f>
        <v>1231.23</v>
      </c>
    </row>
    <row r="270" spans="1:16" x14ac:dyDescent="0.3">
      <c r="A270" s="94">
        <v>43983</v>
      </c>
      <c r="B270" s="146"/>
      <c r="C270" s="92">
        <f t="shared" ref="C270" si="38">SUM(D270:P270)</f>
        <v>295032.52999999997</v>
      </c>
      <c r="D270" s="92">
        <f>SUM('CA brut produits &amp; sites'!D288:D299)</f>
        <v>147649.41999999998</v>
      </c>
      <c r="E270" s="92">
        <f>SUM('CA brut produits &amp; sites'!E288:E299)</f>
        <v>23335.96</v>
      </c>
      <c r="F270" s="92">
        <f>SUM('CA brut produits &amp; sites'!F288:F299)</f>
        <v>11402.099999999999</v>
      </c>
      <c r="G270" s="92">
        <f>SUM('CA brut produits &amp; sites'!G288:G299)</f>
        <v>4572.8100000000004</v>
      </c>
      <c r="H270" s="92">
        <f>SUM('CA brut produits &amp; sites'!H288:H299)</f>
        <v>2666.88</v>
      </c>
      <c r="I270" s="92">
        <f>SUM('CA brut produits &amp; sites'!I288:I299)</f>
        <v>10000.189999999999</v>
      </c>
      <c r="J270" s="92">
        <f>SUM('CA brut produits &amp; sites'!J288:J299)</f>
        <v>16796.730000000003</v>
      </c>
      <c r="K270" s="92">
        <f>SUM('CA brut produits &amp; sites'!K288:K299)</f>
        <v>52896.19000000001</v>
      </c>
      <c r="L270" s="92">
        <f>SUM('CA brut produits &amp; sites'!L288:L299)</f>
        <v>5145.4900000000007</v>
      </c>
      <c r="M270" s="92">
        <f>SUM('CA brut produits &amp; sites'!M288:M299)</f>
        <v>222.48</v>
      </c>
      <c r="N270" s="92">
        <f>SUM('CA brut produits &amp; sites'!N288:N299)</f>
        <v>488.85</v>
      </c>
      <c r="O270" s="92">
        <f>SUM('CA brut produits &amp; sites'!O288:O299)</f>
        <v>18587.2</v>
      </c>
      <c r="P270" s="93">
        <f>SUM('CA brut produits &amp; sites'!P288:P299)</f>
        <v>1268.23</v>
      </c>
    </row>
    <row r="271" spans="1:16" x14ac:dyDescent="0.3">
      <c r="A271" s="94">
        <v>44013</v>
      </c>
      <c r="B271" s="146"/>
      <c r="C271" s="92">
        <f t="shared" ref="C271" si="39">SUM(D271:P271)</f>
        <v>298457.98</v>
      </c>
      <c r="D271" s="92">
        <f>SUM('CA brut produits &amp; sites'!D289:D300)</f>
        <v>162605.97999999998</v>
      </c>
      <c r="E271" s="92">
        <f>SUM('CA brut produits &amp; sites'!E289:E300)</f>
        <v>21867.68</v>
      </c>
      <c r="F271" s="92">
        <f>SUM('CA brut produits &amp; sites'!F289:F300)</f>
        <v>8801.81</v>
      </c>
      <c r="G271" s="92">
        <f>SUM('CA brut produits &amp; sites'!G289:G300)</f>
        <v>4084.3499999999995</v>
      </c>
      <c r="H271" s="92">
        <f>SUM('CA brut produits &amp; sites'!H289:H300)</f>
        <v>2081.88</v>
      </c>
      <c r="I271" s="92">
        <f>SUM('CA brut produits &amp; sites'!I289:I300)</f>
        <v>8314.3900000000012</v>
      </c>
      <c r="J271" s="92">
        <f>SUM('CA brut produits &amp; sites'!J289:J300)</f>
        <v>17378.730000000003</v>
      </c>
      <c r="K271" s="92">
        <f>SUM('CA brut produits &amp; sites'!K289:K300)</f>
        <v>49030.670000000006</v>
      </c>
      <c r="L271" s="92">
        <f>SUM('CA brut produits &amp; sites'!L289:L300)</f>
        <v>5033.3100000000004</v>
      </c>
      <c r="M271" s="92">
        <f>SUM('CA brut produits &amp; sites'!M289:M300)</f>
        <v>97.4</v>
      </c>
      <c r="N271" s="92">
        <f>SUM('CA brut produits &amp; sites'!N289:N300)</f>
        <v>0</v>
      </c>
      <c r="O271" s="92">
        <f>SUM('CA brut produits &amp; sites'!O289:O300)</f>
        <v>17893.550000000003</v>
      </c>
      <c r="P271" s="93">
        <f>SUM('CA brut produits &amp; sites'!P289:P300)</f>
        <v>1268.23</v>
      </c>
    </row>
    <row r="272" spans="1:16" x14ac:dyDescent="0.3">
      <c r="A272" s="94">
        <v>44044</v>
      </c>
      <c r="B272" s="146"/>
      <c r="C272" s="92">
        <f t="shared" ref="C272" si="40">SUM(D272:P272)</f>
        <v>301750.62000000005</v>
      </c>
      <c r="D272" s="92">
        <f>SUM('CA brut produits &amp; sites'!D290:D301)</f>
        <v>173281.35</v>
      </c>
      <c r="E272" s="92">
        <f>SUM('CA brut produits &amp; sites'!E290:E301)</f>
        <v>21436.77</v>
      </c>
      <c r="F272" s="92">
        <f>SUM('CA brut produits &amp; sites'!F290:F301)</f>
        <v>8849.7799999999988</v>
      </c>
      <c r="G272" s="92">
        <f>SUM('CA brut produits &amp; sites'!G290:G301)</f>
        <v>3840.6099999999997</v>
      </c>
      <c r="H272" s="92">
        <f>SUM('CA brut produits &amp; sites'!H290:H301)</f>
        <v>2136.48</v>
      </c>
      <c r="I272" s="92">
        <f>SUM('CA brut produits &amp; sites'!I290:I301)</f>
        <v>7659.7300000000005</v>
      </c>
      <c r="J272" s="92">
        <f>SUM('CA brut produits &amp; sites'!J290:J301)</f>
        <v>16041.840000000002</v>
      </c>
      <c r="K272" s="92">
        <f>SUM('CA brut produits &amp; sites'!K290:K301)</f>
        <v>47224.220000000008</v>
      </c>
      <c r="L272" s="92">
        <f>SUM('CA brut produits &amp; sites'!L290:L301)</f>
        <v>4859.9500000000007</v>
      </c>
      <c r="M272" s="92">
        <f>SUM('CA brut produits &amp; sites'!M290:M301)</f>
        <v>25.4</v>
      </c>
      <c r="N272" s="92">
        <f>SUM('CA brut produits &amp; sites'!N290:N301)</f>
        <v>0</v>
      </c>
      <c r="O272" s="92">
        <f>SUM('CA brut produits &amp; sites'!O290:O301)</f>
        <v>15126.26</v>
      </c>
      <c r="P272" s="93">
        <f>SUM('CA brut produits &amp; sites'!P290:P301)</f>
        <v>1268.23</v>
      </c>
    </row>
    <row r="273" spans="1:16" x14ac:dyDescent="0.3">
      <c r="A273" s="94">
        <v>44075</v>
      </c>
      <c r="B273" s="146"/>
      <c r="C273" s="92">
        <f t="shared" ref="C273" si="41">SUM(D273:P273)</f>
        <v>317424.8</v>
      </c>
      <c r="D273" s="92">
        <f>SUM('CA brut produits &amp; sites'!D291:D302)</f>
        <v>174699.9</v>
      </c>
      <c r="E273" s="92">
        <f>SUM('CA brut produits &amp; sites'!E291:E302)</f>
        <v>23460.190000000002</v>
      </c>
      <c r="F273" s="92">
        <f>SUM('CA brut produits &amp; sites'!F291:F302)</f>
        <v>11231.36</v>
      </c>
      <c r="G273" s="92">
        <f>SUM('CA brut produits &amp; sites'!G291:G302)</f>
        <v>3969.89</v>
      </c>
      <c r="H273" s="92">
        <f>SUM('CA brut produits &amp; sites'!H291:H302)</f>
        <v>1803.02</v>
      </c>
      <c r="I273" s="92">
        <f>SUM('CA brut produits &amp; sites'!I291:I302)</f>
        <v>8055.54</v>
      </c>
      <c r="J273" s="92">
        <f>SUM('CA brut produits &amp; sites'!J291:J302)</f>
        <v>22727.239999999998</v>
      </c>
      <c r="K273" s="92">
        <f>SUM('CA brut produits &amp; sites'!K291:K302)</f>
        <v>50232.350000000006</v>
      </c>
      <c r="L273" s="92">
        <f>SUM('CA brut produits &amp; sites'!L291:L302)</f>
        <v>7035.0500000000011</v>
      </c>
      <c r="M273" s="92">
        <f>SUM('CA brut produits &amp; sites'!M291:M302)</f>
        <v>54.4</v>
      </c>
      <c r="N273" s="92">
        <f>SUM('CA brut produits &amp; sites'!N291:N302)</f>
        <v>0</v>
      </c>
      <c r="O273" s="92">
        <f>SUM('CA brut produits &amp; sites'!O291:O302)</f>
        <v>12920.63</v>
      </c>
      <c r="P273" s="93">
        <f>SUM('CA brut produits &amp; sites'!P291:P302)</f>
        <v>1235.23</v>
      </c>
    </row>
    <row r="274" spans="1:16" x14ac:dyDescent="0.3">
      <c r="A274" s="94">
        <v>44105</v>
      </c>
      <c r="B274" s="146"/>
      <c r="C274" s="92">
        <f t="shared" ref="C274" si="42">SUM(D274:P274)</f>
        <v>324212.89</v>
      </c>
      <c r="D274" s="92">
        <f>SUM('CA brut produits &amp; sites'!D292:D303)</f>
        <v>176511.86000000002</v>
      </c>
      <c r="E274" s="92">
        <f>SUM('CA brut produits &amp; sites'!E292:E303)</f>
        <v>24161.260000000006</v>
      </c>
      <c r="F274" s="92">
        <f>SUM('CA brut produits &amp; sites'!F292:F303)</f>
        <v>13853.54</v>
      </c>
      <c r="G274" s="92">
        <f>SUM('CA brut produits &amp; sites'!G292:G303)</f>
        <v>3514.8899999999994</v>
      </c>
      <c r="H274" s="92">
        <f>SUM('CA brut produits &amp; sites'!H292:H303)</f>
        <v>1011.3</v>
      </c>
      <c r="I274" s="92">
        <f>SUM('CA brut produits &amp; sites'!I292:I303)</f>
        <v>7870.3</v>
      </c>
      <c r="J274" s="92">
        <f>SUM('CA brut produits &amp; sites'!J292:J303)</f>
        <v>24835.440000000002</v>
      </c>
      <c r="K274" s="92">
        <f>SUM('CA brut produits &amp; sites'!K292:K303)</f>
        <v>51865.729999999989</v>
      </c>
      <c r="L274" s="92">
        <f>SUM('CA brut produits &amp; sites'!L292:L303)</f>
        <v>6901.0199999999986</v>
      </c>
      <c r="M274" s="92">
        <f>SUM('CA brut produits &amp; sites'!M292:M303)</f>
        <v>58.8</v>
      </c>
      <c r="N274" s="92">
        <f>SUM('CA brut produits &amp; sites'!N292:N303)</f>
        <v>0</v>
      </c>
      <c r="O274" s="92">
        <f>SUM('CA brut produits &amp; sites'!O292:O303)</f>
        <v>12541.02</v>
      </c>
      <c r="P274" s="93">
        <f>SUM('CA brut produits &amp; sites'!P292:P303)</f>
        <v>1087.73</v>
      </c>
    </row>
    <row r="275" spans="1:16" x14ac:dyDescent="0.3">
      <c r="A275" s="94">
        <v>44136</v>
      </c>
      <c r="B275" s="146"/>
      <c r="C275" s="92">
        <f t="shared" ref="C275:C276" si="43">SUM(D275:P275)</f>
        <v>312427.23</v>
      </c>
      <c r="D275" s="92">
        <f>SUM('CA brut produits &amp; sites'!D293:D304)</f>
        <v>168620.38</v>
      </c>
      <c r="E275" s="92">
        <f>SUM('CA brut produits &amp; sites'!E293:E304)</f>
        <v>24836.630000000005</v>
      </c>
      <c r="F275" s="92">
        <f>SUM('CA brut produits &amp; sites'!F293:F304)</f>
        <v>13402.360000000002</v>
      </c>
      <c r="G275" s="92">
        <f>SUM('CA brut produits &amp; sites'!G293:G304)</f>
        <v>3213.3999999999996</v>
      </c>
      <c r="H275" s="92">
        <f>SUM('CA brut produits &amp; sites'!H293:H304)</f>
        <v>988.35</v>
      </c>
      <c r="I275" s="92">
        <f>SUM('CA brut produits &amp; sites'!I293:I304)</f>
        <v>7173.65</v>
      </c>
      <c r="J275" s="92">
        <f>SUM('CA brut produits &amp; sites'!J293:J304)</f>
        <v>24355.440000000002</v>
      </c>
      <c r="K275" s="92">
        <f>SUM('CA brut produits &amp; sites'!K293:K304)</f>
        <v>49920.479999999996</v>
      </c>
      <c r="L275" s="92">
        <f>SUM('CA brut produits &amp; sites'!L293:L304)</f>
        <v>6705.18</v>
      </c>
      <c r="M275" s="92">
        <f>SUM('CA brut produits &amp; sites'!M293:M304)</f>
        <v>58.8</v>
      </c>
      <c r="N275" s="92">
        <f>SUM('CA brut produits &amp; sites'!N293:N304)</f>
        <v>0</v>
      </c>
      <c r="O275" s="92">
        <f>SUM('CA brut produits &amp; sites'!O293:O304)</f>
        <v>12163.16</v>
      </c>
      <c r="P275" s="93">
        <f>SUM('CA brut produits &amp; sites'!P293:P304)</f>
        <v>989.4</v>
      </c>
    </row>
    <row r="276" spans="1:16" x14ac:dyDescent="0.3">
      <c r="A276" s="94">
        <v>44166</v>
      </c>
      <c r="B276" s="146"/>
      <c r="C276" s="92">
        <f t="shared" si="43"/>
        <v>308143.71999999997</v>
      </c>
      <c r="D276" s="92">
        <f>SUM('CA brut produits &amp; sites'!D294:D305)</f>
        <v>166908.59</v>
      </c>
      <c r="E276" s="92">
        <f>SUM('CA brut produits &amp; sites'!E294:E305)</f>
        <v>24237.500000000004</v>
      </c>
      <c r="F276" s="92">
        <f>SUM('CA brut produits &amp; sites'!F294:F305)</f>
        <v>16059.66</v>
      </c>
      <c r="G276" s="92">
        <f>SUM('CA brut produits &amp; sites'!G294:G305)</f>
        <v>2409.34</v>
      </c>
      <c r="H276" s="92">
        <f>SUM('CA brut produits &amp; sites'!H294:H305)</f>
        <v>988.35</v>
      </c>
      <c r="I276" s="92">
        <f>SUM('CA brut produits &amp; sites'!I294:I305)</f>
        <v>4072.8999999999996</v>
      </c>
      <c r="J276" s="92">
        <f>SUM('CA brut produits &amp; sites'!J294:J305)</f>
        <v>24640.440000000002</v>
      </c>
      <c r="K276" s="92">
        <f>SUM('CA brut produits &amp; sites'!K294:K305)</f>
        <v>48915.83</v>
      </c>
      <c r="L276" s="92">
        <f>SUM('CA brut produits &amp; sites'!L294:L305)</f>
        <v>9298.0499999999993</v>
      </c>
      <c r="M276" s="92">
        <f>SUM('CA brut produits &amp; sites'!M294:M305)</f>
        <v>58.8</v>
      </c>
      <c r="N276" s="92">
        <f>SUM('CA brut produits &amp; sites'!N294:N305)</f>
        <v>0</v>
      </c>
      <c r="O276" s="92">
        <f>SUM('CA brut produits &amp; sites'!O294:O305)</f>
        <v>9849.86</v>
      </c>
      <c r="P276" s="93">
        <f>SUM('CA brut produits &amp; sites'!P294:P305)</f>
        <v>704.4</v>
      </c>
    </row>
    <row r="277" spans="1:16" x14ac:dyDescent="0.3">
      <c r="A277" s="94">
        <v>44197</v>
      </c>
      <c r="B277" s="146"/>
      <c r="C277" s="92">
        <f t="shared" ref="C277" si="44">SUM(D277:P277)</f>
        <v>293828.16000000003</v>
      </c>
      <c r="D277" s="92">
        <f>SUM('CA brut produits &amp; sites'!D295:D306)</f>
        <v>157952.39000000001</v>
      </c>
      <c r="E277" s="92">
        <f>SUM('CA brut produits &amp; sites'!E295:E306)</f>
        <v>22818.95</v>
      </c>
      <c r="F277" s="92">
        <f>SUM('CA brut produits &amp; sites'!F295:F306)</f>
        <v>15923.439999999999</v>
      </c>
      <c r="G277" s="92">
        <f>SUM('CA brut produits &amp; sites'!G295:G306)</f>
        <v>2236.6799999999998</v>
      </c>
      <c r="H277" s="92">
        <f>SUM('CA brut produits &amp; sites'!H295:H306)</f>
        <v>877.81</v>
      </c>
      <c r="I277" s="92">
        <f>SUM('CA brut produits &amp; sites'!I295:I306)</f>
        <v>3806.3999999999996</v>
      </c>
      <c r="J277" s="92">
        <f>SUM('CA brut produits &amp; sites'!J295:J306)</f>
        <v>24384</v>
      </c>
      <c r="K277" s="92">
        <f>SUM('CA brut produits &amp; sites'!K295:K306)</f>
        <v>46640.310000000005</v>
      </c>
      <c r="L277" s="92">
        <f>SUM('CA brut produits &amp; sites'!L295:L306)</f>
        <v>9093.0999999999985</v>
      </c>
      <c r="M277" s="92">
        <f>SUM('CA brut produits &amp; sites'!M295:M306)</f>
        <v>58.8</v>
      </c>
      <c r="N277" s="92">
        <f>SUM('CA brut produits &amp; sites'!N295:N306)</f>
        <v>0</v>
      </c>
      <c r="O277" s="92">
        <f>SUM('CA brut produits &amp; sites'!O295:O306)</f>
        <v>9391.2799999999988</v>
      </c>
      <c r="P277" s="93">
        <f>SUM('CA brut produits &amp; sites'!P295:P306)</f>
        <v>645</v>
      </c>
    </row>
    <row r="278" spans="1:16" x14ac:dyDescent="0.3">
      <c r="A278" s="94">
        <v>44228</v>
      </c>
      <c r="B278" s="146"/>
      <c r="C278" s="92">
        <f t="shared" ref="C278" si="45">SUM(D278:P278)</f>
        <v>307924.94</v>
      </c>
      <c r="D278" s="92">
        <f>SUM('CA brut produits &amp; sites'!D296:D307)</f>
        <v>164734.79</v>
      </c>
      <c r="E278" s="92">
        <f>SUM('CA brut produits &amp; sites'!E296:E307)</f>
        <v>23129</v>
      </c>
      <c r="F278" s="92">
        <f>SUM('CA brut produits &amp; sites'!F296:F307)</f>
        <v>16039.319999999998</v>
      </c>
      <c r="G278" s="92">
        <f>SUM('CA brut produits &amp; sites'!G296:G307)</f>
        <v>2440.83</v>
      </c>
      <c r="H278" s="92">
        <f>SUM('CA brut produits &amp; sites'!H296:H307)</f>
        <v>877.81</v>
      </c>
      <c r="I278" s="92">
        <f>SUM('CA brut produits &amp; sites'!I296:I307)</f>
        <v>5395.7</v>
      </c>
      <c r="J278" s="92">
        <f>SUM('CA brut produits &amp; sites'!J296:J307)</f>
        <v>23359</v>
      </c>
      <c r="K278" s="92">
        <f>SUM('CA brut produits &amp; sites'!K296:K307)</f>
        <v>52283.360000000001</v>
      </c>
      <c r="L278" s="92">
        <f>SUM('CA brut produits &amp; sites'!L296:L307)</f>
        <v>10640.65</v>
      </c>
      <c r="M278" s="92">
        <f>SUM('CA brut produits &amp; sites'!M296:M307)</f>
        <v>69.3</v>
      </c>
      <c r="N278" s="92">
        <f>SUM('CA brut produits &amp; sites'!N296:N307)</f>
        <v>0</v>
      </c>
      <c r="O278" s="92">
        <f>SUM('CA brut produits &amp; sites'!O296:O307)</f>
        <v>7975.18</v>
      </c>
      <c r="P278" s="93">
        <f>SUM('CA brut produits &amp; sites'!P296:P307)</f>
        <v>980</v>
      </c>
    </row>
    <row r="279" spans="1:16" x14ac:dyDescent="0.3">
      <c r="A279" s="94">
        <v>44256</v>
      </c>
      <c r="B279" s="146"/>
      <c r="C279" s="92">
        <f t="shared" ref="C279" si="46">SUM(D279:P279)</f>
        <v>314339.58</v>
      </c>
      <c r="D279" s="92">
        <f>SUM('CA brut produits &amp; sites'!D297:D308)</f>
        <v>163850.04</v>
      </c>
      <c r="E279" s="92">
        <f>SUM('CA brut produits &amp; sites'!E297:E308)</f>
        <v>22672.65</v>
      </c>
      <c r="F279" s="92">
        <f>SUM('CA brut produits &amp; sites'!F297:F308)</f>
        <v>18244.849999999999</v>
      </c>
      <c r="G279" s="92">
        <f>SUM('CA brut produits &amp; sites'!G297:G308)</f>
        <v>2750.38</v>
      </c>
      <c r="H279" s="92">
        <f>SUM('CA brut produits &amp; sites'!H297:H308)</f>
        <v>771.6</v>
      </c>
      <c r="I279" s="92">
        <f>SUM('CA brut produits &amp; sites'!I297:I308)</f>
        <v>4815.47</v>
      </c>
      <c r="J279" s="92">
        <f>SUM('CA brut produits &amp; sites'!J297:J308)</f>
        <v>22733.4</v>
      </c>
      <c r="K279" s="92">
        <f>SUM('CA brut produits &amp; sites'!K297:K308)</f>
        <v>56370.75</v>
      </c>
      <c r="L279" s="92">
        <f>SUM('CA brut produits &amp; sites'!L297:L308)</f>
        <v>11598.59</v>
      </c>
      <c r="M279" s="92">
        <f>SUM('CA brut produits &amp; sites'!M297:M308)</f>
        <v>84.3</v>
      </c>
      <c r="N279" s="92">
        <f>SUM('CA brut produits &amp; sites'!N297:N308)</f>
        <v>0</v>
      </c>
      <c r="O279" s="92">
        <f>SUM('CA brut produits &amp; sites'!O297:O308)</f>
        <v>9517.5499999999993</v>
      </c>
      <c r="P279" s="93">
        <f>SUM('CA brut produits &amp; sites'!P297:P308)</f>
        <v>930</v>
      </c>
    </row>
    <row r="280" spans="1:16" x14ac:dyDescent="0.3">
      <c r="A280" s="94">
        <v>44287</v>
      </c>
      <c r="B280" s="146"/>
      <c r="C280" s="92">
        <f t="shared" ref="C280" si="47">SUM(D280:P280)</f>
        <v>335866.18000000005</v>
      </c>
      <c r="D280" s="92">
        <f>SUM('CA brut produits &amp; sites'!D298:D309)</f>
        <v>174518.12</v>
      </c>
      <c r="E280" s="92">
        <f>SUM('CA brut produits &amp; sites'!E298:E309)</f>
        <v>23686.010000000002</v>
      </c>
      <c r="F280" s="92">
        <f>SUM('CA brut produits &amp; sites'!F298:F309)</f>
        <v>18702.8</v>
      </c>
      <c r="G280" s="92">
        <f>SUM('CA brut produits &amp; sites'!G298:G309)</f>
        <v>3262.44</v>
      </c>
      <c r="H280" s="92">
        <f>SUM('CA brut produits &amp; sites'!H298:H309)</f>
        <v>901.73</v>
      </c>
      <c r="I280" s="92">
        <f>SUM('CA brut produits &amp; sites'!I298:I309)</f>
        <v>4961.71</v>
      </c>
      <c r="J280" s="92">
        <f>SUM('CA brut produits &amp; sites'!J298:J309)</f>
        <v>22932.800000000003</v>
      </c>
      <c r="K280" s="92">
        <f>SUM('CA brut produits &amp; sites'!K298:K309)</f>
        <v>62315.390000000007</v>
      </c>
      <c r="L280" s="92">
        <f>SUM('CA brut produits &amp; sites'!L298:L309)</f>
        <v>12218.4</v>
      </c>
      <c r="M280" s="92">
        <f>SUM('CA brut produits &amp; sites'!M298:M309)</f>
        <v>253.14999999999998</v>
      </c>
      <c r="N280" s="92">
        <f>SUM('CA brut produits &amp; sites'!N298:N309)</f>
        <v>0</v>
      </c>
      <c r="O280" s="92">
        <f>SUM('CA brut produits &amp; sites'!O298:O309)</f>
        <v>11183.63</v>
      </c>
      <c r="P280" s="93">
        <f>SUM('CA brut produits &amp; sites'!P298:P309)</f>
        <v>930</v>
      </c>
    </row>
    <row r="281" spans="1:16" x14ac:dyDescent="0.3">
      <c r="A281" s="94">
        <v>44317</v>
      </c>
      <c r="B281" s="146"/>
      <c r="C281" s="92">
        <f t="shared" ref="C281" si="48">SUM(D281:P281)</f>
        <v>344743.36</v>
      </c>
      <c r="D281" s="92">
        <f>SUM('CA brut produits &amp; sites'!D299:D310)</f>
        <v>172223.9</v>
      </c>
      <c r="E281" s="92">
        <f>SUM('CA brut produits &amp; sites'!E299:E310)</f>
        <v>24390.800000000003</v>
      </c>
      <c r="F281" s="92">
        <f>SUM('CA brut produits &amp; sites'!F299:F310)</f>
        <v>21553.29</v>
      </c>
      <c r="G281" s="92">
        <f>SUM('CA brut produits &amp; sites'!G299:G310)</f>
        <v>3557.2699999999995</v>
      </c>
      <c r="H281" s="92">
        <f>SUM('CA brut produits &amp; sites'!H299:H310)</f>
        <v>1295.02</v>
      </c>
      <c r="I281" s="92">
        <f>SUM('CA brut produits &amp; sites'!I299:I310)</f>
        <v>5012.12</v>
      </c>
      <c r="J281" s="92">
        <f>SUM('CA brut produits &amp; sites'!J299:J310)</f>
        <v>22122.800000000003</v>
      </c>
      <c r="K281" s="92">
        <f>SUM('CA brut produits &amp; sites'!K299:K310)</f>
        <v>67469.290000000008</v>
      </c>
      <c r="L281" s="92">
        <f>SUM('CA brut produits &amp; sites'!L299:L310)</f>
        <v>12912.24</v>
      </c>
      <c r="M281" s="92">
        <f>SUM('CA brut produits &amp; sites'!M299:M310)</f>
        <v>255.14999999999998</v>
      </c>
      <c r="N281" s="92">
        <f>SUM('CA brut produits &amp; sites'!N299:N310)</f>
        <v>0</v>
      </c>
      <c r="O281" s="92">
        <f>SUM('CA brut produits &amp; sites'!O299:O310)</f>
        <v>13021.48</v>
      </c>
      <c r="P281" s="93">
        <f>SUM('CA brut produits &amp; sites'!P299:P310)</f>
        <v>930</v>
      </c>
    </row>
    <row r="282" spans="1:16" x14ac:dyDescent="0.3">
      <c r="A282" s="94">
        <v>44348</v>
      </c>
      <c r="B282" s="146"/>
      <c r="C282" s="92">
        <f t="shared" ref="C282" si="49">SUM(D282:P282)</f>
        <v>353283.82</v>
      </c>
      <c r="D282" s="92">
        <f>SUM('CA brut produits &amp; sites'!D300:D311)</f>
        <v>163830.51</v>
      </c>
      <c r="E282" s="92">
        <f>SUM('CA brut produits &amp; sites'!E300:E311)</f>
        <v>27622.82</v>
      </c>
      <c r="F282" s="92">
        <f>SUM('CA brut produits &amp; sites'!F300:F311)</f>
        <v>25192.15</v>
      </c>
      <c r="G282" s="92">
        <f>SUM('CA brut produits &amp; sites'!G300:G311)</f>
        <v>4034.8199999999997</v>
      </c>
      <c r="H282" s="92">
        <f>SUM('CA brut produits &amp; sites'!H300:H311)</f>
        <v>1295.02</v>
      </c>
      <c r="I282" s="92">
        <f>SUM('CA brut produits &amp; sites'!I300:I311)</f>
        <v>5021.88</v>
      </c>
      <c r="J282" s="92">
        <f>SUM('CA brut produits &amp; sites'!J300:J311)</f>
        <v>23822.800000000003</v>
      </c>
      <c r="K282" s="92">
        <f>SUM('CA brut produits &amp; sites'!K300:K311)</f>
        <v>72474.36</v>
      </c>
      <c r="L282" s="92">
        <f>SUM('CA brut produits &amp; sites'!L300:L311)</f>
        <v>13760.809999999998</v>
      </c>
      <c r="M282" s="92">
        <f>SUM('CA brut produits &amp; sites'!M300:M311)</f>
        <v>252.14999999999998</v>
      </c>
      <c r="N282" s="92">
        <f>SUM('CA brut produits &amp; sites'!N300:N311)</f>
        <v>0</v>
      </c>
      <c r="O282" s="92">
        <f>SUM('CA brut produits &amp; sites'!O300:O311)</f>
        <v>14906.5</v>
      </c>
      <c r="P282" s="93">
        <f>SUM('CA brut produits &amp; sites'!P300:P311)</f>
        <v>1070</v>
      </c>
    </row>
    <row r="283" spans="1:16" x14ac:dyDescent="0.3">
      <c r="A283" s="94">
        <v>44378</v>
      </c>
      <c r="B283" s="146"/>
      <c r="C283" s="92">
        <f t="shared" ref="C283" si="50">SUM(D283:P283)</f>
        <v>344799.36999999994</v>
      </c>
      <c r="D283" s="92">
        <f>SUM('CA brut produits &amp; sites'!D301:D312)</f>
        <v>149620.41999999998</v>
      </c>
      <c r="E283" s="92">
        <f>SUM('CA brut produits &amp; sites'!E301:E312)</f>
        <v>28453.02</v>
      </c>
      <c r="F283" s="92">
        <f>SUM('CA brut produits &amp; sites'!F301:F312)</f>
        <v>24602.78</v>
      </c>
      <c r="G283" s="92">
        <f>SUM('CA brut produits &amp; sites'!G301:G312)</f>
        <v>5021.42</v>
      </c>
      <c r="H283" s="92">
        <f>SUM('CA brut produits &amp; sites'!H301:H312)</f>
        <v>1934.9</v>
      </c>
      <c r="I283" s="92">
        <f>SUM('CA brut produits &amp; sites'!I301:I312)</f>
        <v>5294.78</v>
      </c>
      <c r="J283" s="92">
        <f>SUM('CA brut produits &amp; sites'!J301:J312)</f>
        <v>21938.500000000004</v>
      </c>
      <c r="K283" s="92">
        <f>SUM('CA brut produits &amp; sites'!K301:K312)</f>
        <v>76881.759999999995</v>
      </c>
      <c r="L283" s="92">
        <f>SUM('CA brut produits &amp; sites'!L301:L312)</f>
        <v>14343.73</v>
      </c>
      <c r="M283" s="92">
        <f>SUM('CA brut produits &amp; sites'!M301:M312)</f>
        <v>270.14999999999998</v>
      </c>
      <c r="N283" s="92">
        <f>SUM('CA brut produits &amp; sites'!N301:N312)</f>
        <v>0</v>
      </c>
      <c r="O283" s="92">
        <f>SUM('CA brut produits &amp; sites'!O301:O312)</f>
        <v>15225.91</v>
      </c>
      <c r="P283" s="93">
        <f>SUM('CA brut produits &amp; sites'!P301:P312)</f>
        <v>1212</v>
      </c>
    </row>
    <row r="284" spans="1:16" x14ac:dyDescent="0.3">
      <c r="A284" s="94">
        <v>44409</v>
      </c>
      <c r="B284" s="146"/>
      <c r="C284" s="92">
        <f t="shared" ref="C284:C294" si="51">SUM(D284:P284)</f>
        <v>358552.43000000005</v>
      </c>
      <c r="D284" s="92">
        <f>SUM('CA brut produits &amp; sites'!D302:D313)</f>
        <v>147209.01</v>
      </c>
      <c r="E284" s="92">
        <f>SUM('CA brut produits &amp; sites'!E302:E313)</f>
        <v>29276.099999999995</v>
      </c>
      <c r="F284" s="92">
        <f>SUM('CA brut produits &amp; sites'!F302:F313)</f>
        <v>24210.16</v>
      </c>
      <c r="G284" s="92">
        <f>SUM('CA brut produits &amp; sites'!G302:G313)</f>
        <v>5139.62</v>
      </c>
      <c r="H284" s="92">
        <f>SUM('CA brut produits &amp; sites'!H302:H313)</f>
        <v>1768.3000000000002</v>
      </c>
      <c r="I284" s="92">
        <f>SUM('CA brut produits &amp; sites'!I302:I313)</f>
        <v>5310.69</v>
      </c>
      <c r="J284" s="92">
        <f>SUM('CA brut produits &amp; sites'!J302:J313)</f>
        <v>22276.500000000004</v>
      </c>
      <c r="K284" s="92">
        <f>SUM('CA brut produits &amp; sites'!K302:K313)</f>
        <v>80985.58</v>
      </c>
      <c r="L284" s="92">
        <f>SUM('CA brut produits &amp; sites'!L302:L313)</f>
        <v>15938.83</v>
      </c>
      <c r="M284" s="92">
        <f>SUM('CA brut produits &amp; sites'!M302:M313)</f>
        <v>267.14999999999998</v>
      </c>
      <c r="N284" s="92">
        <f>SUM('CA brut produits &amp; sites'!N302:N313)</f>
        <v>0</v>
      </c>
      <c r="O284" s="92">
        <f>SUM('CA brut produits &amp; sites'!O302:O313)</f>
        <v>24898.489999999998</v>
      </c>
      <c r="P284" s="93">
        <f>SUM('CA brut produits &amp; sites'!P302:P313)</f>
        <v>1272</v>
      </c>
    </row>
    <row r="285" spans="1:16" x14ac:dyDescent="0.3">
      <c r="A285" s="94">
        <v>44440</v>
      </c>
      <c r="B285" s="146"/>
      <c r="C285" s="92">
        <f t="shared" si="51"/>
        <v>333068.25000000006</v>
      </c>
      <c r="D285" s="92">
        <f>SUM('CA brut produits &amp; sites'!D303:D314)</f>
        <v>142177.60000000001</v>
      </c>
      <c r="E285" s="92">
        <f>SUM('CA brut produits &amp; sites'!E303:E314)</f>
        <v>25092.42</v>
      </c>
      <c r="F285" s="92">
        <f>SUM('CA brut produits &amp; sites'!F303:F314)</f>
        <v>22094.41</v>
      </c>
      <c r="G285" s="92">
        <f>SUM('CA brut produits &amp; sites'!G303:G314)</f>
        <v>4766.12</v>
      </c>
      <c r="H285" s="92">
        <f>SUM('CA brut produits &amp; sites'!H303:H314)</f>
        <v>1797.9</v>
      </c>
      <c r="I285" s="92">
        <f>SUM('CA brut produits &amp; sites'!I303:I314)</f>
        <v>3794.83</v>
      </c>
      <c r="J285" s="92">
        <f>SUM('CA brut produits &amp; sites'!J303:J314)</f>
        <v>14850.5</v>
      </c>
      <c r="K285" s="92">
        <f>SUM('CA brut produits &amp; sites'!K303:K314)</f>
        <v>75766.430000000008</v>
      </c>
      <c r="L285" s="92">
        <f>SUM('CA brut produits &amp; sites'!L303:L314)</f>
        <v>14387.199999999999</v>
      </c>
      <c r="M285" s="92">
        <f>SUM('CA brut produits &amp; sites'!M303:M314)</f>
        <v>228.14999999999998</v>
      </c>
      <c r="N285" s="92">
        <f>SUM('CA brut produits &amp; sites'!N303:N314)</f>
        <v>0</v>
      </c>
      <c r="O285" s="92">
        <f>SUM('CA brut produits &amp; sites'!O303:O314)</f>
        <v>26660.69</v>
      </c>
      <c r="P285" s="93">
        <f>SUM('CA brut produits &amp; sites'!P303:P314)</f>
        <v>1452</v>
      </c>
    </row>
    <row r="286" spans="1:16" x14ac:dyDescent="0.3">
      <c r="A286" s="94">
        <v>44470</v>
      </c>
      <c r="B286" s="146"/>
      <c r="C286" s="92">
        <f t="shared" si="51"/>
        <v>325237.26000000007</v>
      </c>
      <c r="D286" s="92">
        <f>SUM('CA brut produits &amp; sites'!D304:D315)</f>
        <v>145680.77000000002</v>
      </c>
      <c r="E286" s="92">
        <f>SUM('CA brut produits &amp; sites'!E304:E315)</f>
        <v>23348</v>
      </c>
      <c r="F286" s="92">
        <f>SUM('CA brut produits &amp; sites'!F304:F315)</f>
        <v>19742.23</v>
      </c>
      <c r="G286" s="92">
        <f>SUM('CA brut produits &amp; sites'!G304:G315)</f>
        <v>4988.51</v>
      </c>
      <c r="H286" s="92">
        <f>SUM('CA brut produits &amp; sites'!H304:H315)</f>
        <v>4629.32</v>
      </c>
      <c r="I286" s="92">
        <f>SUM('CA brut produits &amp; sites'!I304:I315)</f>
        <v>3977.12</v>
      </c>
      <c r="J286" s="92">
        <f>SUM('CA brut produits &amp; sites'!J304:J315)</f>
        <v>5990.5</v>
      </c>
      <c r="K286" s="92">
        <f>SUM('CA brut produits &amp; sites'!K304:K315)</f>
        <v>74601.22</v>
      </c>
      <c r="L286" s="92">
        <f>SUM('CA brut produits &amp; sites'!L304:L315)</f>
        <v>14222.14</v>
      </c>
      <c r="M286" s="92">
        <f>SUM('CA brut produits &amp; sites'!M304:M315)</f>
        <v>239.75</v>
      </c>
      <c r="N286" s="92">
        <f>SUM('CA brut produits &amp; sites'!N304:N315)</f>
        <v>0</v>
      </c>
      <c r="O286" s="92">
        <f>SUM('CA brut produits &amp; sites'!O304:O315)</f>
        <v>26523.200000000001</v>
      </c>
      <c r="P286" s="93">
        <f>SUM('CA brut produits &amp; sites'!P304:P315)</f>
        <v>1294.5</v>
      </c>
    </row>
    <row r="287" spans="1:16" x14ac:dyDescent="0.3">
      <c r="A287" s="94">
        <v>44501</v>
      </c>
      <c r="B287" s="146"/>
      <c r="C287" s="92">
        <f t="shared" si="51"/>
        <v>353132.86000000004</v>
      </c>
      <c r="D287" s="92">
        <f>SUM('CA brut produits &amp; sites'!D305:D316)</f>
        <v>161263.02000000002</v>
      </c>
      <c r="E287" s="92">
        <f>SUM('CA brut produits &amp; sites'!E305:E316)</f>
        <v>22493.040000000001</v>
      </c>
      <c r="F287" s="92">
        <f>SUM('CA brut produits &amp; sites'!F305:F316)</f>
        <v>19783.870000000006</v>
      </c>
      <c r="G287" s="92">
        <f>SUM('CA brut produits &amp; sites'!G305:G316)</f>
        <v>4912.9699999999993</v>
      </c>
      <c r="H287" s="92">
        <f>SUM('CA brut produits &amp; sites'!H305:H316)</f>
        <v>7464.5</v>
      </c>
      <c r="I287" s="92">
        <f>SUM('CA brut produits &amp; sites'!I305:I316)</f>
        <v>4227.97</v>
      </c>
      <c r="J287" s="92">
        <f>SUM('CA brut produits &amp; sites'!J305:J316)</f>
        <v>6689.5</v>
      </c>
      <c r="K287" s="92">
        <f>SUM('CA brut produits &amp; sites'!K305:K316)</f>
        <v>82168.070000000007</v>
      </c>
      <c r="L287" s="92">
        <f>SUM('CA brut produits &amp; sites'!L305:L316)</f>
        <v>15205.419999999998</v>
      </c>
      <c r="M287" s="92">
        <f>SUM('CA brut produits &amp; sites'!M305:M316)</f>
        <v>242.75</v>
      </c>
      <c r="N287" s="92">
        <f>SUM('CA brut produits &amp; sites'!N305:N316)</f>
        <v>0</v>
      </c>
      <c r="O287" s="92">
        <f>SUM('CA brut produits &amp; sites'!O305:O316)</f>
        <v>26517.25</v>
      </c>
      <c r="P287" s="93">
        <f>SUM('CA brut produits &amp; sites'!P305:P316)</f>
        <v>2164.5</v>
      </c>
    </row>
    <row r="288" spans="1:16" x14ac:dyDescent="0.3">
      <c r="A288" s="94">
        <v>44531</v>
      </c>
      <c r="B288" s="146"/>
      <c r="C288" s="92">
        <f t="shared" si="51"/>
        <v>357528.79000000004</v>
      </c>
      <c r="D288" s="92">
        <f>SUM('CA brut produits &amp; sites'!D306:D317)</f>
        <v>163830.47000000003</v>
      </c>
      <c r="E288" s="92">
        <f>SUM('CA brut produits &amp; sites'!E306:E317)</f>
        <v>20496.990000000002</v>
      </c>
      <c r="F288" s="92">
        <f>SUM('CA brut produits &amp; sites'!F306:F317)</f>
        <v>16661.230000000003</v>
      </c>
      <c r="G288" s="92">
        <f>SUM('CA brut produits &amp; sites'!G306:G317)</f>
        <v>5007.7099999999991</v>
      </c>
      <c r="H288" s="92">
        <f>SUM('CA brut produits &amp; sites'!H306:H317)</f>
        <v>7464.5</v>
      </c>
      <c r="I288" s="92">
        <f>SUM('CA brut produits &amp; sites'!I306:I317)</f>
        <v>4581.6200000000008</v>
      </c>
      <c r="J288" s="92">
        <f>SUM('CA brut produits &amp; sites'!J306:J317)</f>
        <v>10313.299999999999</v>
      </c>
      <c r="K288" s="92">
        <f>SUM('CA brut produits &amp; sites'!K306:K317)</f>
        <v>84548.88</v>
      </c>
      <c r="L288" s="92">
        <f>SUM('CA brut produits &amp; sites'!L306:L317)</f>
        <v>13469.150000000001</v>
      </c>
      <c r="M288" s="92">
        <f>SUM('CA brut produits &amp; sites'!M306:M317)</f>
        <v>257.75</v>
      </c>
      <c r="N288" s="92">
        <f>SUM('CA brut produits &amp; sites'!N306:N317)</f>
        <v>0</v>
      </c>
      <c r="O288" s="92">
        <f>SUM('CA brut produits &amp; sites'!O306:O317)</f>
        <v>28605.19</v>
      </c>
      <c r="P288" s="93">
        <f>SUM('CA brut produits &amp; sites'!P306:P317)</f>
        <v>2292</v>
      </c>
    </row>
    <row r="289" spans="1:16" x14ac:dyDescent="0.3">
      <c r="A289" s="94">
        <v>44562</v>
      </c>
      <c r="B289" s="143"/>
      <c r="C289" s="92">
        <f t="shared" si="51"/>
        <v>386683.35999999993</v>
      </c>
      <c r="D289" s="92">
        <f>SUM('CA brut produits &amp; sites'!D307:D318)</f>
        <v>183342.48</v>
      </c>
      <c r="E289" s="92">
        <f>SUM('CA brut produits &amp; sites'!E307:E318)</f>
        <v>21554.77</v>
      </c>
      <c r="F289" s="92">
        <f>SUM('CA brut produits &amp; sites'!F307:F318)</f>
        <v>16335.33</v>
      </c>
      <c r="G289" s="92">
        <f>SUM('CA brut produits &amp; sites'!G307:G318)</f>
        <v>4936.2999999999993</v>
      </c>
      <c r="H289" s="92">
        <f>SUM('CA brut produits &amp; sites'!H307:H318)</f>
        <v>7560.5</v>
      </c>
      <c r="I289" s="92">
        <f>SUM('CA brut produits &amp; sites'!I307:I318)</f>
        <v>4408.3999999999996</v>
      </c>
      <c r="J289" s="92">
        <f>SUM('CA brut produits &amp; sites'!J307:J318)</f>
        <v>9823.2999999999993</v>
      </c>
      <c r="K289" s="92">
        <f>SUM('CA brut produits &amp; sites'!K307:K318)</f>
        <v>92039.73</v>
      </c>
      <c r="L289" s="92">
        <f>SUM('CA brut produits &amp; sites'!L307:L318)</f>
        <v>15049.54</v>
      </c>
      <c r="M289" s="92">
        <f>SUM('CA brut produits &amp; sites'!M307:M318)</f>
        <v>318.75</v>
      </c>
      <c r="N289" s="92">
        <f>SUM('CA brut produits &amp; sites'!N307:N318)</f>
        <v>0</v>
      </c>
      <c r="O289" s="92">
        <f>SUM('CA brut produits &amp; sites'!O307:O318)</f>
        <v>28637.260000000002</v>
      </c>
      <c r="P289" s="93">
        <f>SUM('CA brut produits &amp; sites'!P307:P318)</f>
        <v>2677</v>
      </c>
    </row>
    <row r="290" spans="1:16" x14ac:dyDescent="0.3">
      <c r="A290" s="94">
        <v>44593</v>
      </c>
      <c r="B290" s="114"/>
      <c r="C290" s="92">
        <f t="shared" si="51"/>
        <v>382396.78999999992</v>
      </c>
      <c r="D290" s="92">
        <f>SUM('CA brut produits &amp; sites'!D308:D319)</f>
        <v>181652.88</v>
      </c>
      <c r="E290" s="92">
        <f>SUM('CA brut produits &amp; sites'!E308:E319)</f>
        <v>21012.09</v>
      </c>
      <c r="F290" s="92">
        <f>SUM('CA brut produits &amp; sites'!F308:F319)</f>
        <v>15569.4</v>
      </c>
      <c r="G290" s="92">
        <f>SUM('CA brut produits &amp; sites'!G308:G319)</f>
        <v>4620.4899999999989</v>
      </c>
      <c r="H290" s="92">
        <f>SUM('CA brut produits &amp; sites'!H308:H319)</f>
        <v>11300.5</v>
      </c>
      <c r="I290" s="92">
        <f>SUM('CA brut produits &amp; sites'!I308:I319)</f>
        <v>2493.33</v>
      </c>
      <c r="J290" s="92">
        <f>SUM('CA brut produits &amp; sites'!J308:J319)</f>
        <v>10736</v>
      </c>
      <c r="K290" s="92">
        <f>SUM('CA brut produits &amp; sites'!K308:K319)</f>
        <v>89735.46</v>
      </c>
      <c r="L290" s="92">
        <f>SUM('CA brut produits &amp; sites'!L308:L319)</f>
        <v>14701.23</v>
      </c>
      <c r="M290" s="92">
        <f>SUM('CA brut produits &amp; sites'!M308:M319)</f>
        <v>349.85</v>
      </c>
      <c r="N290" s="92">
        <f>SUM('CA brut produits &amp; sites'!N308:N319)</f>
        <v>0</v>
      </c>
      <c r="O290" s="92">
        <f>SUM('CA brut produits &amp; sites'!O308:O319)</f>
        <v>27713.56</v>
      </c>
      <c r="P290" s="93">
        <f>SUM('CA brut produits &amp; sites'!P308:P319)</f>
        <v>2512</v>
      </c>
    </row>
    <row r="291" spans="1:16" x14ac:dyDescent="0.3">
      <c r="A291" s="94">
        <v>44621</v>
      </c>
      <c r="B291" s="143"/>
      <c r="C291" s="92">
        <f t="shared" si="51"/>
        <v>406476.12</v>
      </c>
      <c r="D291" s="92">
        <f>SUM('CA brut produits &amp; sites'!D309:D320)</f>
        <v>203737.76999999996</v>
      </c>
      <c r="E291" s="92">
        <f>SUM('CA brut produits &amp; sites'!E309:E320)</f>
        <v>20238.96</v>
      </c>
      <c r="F291" s="92">
        <f>SUM('CA brut produits &amp; sites'!F309:F320)</f>
        <v>13406.369999999999</v>
      </c>
      <c r="G291" s="92">
        <f>SUM('CA brut produits &amp; sites'!G309:G320)</f>
        <v>4654.0999999999985</v>
      </c>
      <c r="H291" s="92">
        <f>SUM('CA brut produits &amp; sites'!H309:H320)</f>
        <v>11415.45</v>
      </c>
      <c r="I291" s="92">
        <f>SUM('CA brut produits &amp; sites'!I309:I320)</f>
        <v>2460.3900000000003</v>
      </c>
      <c r="J291" s="92">
        <f>SUM('CA brut produits &amp; sites'!J309:J320)</f>
        <v>10536.600000000002</v>
      </c>
      <c r="K291" s="92">
        <f>SUM('CA brut produits &amp; sites'!K309:K320)</f>
        <v>93361.22</v>
      </c>
      <c r="L291" s="92">
        <f>SUM('CA brut produits &amp; sites'!L309:L320)</f>
        <v>14689.640000000001</v>
      </c>
      <c r="M291" s="92">
        <f>SUM('CA brut produits &amp; sites'!M309:M320)</f>
        <v>1464.87</v>
      </c>
      <c r="N291" s="92">
        <f>SUM('CA brut produits &amp; sites'!N309:N320)</f>
        <v>0</v>
      </c>
      <c r="O291" s="92">
        <f>SUM('CA brut produits &amp; sites'!O309:O320)</f>
        <v>28033.75</v>
      </c>
      <c r="P291" s="93">
        <f>SUM('CA brut produits &amp; sites'!P309:P320)</f>
        <v>2477</v>
      </c>
    </row>
    <row r="292" spans="1:16" x14ac:dyDescent="0.3">
      <c r="A292" s="94">
        <v>44652</v>
      </c>
      <c r="B292" s="143"/>
      <c r="C292" s="92">
        <f t="shared" si="51"/>
        <v>425439.75999999995</v>
      </c>
      <c r="D292" s="92">
        <f>SUM('CA brut produits &amp; sites'!D310:D321)</f>
        <v>216823.07</v>
      </c>
      <c r="E292" s="92">
        <f>SUM('CA brut produits &amp; sites'!E310:E321)</f>
        <v>20383.61</v>
      </c>
      <c r="F292" s="92">
        <f>SUM('CA brut produits &amp; sites'!F310:F321)</f>
        <v>14223.12</v>
      </c>
      <c r="G292" s="92">
        <f>SUM('CA brut produits &amp; sites'!G310:G321)</f>
        <v>4826.1099999999997</v>
      </c>
      <c r="H292" s="92">
        <f>SUM('CA brut produits &amp; sites'!H310:H321)</f>
        <v>12292.320000000002</v>
      </c>
      <c r="I292" s="92">
        <f>SUM('CA brut produits &amp; sites'!I310:I321)</f>
        <v>2326.23</v>
      </c>
      <c r="J292" s="92">
        <f>SUM('CA brut produits &amp; sites'!J310:J321)</f>
        <v>10717.1</v>
      </c>
      <c r="K292" s="92">
        <f>SUM('CA brut produits &amp; sites'!K310:K321)</f>
        <v>96752.239999999991</v>
      </c>
      <c r="L292" s="92">
        <f>SUM('CA brut produits &amp; sites'!L310:L321)</f>
        <v>15159.83</v>
      </c>
      <c r="M292" s="92">
        <f>SUM('CA brut produits &amp; sites'!M310:M321)</f>
        <v>1442.78</v>
      </c>
      <c r="N292" s="92">
        <f>SUM('CA brut produits &amp; sites'!N310:N321)</f>
        <v>0</v>
      </c>
      <c r="O292" s="92">
        <f>SUM('CA brut produits &amp; sites'!O310:O321)</f>
        <v>28016.35</v>
      </c>
      <c r="P292" s="93">
        <f>SUM('CA brut produits &amp; sites'!P310:P321)</f>
        <v>2477</v>
      </c>
    </row>
    <row r="293" spans="1:16" x14ac:dyDescent="0.3">
      <c r="A293" s="94">
        <v>44682</v>
      </c>
      <c r="B293" s="143"/>
      <c r="C293" s="92">
        <f t="shared" si="51"/>
        <v>447578.78</v>
      </c>
      <c r="D293" s="92">
        <f>SUM('CA brut produits &amp; sites'!D311:D322)</f>
        <v>230511.38999999998</v>
      </c>
      <c r="E293" s="92">
        <f>SUM('CA brut produits &amp; sites'!E311:E322)</f>
        <v>20334.849999999999</v>
      </c>
      <c r="F293" s="92">
        <f>SUM('CA brut produits &amp; sites'!F311:F322)</f>
        <v>12761.079999999998</v>
      </c>
      <c r="G293" s="92">
        <f>SUM('CA brut produits &amp; sites'!G311:G322)</f>
        <v>4744.54</v>
      </c>
      <c r="H293" s="92">
        <f>SUM('CA brut produits &amp; sites'!H311:H322)</f>
        <v>12397.03</v>
      </c>
      <c r="I293" s="92">
        <f>SUM('CA brut produits &amp; sites'!I311:I322)</f>
        <v>2303.35</v>
      </c>
      <c r="J293" s="92">
        <f>SUM('CA brut produits &amp; sites'!J311:J322)</f>
        <v>19907.099999999999</v>
      </c>
      <c r="K293" s="92">
        <f>SUM('CA brut produits &amp; sites'!K311:K322)</f>
        <v>97412.820000000022</v>
      </c>
      <c r="L293" s="92">
        <f>SUM('CA brut produits &amp; sites'!L311:L322)</f>
        <v>15311.27</v>
      </c>
      <c r="M293" s="92">
        <f>SUM('CA brut produits &amp; sites'!M311:M322)</f>
        <v>1518.78</v>
      </c>
      <c r="N293" s="92">
        <f>SUM('CA brut produits &amp; sites'!N311:N322)</f>
        <v>0</v>
      </c>
      <c r="O293" s="92">
        <f>SUM('CA brut produits &amp; sites'!O311:O322)</f>
        <v>27899.57</v>
      </c>
      <c r="P293" s="93">
        <f>SUM('CA brut produits &amp; sites'!P311:P322)</f>
        <v>2477</v>
      </c>
    </row>
    <row r="294" spans="1:16" x14ac:dyDescent="0.3">
      <c r="A294" s="94">
        <v>44713</v>
      </c>
      <c r="B294" s="143"/>
      <c r="C294" s="92">
        <f t="shared" si="51"/>
        <v>450002.68</v>
      </c>
      <c r="D294" s="92">
        <f>SUM('CA brut produits &amp; sites'!D312:D323)</f>
        <v>238882.81999999998</v>
      </c>
      <c r="E294" s="92">
        <f>SUM('CA brut produits &amp; sites'!E312:E323)</f>
        <v>18733.940000000002</v>
      </c>
      <c r="F294" s="92">
        <f>SUM('CA brut produits &amp; sites'!F312:F323)</f>
        <v>9788.6999999999989</v>
      </c>
      <c r="G294" s="92">
        <f>SUM('CA brut produits &amp; sites'!G312:G323)</f>
        <v>4612.2199999999993</v>
      </c>
      <c r="H294" s="92">
        <f>SUM('CA brut produits &amp; sites'!H312:H323)</f>
        <v>12658.69</v>
      </c>
      <c r="I294" s="92">
        <f>SUM('CA brut produits &amp; sites'!I312:I323)</f>
        <v>2303.06</v>
      </c>
      <c r="J294" s="92">
        <f>SUM('CA brut produits &amp; sites'!J312:J323)</f>
        <v>17039.5</v>
      </c>
      <c r="K294" s="92">
        <f>SUM('CA brut produits &amp; sites'!K312:K323)</f>
        <v>97945.660000000018</v>
      </c>
      <c r="L294" s="92">
        <f>SUM('CA brut produits &amp; sites'!L312:L323)</f>
        <v>15376.36</v>
      </c>
      <c r="M294" s="92">
        <f>SUM('CA brut produits &amp; sites'!M312:M323)</f>
        <v>2122.7799999999997</v>
      </c>
      <c r="N294" s="92">
        <f>SUM('CA brut produits &amp; sites'!N312:N323)</f>
        <v>0</v>
      </c>
      <c r="O294" s="92">
        <f>SUM('CA brut produits &amp; sites'!O312:O323)</f>
        <v>28196.950000000004</v>
      </c>
      <c r="P294" s="93">
        <f>SUM('CA brut produits &amp; sites'!P312:P323)</f>
        <v>2342</v>
      </c>
    </row>
    <row r="295" spans="1:16" x14ac:dyDescent="0.3">
      <c r="A295" s="94">
        <v>44743</v>
      </c>
      <c r="B295" s="143"/>
      <c r="P295" s="93"/>
    </row>
    <row r="296" spans="1:16" x14ac:dyDescent="0.3">
      <c r="A296" s="94">
        <v>44774</v>
      </c>
      <c r="B296" s="143"/>
      <c r="P296" s="93"/>
    </row>
    <row r="297" spans="1:16" x14ac:dyDescent="0.3">
      <c r="A297" s="94">
        <v>44805</v>
      </c>
      <c r="B297" s="143"/>
      <c r="P297" s="93"/>
    </row>
    <row r="298" spans="1:16" x14ac:dyDescent="0.3">
      <c r="A298" s="94">
        <v>44835</v>
      </c>
      <c r="B298" s="143"/>
      <c r="P298" s="93"/>
    </row>
    <row r="299" spans="1:16" x14ac:dyDescent="0.3">
      <c r="A299" s="94">
        <v>44866</v>
      </c>
      <c r="B299" s="143"/>
      <c r="P299" s="93"/>
    </row>
    <row r="300" spans="1:16" x14ac:dyDescent="0.3">
      <c r="A300" s="94">
        <v>44896</v>
      </c>
      <c r="B300" s="143"/>
      <c r="P300" s="93"/>
    </row>
    <row r="301" spans="1:16" x14ac:dyDescent="0.3">
      <c r="A301" s="94"/>
      <c r="B301" s="143"/>
      <c r="P301" s="93"/>
    </row>
    <row r="302" spans="1:16" x14ac:dyDescent="0.3">
      <c r="A302" s="94"/>
      <c r="B302" s="143"/>
      <c r="P302" s="93"/>
    </row>
    <row r="303" spans="1:16" ht="15" thickBot="1" x14ac:dyDescent="0.35">
      <c r="A303" s="94"/>
      <c r="B303" s="143"/>
      <c r="P303" s="93"/>
    </row>
    <row r="304" spans="1:16" ht="20.7" customHeight="1" x14ac:dyDescent="0.3">
      <c r="A304" s="88">
        <v>41974</v>
      </c>
      <c r="B304" s="145" t="s">
        <v>18</v>
      </c>
      <c r="C304" s="95">
        <f t="shared" ref="C304:C339" si="52">SUM(D304:N304)</f>
        <v>1049502.42</v>
      </c>
      <c r="D304" s="95">
        <f>SUM('CA brut produits &amp; sites'!D307:D341)</f>
        <v>415727.86</v>
      </c>
      <c r="E304" s="95">
        <f>SUM('CA brut produits &amp; sites'!E307:E341)</f>
        <v>72358.569999999992</v>
      </c>
      <c r="F304" s="95">
        <f>SUM('CA brut produits &amp; sites'!F307:F341)</f>
        <v>88124.88</v>
      </c>
      <c r="G304" s="95">
        <f>SUM('CA brut produits &amp; sites'!G307:G341)</f>
        <v>57541.789999999972</v>
      </c>
      <c r="H304" s="95">
        <f>SUM('CA brut produits &amp; sites'!H307:H341)</f>
        <v>17936.090000000004</v>
      </c>
      <c r="I304" s="95">
        <f>SUM('CA brut produits &amp; sites'!I307:I341)</f>
        <v>52172.869999999995</v>
      </c>
      <c r="J304" s="95">
        <f>SUM('CA brut produits &amp; sites'!J307:J341)</f>
        <v>113153.39</v>
      </c>
      <c r="K304" s="95">
        <f>SUM('CA brut produits &amp; sites'!K307:K341)</f>
        <v>208116.06</v>
      </c>
      <c r="L304" s="95">
        <f>SUM('CA brut produits &amp; sites'!L307:L341)</f>
        <v>21134.32</v>
      </c>
      <c r="M304" s="95">
        <f>SUM('CA brut produits &amp; sites'!M307:M341)</f>
        <v>3236.59</v>
      </c>
      <c r="N304" s="95">
        <f>SUM('CA brut produits &amp; sites'!N307:N341)</f>
        <v>0</v>
      </c>
      <c r="O304" s="95">
        <f>SUM('CA brut produits &amp; sites'!O307:O341)</f>
        <v>36460.600000000006</v>
      </c>
      <c r="P304" s="97">
        <f>SUM('CA brut produits &amp; sites'!P307:P341)</f>
        <v>3002</v>
      </c>
    </row>
    <row r="305" spans="1:16" x14ac:dyDescent="0.3">
      <c r="A305" s="87">
        <v>42005</v>
      </c>
      <c r="B305" s="146"/>
      <c r="C305" s="92">
        <f t="shared" si="52"/>
        <v>530510.14999999991</v>
      </c>
      <c r="D305" s="92">
        <f>SUM('CA brut produits &amp; sites'!D331:D342)</f>
        <v>120992.63999999998</v>
      </c>
      <c r="E305" s="92">
        <f>SUM('CA brut produits &amp; sites'!E331:E342)</f>
        <v>46939.099999999991</v>
      </c>
      <c r="F305" s="92">
        <f>SUM('CA brut produits &amp; sites'!F331:F342)</f>
        <v>72318.19</v>
      </c>
      <c r="G305" s="92">
        <f>SUM('CA brut produits &amp; sites'!G331:G342)</f>
        <v>54943.529999999984</v>
      </c>
      <c r="H305" s="92">
        <f>SUM('CA brut produits &amp; sites'!H331:H342)</f>
        <v>4965.43</v>
      </c>
      <c r="I305" s="92">
        <f>SUM('CA brut produits &amp; sites'!I331:I342)</f>
        <v>51355.610000000008</v>
      </c>
      <c r="J305" s="92">
        <f>SUM('CA brut produits &amp; sites'!J331:J342)</f>
        <v>96258.31</v>
      </c>
      <c r="K305" s="92">
        <f>SUM('CA brut produits &amp; sites'!K331:K342)</f>
        <v>81018.22</v>
      </c>
      <c r="L305" s="92">
        <f>SUM('CA brut produits &amp; sites'!L331:L342)</f>
        <v>776.54</v>
      </c>
      <c r="M305" s="92">
        <f>SUM('CA brut produits &amp; sites'!M331:M342)</f>
        <v>942.57999999999981</v>
      </c>
      <c r="N305" s="92">
        <f>SUM('CA brut produits &amp; sites'!N331:N342)</f>
        <v>0</v>
      </c>
      <c r="O305" s="92">
        <f>SUM('CA brut produits &amp; sites'!O331:O342)</f>
        <v>0</v>
      </c>
      <c r="P305" s="93">
        <f>SUM('CA brut produits &amp; sites'!P331:P342)</f>
        <v>0</v>
      </c>
    </row>
    <row r="306" spans="1:16" x14ac:dyDescent="0.3">
      <c r="A306" s="87">
        <v>42036</v>
      </c>
      <c r="B306" s="146"/>
      <c r="C306" s="92">
        <f t="shared" si="52"/>
        <v>487657.11</v>
      </c>
      <c r="D306" s="92">
        <f>SUM('CA brut produits &amp; sites'!D332:D343)</f>
        <v>117737.79999999999</v>
      </c>
      <c r="E306" s="92">
        <f>SUM('CA brut produits &amp; sites'!E332:E343)</f>
        <v>42878.749999999993</v>
      </c>
      <c r="F306" s="92">
        <f>SUM('CA brut produits &amp; sites'!F332:F343)</f>
        <v>71466.560000000012</v>
      </c>
      <c r="G306" s="92">
        <f>SUM('CA brut produits &amp; sites'!G332:G343)</f>
        <v>52706.959999999977</v>
      </c>
      <c r="H306" s="92">
        <f>SUM('CA brut produits &amp; sites'!H332:H343)</f>
        <v>5152.3600000000006</v>
      </c>
      <c r="I306" s="92">
        <f>SUM('CA brut produits &amp; sites'!I332:I343)</f>
        <v>42477.840000000004</v>
      </c>
      <c r="J306" s="92">
        <f>SUM('CA brut produits &amp; sites'!J332:J343)</f>
        <v>76734.209999999992</v>
      </c>
      <c r="K306" s="92">
        <f>SUM('CA brut produits &amp; sites'!K332:K343)</f>
        <v>77045.510000000009</v>
      </c>
      <c r="L306" s="92">
        <f>SUM('CA brut produits &amp; sites'!L332:L343)</f>
        <v>609.76</v>
      </c>
      <c r="M306" s="92">
        <f>SUM('CA brut produits &amp; sites'!M332:M343)</f>
        <v>847.36</v>
      </c>
      <c r="N306" s="92">
        <f>SUM('CA brut produits &amp; sites'!N332:N343)</f>
        <v>0</v>
      </c>
      <c r="O306" s="92">
        <f>SUM('CA brut produits &amp; sites'!O332:O343)</f>
        <v>0</v>
      </c>
      <c r="P306" s="93">
        <f>SUM('CA brut produits &amp; sites'!P332:P343)</f>
        <v>0</v>
      </c>
    </row>
    <row r="307" spans="1:16" x14ac:dyDescent="0.3">
      <c r="A307" s="87">
        <v>42064</v>
      </c>
      <c r="B307" s="146"/>
      <c r="C307" s="92">
        <f t="shared" si="52"/>
        <v>500228.89999999997</v>
      </c>
      <c r="D307" s="92">
        <f>SUM('CA brut produits &amp; sites'!D333:D344)</f>
        <v>124586.61999999998</v>
      </c>
      <c r="E307" s="92">
        <f>SUM('CA brut produits &amp; sites'!E333:E344)</f>
        <v>42484.79</v>
      </c>
      <c r="F307" s="92">
        <f>SUM('CA brut produits &amp; sites'!F333:F344)</f>
        <v>71773.290000000008</v>
      </c>
      <c r="G307" s="92">
        <f>SUM('CA brut produits &amp; sites'!G333:G344)</f>
        <v>51286.129999999983</v>
      </c>
      <c r="H307" s="92">
        <f>SUM('CA brut produits &amp; sites'!H333:H344)</f>
        <v>6660.51</v>
      </c>
      <c r="I307" s="92">
        <f>SUM('CA brut produits &amp; sites'!I333:I344)</f>
        <v>42211.310000000005</v>
      </c>
      <c r="J307" s="92">
        <f>SUM('CA brut produits &amp; sites'!J333:J344)</f>
        <v>77756.58</v>
      </c>
      <c r="K307" s="92">
        <f>SUM('CA brut produits &amp; sites'!K333:K344)</f>
        <v>81521.750000000015</v>
      </c>
      <c r="L307" s="92">
        <f>SUM('CA brut produits &amp; sites'!L333:L344)</f>
        <v>634.17999999999995</v>
      </c>
      <c r="M307" s="92">
        <f>SUM('CA brut produits &amp; sites'!M333:M344)</f>
        <v>1313.7399999999998</v>
      </c>
      <c r="N307" s="92">
        <f>SUM('CA brut produits &amp; sites'!N333:N344)</f>
        <v>0</v>
      </c>
      <c r="O307" s="92">
        <f>SUM('CA brut produits &amp; sites'!O333:O344)</f>
        <v>0</v>
      </c>
      <c r="P307" s="93">
        <f>SUM('CA brut produits &amp; sites'!P333:P344)</f>
        <v>0</v>
      </c>
    </row>
    <row r="308" spans="1:16" x14ac:dyDescent="0.3">
      <c r="A308" s="87">
        <v>42095</v>
      </c>
      <c r="B308" s="146"/>
      <c r="C308" s="92">
        <f t="shared" si="52"/>
        <v>495899.04000000004</v>
      </c>
      <c r="D308" s="92">
        <f>SUM('CA brut produits &amp; sites'!D334:D345)</f>
        <v>126765.33999999998</v>
      </c>
      <c r="E308" s="92">
        <f>SUM('CA brut produits &amp; sites'!E334:E345)</f>
        <v>41014.93</v>
      </c>
      <c r="F308" s="92">
        <f>SUM('CA brut produits &amp; sites'!F334:F345)</f>
        <v>70752.250000000015</v>
      </c>
      <c r="G308" s="92">
        <f>SUM('CA brut produits &amp; sites'!G334:G345)</f>
        <v>48830.509999999987</v>
      </c>
      <c r="H308" s="92">
        <f>SUM('CA brut produits &amp; sites'!H334:H345)</f>
        <v>6626.31</v>
      </c>
      <c r="I308" s="92">
        <f>SUM('CA brut produits &amp; sites'!I334:I345)</f>
        <v>43002.41</v>
      </c>
      <c r="J308" s="92">
        <f>SUM('CA brut produits &amp; sites'!J334:J345)</f>
        <v>74719.86</v>
      </c>
      <c r="K308" s="92">
        <f>SUM('CA brut produits &amp; sites'!K334:K345)</f>
        <v>81732.920000000013</v>
      </c>
      <c r="L308" s="92">
        <f>SUM('CA brut produits &amp; sites'!L334:L345)</f>
        <v>680.96</v>
      </c>
      <c r="M308" s="92">
        <f>SUM('CA brut produits &amp; sites'!M334:M345)</f>
        <v>1773.5499999999997</v>
      </c>
      <c r="N308" s="92">
        <f>SUM('CA brut produits &amp; sites'!N334:N345)</f>
        <v>0</v>
      </c>
      <c r="O308" s="92">
        <f>SUM('CA brut produits &amp; sites'!O334:O345)</f>
        <v>0</v>
      </c>
      <c r="P308" s="93">
        <f>SUM('CA brut produits &amp; sites'!P334:P345)</f>
        <v>0</v>
      </c>
    </row>
    <row r="309" spans="1:16" x14ac:dyDescent="0.3">
      <c r="A309" s="87">
        <v>42125</v>
      </c>
      <c r="B309" s="146"/>
      <c r="C309" s="92">
        <f t="shared" si="52"/>
        <v>499191.58999999997</v>
      </c>
      <c r="D309" s="92">
        <f>SUM('CA brut produits &amp; sites'!D335:D346)</f>
        <v>129100.09</v>
      </c>
      <c r="E309" s="92">
        <f>SUM('CA brut produits &amp; sites'!E335:E346)</f>
        <v>41715.53</v>
      </c>
      <c r="F309" s="92">
        <f>SUM('CA brut produits &amp; sites'!F335:F346)</f>
        <v>72346</v>
      </c>
      <c r="G309" s="92">
        <f>SUM('CA brut produits &amp; sites'!G335:G346)</f>
        <v>48266.939999999981</v>
      </c>
      <c r="H309" s="92">
        <f>SUM('CA brut produits &amp; sites'!H335:H346)</f>
        <v>7257.13</v>
      </c>
      <c r="I309" s="92">
        <f>SUM('CA brut produits &amp; sites'!I335:I346)</f>
        <v>40610.639999999999</v>
      </c>
      <c r="J309" s="92">
        <f>SUM('CA brut produits &amp; sites'!J335:J346)</f>
        <v>74986.510000000009</v>
      </c>
      <c r="K309" s="92">
        <f>SUM('CA brut produits &amp; sites'!K335:K346)</f>
        <v>82032.670000000013</v>
      </c>
      <c r="L309" s="92">
        <f>SUM('CA brut produits &amp; sites'!L335:L346)</f>
        <v>662.79</v>
      </c>
      <c r="M309" s="92">
        <f>SUM('CA brut produits &amp; sites'!M335:M346)</f>
        <v>2213.29</v>
      </c>
      <c r="N309" s="92">
        <f>SUM('CA brut produits &amp; sites'!N335:N346)</f>
        <v>0</v>
      </c>
      <c r="O309" s="92">
        <f>SUM('CA brut produits &amp; sites'!O335:O346)</f>
        <v>0</v>
      </c>
      <c r="P309" s="93">
        <f>SUM('CA brut produits &amp; sites'!P335:P346)</f>
        <v>0</v>
      </c>
    </row>
    <row r="310" spans="1:16" x14ac:dyDescent="0.3">
      <c r="A310" s="87">
        <v>42156</v>
      </c>
      <c r="B310" s="146"/>
      <c r="C310" s="92">
        <f t="shared" si="52"/>
        <v>508850.68000000005</v>
      </c>
      <c r="D310" s="92">
        <f>SUM('CA brut produits &amp; sites'!D336:D347)</f>
        <v>134873.88999999998</v>
      </c>
      <c r="E310" s="92">
        <f>SUM('CA brut produits &amp; sites'!E336:E347)</f>
        <v>39138.019999999997</v>
      </c>
      <c r="F310" s="92">
        <f>SUM('CA brut produits &amp; sites'!F336:F347)</f>
        <v>74636.100000000006</v>
      </c>
      <c r="G310" s="92">
        <f>SUM('CA brut produits &amp; sites'!G336:G347)</f>
        <v>45564.409999999996</v>
      </c>
      <c r="H310" s="92">
        <f>SUM('CA brut produits &amp; sites'!H336:H347)</f>
        <v>7492.77</v>
      </c>
      <c r="I310" s="92">
        <f>SUM('CA brut produits &amp; sites'!I336:I347)</f>
        <v>41102.14</v>
      </c>
      <c r="J310" s="92">
        <f>SUM('CA brut produits &amp; sites'!J336:J347)</f>
        <v>77255.390000000014</v>
      </c>
      <c r="K310" s="92">
        <f>SUM('CA brut produits &amp; sites'!K336:K347)</f>
        <v>85679.35</v>
      </c>
      <c r="L310" s="92">
        <f>SUM('CA brut produits &amp; sites'!L336:L347)</f>
        <v>715.74</v>
      </c>
      <c r="M310" s="92">
        <f>SUM('CA brut produits &amp; sites'!M336:M347)</f>
        <v>2392.87</v>
      </c>
      <c r="N310" s="92">
        <f>SUM('CA brut produits &amp; sites'!N336:N347)</f>
        <v>0</v>
      </c>
      <c r="O310" s="92">
        <f>SUM('CA brut produits &amp; sites'!O336:O347)</f>
        <v>0</v>
      </c>
      <c r="P310" s="93">
        <f>SUM('CA brut produits &amp; sites'!P336:P347)</f>
        <v>0</v>
      </c>
    </row>
    <row r="311" spans="1:16" x14ac:dyDescent="0.3">
      <c r="A311" s="87">
        <v>42186</v>
      </c>
      <c r="B311" s="146"/>
      <c r="C311" s="92">
        <f t="shared" si="52"/>
        <v>521436.77999999997</v>
      </c>
      <c r="D311" s="92">
        <f>SUM('CA brut produits &amp; sites'!D337:D348)</f>
        <v>134782.16999999998</v>
      </c>
      <c r="E311" s="92">
        <f>SUM('CA brut produits &amp; sites'!E337:E348)</f>
        <v>39084</v>
      </c>
      <c r="F311" s="92">
        <f>SUM('CA brut produits &amp; sites'!F337:F348)</f>
        <v>82523.86</v>
      </c>
      <c r="G311" s="92">
        <f>SUM('CA brut produits &amp; sites'!G337:G348)</f>
        <v>43969.64</v>
      </c>
      <c r="H311" s="92">
        <f>SUM('CA brut produits &amp; sites'!H337:H348)</f>
        <v>7336.35</v>
      </c>
      <c r="I311" s="92">
        <f>SUM('CA brut produits &amp; sites'!I337:I348)</f>
        <v>38075.360000000008</v>
      </c>
      <c r="J311" s="92">
        <f>SUM('CA brut produits &amp; sites'!J337:J348)</f>
        <v>86761.390000000014</v>
      </c>
      <c r="K311" s="92">
        <f>SUM('CA brut produits &amp; sites'!K337:K348)</f>
        <v>86571.88</v>
      </c>
      <c r="L311" s="92">
        <f>SUM('CA brut produits &amp; sites'!L337:L348)</f>
        <v>834.54</v>
      </c>
      <c r="M311" s="92">
        <f>SUM('CA brut produits &amp; sites'!M337:M348)</f>
        <v>1497.59</v>
      </c>
      <c r="N311" s="92">
        <f>SUM('CA brut produits &amp; sites'!N337:N348)</f>
        <v>0</v>
      </c>
      <c r="O311" s="92">
        <f>SUM('CA brut produits &amp; sites'!O337:O348)</f>
        <v>0</v>
      </c>
      <c r="P311" s="93">
        <f>SUM('CA brut produits &amp; sites'!P337:P348)</f>
        <v>0</v>
      </c>
    </row>
    <row r="312" spans="1:16" x14ac:dyDescent="0.3">
      <c r="A312" s="87">
        <v>42217</v>
      </c>
      <c r="B312" s="146"/>
      <c r="C312" s="92">
        <f t="shared" si="52"/>
        <v>541199.52</v>
      </c>
      <c r="D312" s="92">
        <f>SUM('CA brut produits &amp; sites'!D338:D349)</f>
        <v>135321.25</v>
      </c>
      <c r="E312" s="92">
        <f>SUM('CA brut produits &amp; sites'!E338:E349)</f>
        <v>39385.620000000003</v>
      </c>
      <c r="F312" s="92">
        <f>SUM('CA brut produits &amp; sites'!F338:F349)</f>
        <v>91641.279999999984</v>
      </c>
      <c r="G312" s="92">
        <f>SUM('CA brut produits &amp; sites'!G338:G349)</f>
        <v>43644.570000000007</v>
      </c>
      <c r="H312" s="92">
        <f>SUM('CA brut produits &amp; sites'!H338:H349)</f>
        <v>7376.3</v>
      </c>
      <c r="I312" s="92">
        <f>SUM('CA brut produits &amp; sites'!I338:I349)</f>
        <v>39005.629999999997</v>
      </c>
      <c r="J312" s="92">
        <f>SUM('CA brut produits &amp; sites'!J338:J349)</f>
        <v>96682.620000000024</v>
      </c>
      <c r="K312" s="92">
        <f>SUM('CA brut produits &amp; sites'!K338:K349)</f>
        <v>85687.86</v>
      </c>
      <c r="L312" s="92">
        <f>SUM('CA brut produits &amp; sites'!L338:L349)</f>
        <v>1002.49</v>
      </c>
      <c r="M312" s="92">
        <f>SUM('CA brut produits &amp; sites'!M338:M349)</f>
        <v>1451.9000000000003</v>
      </c>
      <c r="N312" s="92">
        <f>SUM('CA brut produits &amp; sites'!N338:N349)</f>
        <v>0</v>
      </c>
      <c r="O312" s="92">
        <f>SUM('CA brut produits &amp; sites'!O338:O349)</f>
        <v>0</v>
      </c>
      <c r="P312" s="93">
        <f>SUM('CA brut produits &amp; sites'!P338:P349)</f>
        <v>0</v>
      </c>
    </row>
    <row r="313" spans="1:16" x14ac:dyDescent="0.3">
      <c r="A313" s="87">
        <v>42248</v>
      </c>
      <c r="B313" s="146"/>
      <c r="C313" s="92">
        <f t="shared" si="52"/>
        <v>573956.29</v>
      </c>
      <c r="D313" s="92">
        <f>SUM('CA brut produits &amp; sites'!D339:D350)</f>
        <v>147682.39000000001</v>
      </c>
      <c r="E313" s="92">
        <f>SUM('CA brut produits &amp; sites'!E339:E350)</f>
        <v>39108.5</v>
      </c>
      <c r="F313" s="92">
        <f>SUM('CA brut produits &amp; sites'!F339:F350)</f>
        <v>94107.31</v>
      </c>
      <c r="G313" s="92">
        <f>SUM('CA brut produits &amp; sites'!G339:G350)</f>
        <v>41792.699999999997</v>
      </c>
      <c r="H313" s="92">
        <f>SUM('CA brut produits &amp; sites'!H339:H350)</f>
        <v>6961.5599999999995</v>
      </c>
      <c r="I313" s="92">
        <f>SUM('CA brut produits &amp; sites'!I339:I350)</f>
        <v>31187.020000000004</v>
      </c>
      <c r="J313" s="92">
        <f>SUM('CA brut produits &amp; sites'!J339:J350)</f>
        <v>119474.25</v>
      </c>
      <c r="K313" s="92">
        <f>SUM('CA brut produits &amp; sites'!K339:K350)</f>
        <v>91242.18</v>
      </c>
      <c r="L313" s="92">
        <f>SUM('CA brut produits &amp; sites'!L339:L350)</f>
        <v>913.6400000000001</v>
      </c>
      <c r="M313" s="92">
        <f>SUM('CA brut produits &amp; sites'!M339:M350)</f>
        <v>1486.7400000000002</v>
      </c>
      <c r="N313" s="92">
        <f>SUM('CA brut produits &amp; sites'!N339:N350)</f>
        <v>0</v>
      </c>
      <c r="O313" s="92">
        <f>SUM('CA brut produits &amp; sites'!O339:O350)</f>
        <v>0</v>
      </c>
      <c r="P313" s="93">
        <f>SUM('CA brut produits &amp; sites'!P339:P350)</f>
        <v>0</v>
      </c>
    </row>
    <row r="314" spans="1:16" x14ac:dyDescent="0.3">
      <c r="A314" s="87">
        <v>42278</v>
      </c>
      <c r="B314" s="146"/>
      <c r="C314" s="92">
        <f t="shared" si="52"/>
        <v>576750.27999999991</v>
      </c>
      <c r="D314" s="92">
        <f>SUM('CA brut produits &amp; sites'!D340:D351)</f>
        <v>146818.93</v>
      </c>
      <c r="E314" s="92">
        <f>SUM('CA brut produits &amp; sites'!E340:E351)</f>
        <v>38224.300000000003</v>
      </c>
      <c r="F314" s="92">
        <f>SUM('CA brut produits &amp; sites'!F340:F351)</f>
        <v>99890.75</v>
      </c>
      <c r="G314" s="92">
        <f>SUM('CA brut produits &amp; sites'!G340:G351)</f>
        <v>39664.699999999997</v>
      </c>
      <c r="H314" s="92">
        <f>SUM('CA brut produits &amp; sites'!H340:H351)</f>
        <v>6975.54</v>
      </c>
      <c r="I314" s="92">
        <f>SUM('CA brut produits &amp; sites'!I340:I351)</f>
        <v>33422.870000000003</v>
      </c>
      <c r="J314" s="92">
        <f>SUM('CA brut produits &amp; sites'!J340:J351)</f>
        <v>116632.97000000003</v>
      </c>
      <c r="K314" s="92">
        <f>SUM('CA brut produits &amp; sites'!K340:K351)</f>
        <v>92399.9</v>
      </c>
      <c r="L314" s="92">
        <f>SUM('CA brut produits &amp; sites'!L340:L351)</f>
        <v>944.84</v>
      </c>
      <c r="M314" s="92">
        <f>SUM('CA brut produits &amp; sites'!M340:M351)</f>
        <v>1775.48</v>
      </c>
      <c r="N314" s="92">
        <f>SUM('CA brut produits &amp; sites'!N340:N351)</f>
        <v>0</v>
      </c>
      <c r="O314" s="92">
        <f>SUM('CA brut produits &amp; sites'!O340:O351)</f>
        <v>0</v>
      </c>
      <c r="P314" s="93">
        <f>SUM('CA brut produits &amp; sites'!P340:P351)</f>
        <v>0</v>
      </c>
    </row>
    <row r="315" spans="1:16" x14ac:dyDescent="0.3">
      <c r="A315" s="87">
        <v>42309</v>
      </c>
      <c r="B315" s="146"/>
      <c r="C315" s="92">
        <f t="shared" si="52"/>
        <v>602605.54</v>
      </c>
      <c r="D315" s="92">
        <f>SUM('CA brut produits &amp; sites'!D341:D352)</f>
        <v>162414.99</v>
      </c>
      <c r="E315" s="92">
        <f>SUM('CA brut produits &amp; sites'!E341:E352)</f>
        <v>35950.25</v>
      </c>
      <c r="F315" s="92">
        <f>SUM('CA brut produits &amp; sites'!F341:F352)</f>
        <v>113141.55000000002</v>
      </c>
      <c r="G315" s="92">
        <f>SUM('CA brut produits &amp; sites'!G341:G352)</f>
        <v>39293.949999999997</v>
      </c>
      <c r="H315" s="92">
        <f>SUM('CA brut produits &amp; sites'!H341:H352)</f>
        <v>6286.7999999999993</v>
      </c>
      <c r="I315" s="92">
        <f>SUM('CA brut produits &amp; sites'!I341:I352)</f>
        <v>38968.200000000012</v>
      </c>
      <c r="J315" s="92">
        <f>SUM('CA brut produits &amp; sites'!J341:J352)</f>
        <v>108539.17000000001</v>
      </c>
      <c r="K315" s="92">
        <f>SUM('CA brut produits &amp; sites'!K341:K352)</f>
        <v>95270.689999999988</v>
      </c>
      <c r="L315" s="92">
        <f>SUM('CA brut produits &amp; sites'!L341:L352)</f>
        <v>921.89</v>
      </c>
      <c r="M315" s="92">
        <f>SUM('CA brut produits &amp; sites'!M341:M352)</f>
        <v>1818.0499999999997</v>
      </c>
      <c r="N315" s="92">
        <f>SUM('CA brut produits &amp; sites'!N341:N352)</f>
        <v>0</v>
      </c>
      <c r="O315" s="92">
        <f>SUM('CA brut produits &amp; sites'!O341:O352)</f>
        <v>0</v>
      </c>
      <c r="P315" s="93">
        <f>SUM('CA brut produits &amp; sites'!P341:P352)</f>
        <v>0</v>
      </c>
    </row>
    <row r="316" spans="1:16" x14ac:dyDescent="0.3">
      <c r="A316" s="87">
        <v>42339</v>
      </c>
      <c r="B316" s="146"/>
      <c r="C316" s="92">
        <f t="shared" si="52"/>
        <v>619673.18999999994</v>
      </c>
      <c r="D316" s="92">
        <f>SUM('CA brut produits &amp; sites'!D342:D353)</f>
        <v>172966.67</v>
      </c>
      <c r="E316" s="92">
        <f>SUM('CA brut produits &amp; sites'!E342:E353)</f>
        <v>34650.689999999995</v>
      </c>
      <c r="F316" s="92">
        <f>SUM('CA brut produits &amp; sites'!F342:F353)</f>
        <v>130814.5</v>
      </c>
      <c r="G316" s="92">
        <f>SUM('CA brut produits &amp; sites'!G342:G353)</f>
        <v>38616.120000000003</v>
      </c>
      <c r="H316" s="92">
        <f>SUM('CA brut produits &amp; sites'!H342:H353)</f>
        <v>5567.44</v>
      </c>
      <c r="I316" s="92">
        <f>SUM('CA brut produits &amp; sites'!I342:I353)</f>
        <v>37615.560000000012</v>
      </c>
      <c r="J316" s="92">
        <f>SUM('CA brut produits &amp; sites'!J342:J353)</f>
        <v>101148.97</v>
      </c>
      <c r="K316" s="92">
        <f>SUM('CA brut produits &amp; sites'!K342:K353)</f>
        <v>95087.109999999986</v>
      </c>
      <c r="L316" s="92">
        <f>SUM('CA brut produits &amp; sites'!L342:L353)</f>
        <v>1142.58</v>
      </c>
      <c r="M316" s="92">
        <f>SUM('CA brut produits &amp; sites'!M342:M353)</f>
        <v>2063.5499999999997</v>
      </c>
      <c r="N316" s="92">
        <f>SUM('CA brut produits &amp; sites'!N342:N353)</f>
        <v>0</v>
      </c>
      <c r="O316" s="92">
        <f>SUM('CA brut produits &amp; sites'!O342:O353)</f>
        <v>0</v>
      </c>
      <c r="P316" s="93">
        <f>SUM('CA brut produits &amp; sites'!P342:P353)</f>
        <v>0</v>
      </c>
    </row>
    <row r="317" spans="1:16" x14ac:dyDescent="0.3">
      <c r="A317" s="87">
        <v>42370</v>
      </c>
      <c r="B317" s="146"/>
      <c r="C317" s="92">
        <f t="shared" si="52"/>
        <v>657509.87000000023</v>
      </c>
      <c r="D317" s="92">
        <f>SUM('CA brut produits &amp; sites'!D343:D354)</f>
        <v>188255.15</v>
      </c>
      <c r="E317" s="92">
        <f>SUM('CA brut produits &amp; sites'!E343:E354)</f>
        <v>33511.279999999999</v>
      </c>
      <c r="F317" s="92">
        <f>SUM('CA brut produits &amp; sites'!F343:F354)</f>
        <v>131467.23000000001</v>
      </c>
      <c r="G317" s="92">
        <f>SUM('CA brut produits &amp; sites'!G343:G354)</f>
        <v>37436.760000000009</v>
      </c>
      <c r="H317" s="92">
        <f>SUM('CA brut produits &amp; sites'!H343:H354)</f>
        <v>5428.9900000000007</v>
      </c>
      <c r="I317" s="92">
        <f>SUM('CA brut produits &amp; sites'!I343:I354)</f>
        <v>34550.71</v>
      </c>
      <c r="J317" s="92">
        <f>SUM('CA brut produits &amp; sites'!J343:J354)</f>
        <v>117218.45</v>
      </c>
      <c r="K317" s="92">
        <f>SUM('CA brut produits &amp; sites'!K343:K354)</f>
        <v>105828.00999999998</v>
      </c>
      <c r="L317" s="92">
        <f>SUM('CA brut produits &amp; sites'!L343:L354)</f>
        <v>1136.6799999999998</v>
      </c>
      <c r="M317" s="92">
        <f>SUM('CA brut produits &amp; sites'!M343:M354)</f>
        <v>2303.6799999999998</v>
      </c>
      <c r="N317" s="92">
        <f>SUM('CA brut produits &amp; sites'!N343:N354)</f>
        <v>372.93</v>
      </c>
      <c r="O317" s="92">
        <f>SUM('CA brut produits &amp; sites'!O343:O354)</f>
        <v>0</v>
      </c>
      <c r="P317" s="93">
        <f>SUM('CA brut produits &amp; sites'!P343:P354)</f>
        <v>0</v>
      </c>
    </row>
    <row r="318" spans="1:16" x14ac:dyDescent="0.3">
      <c r="A318" s="87">
        <v>42401</v>
      </c>
      <c r="B318" s="146"/>
      <c r="C318" s="92">
        <f t="shared" si="52"/>
        <v>661078.9800000001</v>
      </c>
      <c r="D318" s="92">
        <f>SUM('CA brut produits &amp; sites'!D344:D355)</f>
        <v>185530.47999999998</v>
      </c>
      <c r="E318" s="92">
        <f>SUM('CA brut produits &amp; sites'!E344:E355)</f>
        <v>34918.009999999995</v>
      </c>
      <c r="F318" s="92">
        <f>SUM('CA brut produits &amp; sites'!F344:F355)</f>
        <v>130458.01000000002</v>
      </c>
      <c r="G318" s="92">
        <f>SUM('CA brut produits &amp; sites'!G344:G355)</f>
        <v>36518.520000000011</v>
      </c>
      <c r="H318" s="92">
        <f>SUM('CA brut produits &amp; sites'!H344:H355)</f>
        <v>5488.06</v>
      </c>
      <c r="I318" s="92">
        <f>SUM('CA brut produits &amp; sites'!I344:I355)</f>
        <v>33145.340000000004</v>
      </c>
      <c r="J318" s="92">
        <f>SUM('CA brut produits &amp; sites'!J344:J355)</f>
        <v>125711.55</v>
      </c>
      <c r="K318" s="92">
        <f>SUM('CA brut produits &amp; sites'!K344:K355)</f>
        <v>104957.95999999998</v>
      </c>
      <c r="L318" s="92">
        <f>SUM('CA brut produits &amp; sites'!L344:L355)</f>
        <v>1293.05</v>
      </c>
      <c r="M318" s="92">
        <f>SUM('CA brut produits &amp; sites'!M344:M355)</f>
        <v>2685.0699999999997</v>
      </c>
      <c r="N318" s="92">
        <f>SUM('CA brut produits &amp; sites'!N344:N355)</f>
        <v>372.93</v>
      </c>
      <c r="O318" s="92">
        <f>SUM('CA brut produits &amp; sites'!O344:O355)</f>
        <v>0</v>
      </c>
      <c r="P318" s="93">
        <f>SUM('CA brut produits &amp; sites'!P344:P355)</f>
        <v>0</v>
      </c>
    </row>
    <row r="319" spans="1:16" x14ac:dyDescent="0.3">
      <c r="A319" s="87">
        <v>42430</v>
      </c>
      <c r="B319" s="146"/>
      <c r="C319" s="92">
        <f t="shared" si="52"/>
        <v>664741.04000000015</v>
      </c>
      <c r="D319" s="92">
        <f>SUM('CA brut produits &amp; sites'!D345:D356)</f>
        <v>182577</v>
      </c>
      <c r="E319" s="92">
        <f>SUM('CA brut produits &amp; sites'!E345:E356)</f>
        <v>35841.859999999993</v>
      </c>
      <c r="F319" s="92">
        <f>SUM('CA brut produits &amp; sites'!F345:F356)</f>
        <v>129368.18000000001</v>
      </c>
      <c r="G319" s="92">
        <f>SUM('CA brut produits &amp; sites'!G345:G356)</f>
        <v>36440.600000000013</v>
      </c>
      <c r="H319" s="92">
        <f>SUM('CA brut produits &amp; sites'!H345:H356)</f>
        <v>4754.18</v>
      </c>
      <c r="I319" s="92">
        <f>SUM('CA brut produits &amp; sites'!I345:I356)</f>
        <v>29531.870000000003</v>
      </c>
      <c r="J319" s="92">
        <f>SUM('CA brut produits &amp; sites'!J345:J356)</f>
        <v>138037.15000000002</v>
      </c>
      <c r="K319" s="92">
        <f>SUM('CA brut produits &amp; sites'!K345:K356)</f>
        <v>103632.94999999997</v>
      </c>
      <c r="L319" s="92">
        <f>SUM('CA brut produits &amp; sites'!L345:L356)</f>
        <v>1488.81</v>
      </c>
      <c r="M319" s="92">
        <f>SUM('CA brut produits &amp; sites'!M345:M356)</f>
        <v>2695.5099999999998</v>
      </c>
      <c r="N319" s="92">
        <f>SUM('CA brut produits &amp; sites'!N345:N356)</f>
        <v>372.93</v>
      </c>
      <c r="O319" s="92">
        <f>SUM('CA brut produits &amp; sites'!O345:O356)</f>
        <v>0</v>
      </c>
      <c r="P319" s="93">
        <f>SUM('CA brut produits &amp; sites'!P345:P356)</f>
        <v>0</v>
      </c>
    </row>
    <row r="320" spans="1:16" x14ac:dyDescent="0.3">
      <c r="A320" s="87">
        <v>42461</v>
      </c>
      <c r="B320" s="146"/>
      <c r="C320" s="92">
        <f t="shared" si="52"/>
        <v>671087.15999999992</v>
      </c>
      <c r="D320" s="92">
        <f>SUM('CA brut produits &amp; sites'!D346:D357)</f>
        <v>180275.96999999997</v>
      </c>
      <c r="E320" s="92">
        <f>SUM('CA brut produits &amp; sites'!E346:E357)</f>
        <v>36244.899999999994</v>
      </c>
      <c r="F320" s="92">
        <f>SUM('CA brut produits &amp; sites'!F346:F357)</f>
        <v>131874.96000000002</v>
      </c>
      <c r="G320" s="92">
        <f>SUM('CA brut produits &amp; sites'!G346:G357)</f>
        <v>36979.80000000001</v>
      </c>
      <c r="H320" s="92">
        <f>SUM('CA brut produits &amp; sites'!H346:H357)</f>
        <v>4752.5</v>
      </c>
      <c r="I320" s="92">
        <f>SUM('CA brut produits &amp; sites'!I346:I357)</f>
        <v>28152.380000000005</v>
      </c>
      <c r="J320" s="92">
        <f>SUM('CA brut produits &amp; sites'!J346:J357)</f>
        <v>144763.85000000003</v>
      </c>
      <c r="K320" s="92">
        <f>SUM('CA brut produits &amp; sites'!K346:K357)</f>
        <v>103249.30999999998</v>
      </c>
      <c r="L320" s="92">
        <f>SUM('CA brut produits &amp; sites'!L346:L357)</f>
        <v>1651.2200000000003</v>
      </c>
      <c r="M320" s="92">
        <f>SUM('CA brut produits &amp; sites'!M346:M357)</f>
        <v>2395.4800000000005</v>
      </c>
      <c r="N320" s="92">
        <f>SUM('CA brut produits &amp; sites'!N346:N357)</f>
        <v>746.79</v>
      </c>
      <c r="O320" s="92">
        <f>SUM('CA brut produits &amp; sites'!O346:O357)</f>
        <v>0</v>
      </c>
      <c r="P320" s="93">
        <f>SUM('CA brut produits &amp; sites'!P346:P357)</f>
        <v>0</v>
      </c>
    </row>
    <row r="321" spans="1:16" x14ac:dyDescent="0.3">
      <c r="A321" s="87">
        <v>42491</v>
      </c>
      <c r="B321" s="146"/>
      <c r="C321" s="92">
        <f t="shared" si="52"/>
        <v>716889.67</v>
      </c>
      <c r="D321" s="92">
        <f>SUM('CA brut produits &amp; sites'!D347:D358)</f>
        <v>188484.97</v>
      </c>
      <c r="E321" s="92">
        <f>SUM('CA brut produits &amp; sites'!E347:E358)</f>
        <v>35631.85</v>
      </c>
      <c r="F321" s="92">
        <f>SUM('CA brut produits &amp; sites'!F347:F358)</f>
        <v>148834.1</v>
      </c>
      <c r="G321" s="92">
        <f>SUM('CA brut produits &amp; sites'!G347:G358)</f>
        <v>35207.240000000005</v>
      </c>
      <c r="H321" s="92">
        <f>SUM('CA brut produits &amp; sites'!H347:H358)</f>
        <v>4419.1699999999992</v>
      </c>
      <c r="I321" s="92">
        <f>SUM('CA brut produits &amp; sites'!I347:I358)</f>
        <v>28764.33</v>
      </c>
      <c r="J321" s="92">
        <f>SUM('CA brut produits &amp; sites'!J347:J358)</f>
        <v>166688.60000000003</v>
      </c>
      <c r="K321" s="92">
        <f>SUM('CA brut produits &amp; sites'!K347:K358)</f>
        <v>104067.62999999998</v>
      </c>
      <c r="L321" s="92">
        <f>SUM('CA brut produits &amp; sites'!L347:L358)</f>
        <v>1768.85</v>
      </c>
      <c r="M321" s="92">
        <f>SUM('CA brut produits &amp; sites'!M347:M358)</f>
        <v>2276.1400000000003</v>
      </c>
      <c r="N321" s="92">
        <f>SUM('CA brut produits &amp; sites'!N347:N358)</f>
        <v>746.79</v>
      </c>
      <c r="O321" s="92">
        <f>SUM('CA brut produits &amp; sites'!O347:O358)</f>
        <v>0</v>
      </c>
      <c r="P321" s="93">
        <f>SUM('CA brut produits &amp; sites'!P347:P358)</f>
        <v>0</v>
      </c>
    </row>
    <row r="322" spans="1:16" x14ac:dyDescent="0.3">
      <c r="A322" s="87">
        <v>42522</v>
      </c>
      <c r="B322" s="146"/>
      <c r="C322" s="92">
        <f t="shared" si="52"/>
        <v>748228.48</v>
      </c>
      <c r="D322" s="92">
        <f>SUM('CA brut produits &amp; sites'!D348:D359)</f>
        <v>203946.40999999997</v>
      </c>
      <c r="E322" s="92">
        <f>SUM('CA brut produits &amp; sites'!E348:E359)</f>
        <v>34768.36</v>
      </c>
      <c r="F322" s="92">
        <f>SUM('CA brut produits &amp; sites'!F348:F359)</f>
        <v>160720.65999999997</v>
      </c>
      <c r="G322" s="92">
        <f>SUM('CA brut produits &amp; sites'!G348:G359)</f>
        <v>34599.160000000003</v>
      </c>
      <c r="H322" s="92">
        <f>SUM('CA brut produits &amp; sites'!H348:H359)</f>
        <v>4393.67</v>
      </c>
      <c r="I322" s="92">
        <f>SUM('CA brut produits &amp; sites'!I348:I359)</f>
        <v>27471.460000000003</v>
      </c>
      <c r="J322" s="92">
        <f>SUM('CA brut produits &amp; sites'!J348:J359)</f>
        <v>173786.72</v>
      </c>
      <c r="K322" s="92">
        <f>SUM('CA brut produits &amp; sites'!K348:K359)</f>
        <v>103645.84</v>
      </c>
      <c r="L322" s="92">
        <f>SUM('CA brut produits &amp; sites'!L348:L359)</f>
        <v>1816.3100000000002</v>
      </c>
      <c r="M322" s="92">
        <f>SUM('CA brut produits &amp; sites'!M348:M359)</f>
        <v>2333.1000000000004</v>
      </c>
      <c r="N322" s="92">
        <f>SUM('CA brut produits &amp; sites'!N348:N359)</f>
        <v>746.79</v>
      </c>
      <c r="O322" s="92">
        <f>SUM('CA brut produits &amp; sites'!O348:O359)</f>
        <v>0</v>
      </c>
      <c r="P322" s="93">
        <f>SUM('CA brut produits &amp; sites'!P348:P359)</f>
        <v>0</v>
      </c>
    </row>
    <row r="323" spans="1:16" x14ac:dyDescent="0.3">
      <c r="A323" s="87">
        <v>42552</v>
      </c>
      <c r="B323" s="146"/>
      <c r="C323" s="92">
        <f t="shared" si="52"/>
        <v>751606.56</v>
      </c>
      <c r="D323" s="92">
        <f>SUM('CA brut produits &amp; sites'!D349:D360)</f>
        <v>210192.45999999996</v>
      </c>
      <c r="E323" s="92">
        <f>SUM('CA brut produits &amp; sites'!E349:E360)</f>
        <v>35202.229999999996</v>
      </c>
      <c r="F323" s="92">
        <f>SUM('CA brut produits &amp; sites'!F349:F360)</f>
        <v>161000.31000000003</v>
      </c>
      <c r="G323" s="92">
        <f>SUM('CA brut produits &amp; sites'!G349:G360)</f>
        <v>34608.75</v>
      </c>
      <c r="H323" s="92">
        <f>SUM('CA brut produits &amp; sites'!H349:H360)</f>
        <v>4819.34</v>
      </c>
      <c r="I323" s="92">
        <f>SUM('CA brut produits &amp; sites'!I349:I360)</f>
        <v>31134.390000000003</v>
      </c>
      <c r="J323" s="92">
        <f>SUM('CA brut produits &amp; sites'!J349:J360)</f>
        <v>166894.54</v>
      </c>
      <c r="K323" s="92">
        <f>SUM('CA brut produits &amp; sites'!K349:K360)</f>
        <v>101884.78</v>
      </c>
      <c r="L323" s="92">
        <f>SUM('CA brut produits &amp; sites'!L349:L360)</f>
        <v>1869.5800000000004</v>
      </c>
      <c r="M323" s="92">
        <f>SUM('CA brut produits &amp; sites'!M349:M360)</f>
        <v>3253.39</v>
      </c>
      <c r="N323" s="92">
        <f>SUM('CA brut produits &amp; sites'!N349:N360)</f>
        <v>746.79</v>
      </c>
      <c r="O323" s="92">
        <f>SUM('CA brut produits &amp; sites'!O349:O360)</f>
        <v>0</v>
      </c>
      <c r="P323" s="93">
        <f>SUM('CA brut produits &amp; sites'!P349:P360)</f>
        <v>0</v>
      </c>
    </row>
    <row r="324" spans="1:16" x14ac:dyDescent="0.3">
      <c r="A324" s="87">
        <v>42583</v>
      </c>
      <c r="B324" s="146"/>
      <c r="C324" s="92">
        <f t="shared" si="52"/>
        <v>745671.95</v>
      </c>
      <c r="D324" s="92">
        <f>SUM('CA brut produits &amp; sites'!D350:D361)</f>
        <v>207794.21999999997</v>
      </c>
      <c r="E324" s="92">
        <f>SUM('CA brut produits &amp; sites'!E350:E361)</f>
        <v>34696.019999999997</v>
      </c>
      <c r="F324" s="92">
        <f>SUM('CA brut produits &amp; sites'!F350:F361)</f>
        <v>155994.21000000002</v>
      </c>
      <c r="G324" s="92">
        <f>SUM('CA brut produits &amp; sites'!G350:G361)</f>
        <v>34255.42</v>
      </c>
      <c r="H324" s="92">
        <f>SUM('CA brut produits &amp; sites'!H350:H361)</f>
        <v>4679.34</v>
      </c>
      <c r="I324" s="92">
        <f>SUM('CA brut produits &amp; sites'!I350:I361)</f>
        <v>30167.780000000002</v>
      </c>
      <c r="J324" s="92">
        <f>SUM('CA brut produits &amp; sites'!J350:J361)</f>
        <v>169865.11000000002</v>
      </c>
      <c r="K324" s="92">
        <f>SUM('CA brut produits &amp; sites'!K350:K361)</f>
        <v>102403.65</v>
      </c>
      <c r="L324" s="92">
        <f>SUM('CA brut produits &amp; sites'!L350:L361)</f>
        <v>1724.5800000000002</v>
      </c>
      <c r="M324" s="92">
        <f>SUM('CA brut produits &amp; sites'!M350:M361)</f>
        <v>3344.83</v>
      </c>
      <c r="N324" s="92">
        <f>SUM('CA brut produits &amp; sites'!N350:N361)</f>
        <v>746.79</v>
      </c>
      <c r="O324" s="92">
        <f>SUM('CA brut produits &amp; sites'!O350:O361)</f>
        <v>0</v>
      </c>
      <c r="P324" s="93">
        <f>SUM('CA brut produits &amp; sites'!P350:P361)</f>
        <v>0</v>
      </c>
    </row>
    <row r="325" spans="1:16" x14ac:dyDescent="0.3">
      <c r="A325" s="87">
        <v>42614</v>
      </c>
      <c r="B325" s="146"/>
      <c r="C325" s="92">
        <f t="shared" si="52"/>
        <v>728968.54999999993</v>
      </c>
      <c r="D325" s="92">
        <f>SUM('CA brut produits &amp; sites'!D351:D362)</f>
        <v>216278.02</v>
      </c>
      <c r="E325" s="92">
        <f>SUM('CA brut produits &amp; sites'!E351:E362)</f>
        <v>34895.69</v>
      </c>
      <c r="F325" s="92">
        <f>SUM('CA brut produits &amp; sites'!F351:F362)</f>
        <v>157113.44</v>
      </c>
      <c r="G325" s="92">
        <f>SUM('CA brut produits &amp; sites'!G351:G362)</f>
        <v>33473.250000000007</v>
      </c>
      <c r="H325" s="92">
        <f>SUM('CA brut produits &amp; sites'!H351:H362)</f>
        <v>5248.9299999999994</v>
      </c>
      <c r="I325" s="92">
        <f>SUM('CA brut produits &amp; sites'!I351:I362)</f>
        <v>34997.08</v>
      </c>
      <c r="J325" s="92">
        <f>SUM('CA brut produits &amp; sites'!J351:J362)</f>
        <v>144827.28999999998</v>
      </c>
      <c r="K325" s="92">
        <f>SUM('CA brut produits &amp; sites'!K351:K362)</f>
        <v>95934.670000000013</v>
      </c>
      <c r="L325" s="92">
        <f>SUM('CA brut produits &amp; sites'!L351:L362)</f>
        <v>1971.2000000000003</v>
      </c>
      <c r="M325" s="92">
        <f>SUM('CA brut produits &amp; sites'!M351:M362)</f>
        <v>3482.19</v>
      </c>
      <c r="N325" s="92">
        <f>SUM('CA brut produits &amp; sites'!N351:N362)</f>
        <v>746.79</v>
      </c>
      <c r="O325" s="92">
        <f>SUM('CA brut produits &amp; sites'!O351:O362)</f>
        <v>0</v>
      </c>
      <c r="P325" s="93">
        <f>SUM('CA brut produits &amp; sites'!P351:P362)</f>
        <v>0</v>
      </c>
    </row>
    <row r="326" spans="1:16" x14ac:dyDescent="0.3">
      <c r="A326" s="87">
        <v>42644</v>
      </c>
      <c r="B326" s="146"/>
      <c r="C326" s="92">
        <f t="shared" si="52"/>
        <v>721978.65000000026</v>
      </c>
      <c r="D326" s="92">
        <f>SUM('CA brut produits &amp; sites'!D352:D363)</f>
        <v>216075.14</v>
      </c>
      <c r="E326" s="92">
        <f>SUM('CA brut produits &amp; sites'!E352:E363)</f>
        <v>34766.519999999997</v>
      </c>
      <c r="F326" s="92">
        <f>SUM('CA brut produits &amp; sites'!F352:F363)</f>
        <v>151417.13</v>
      </c>
      <c r="G326" s="92">
        <f>SUM('CA brut produits &amp; sites'!G352:G363)</f>
        <v>33429.200000000012</v>
      </c>
      <c r="H326" s="92">
        <f>SUM('CA brut produits &amp; sites'!H352:H363)</f>
        <v>5378.329999999999</v>
      </c>
      <c r="I326" s="92">
        <f>SUM('CA brut produits &amp; sites'!I352:I363)</f>
        <v>32006.890000000003</v>
      </c>
      <c r="J326" s="92">
        <f>SUM('CA brut produits &amp; sites'!J352:J363)</f>
        <v>150457.69</v>
      </c>
      <c r="K326" s="92">
        <f>SUM('CA brut produits &amp; sites'!K352:K363)</f>
        <v>92352.56</v>
      </c>
      <c r="L326" s="92">
        <f>SUM('CA brut produits &amp; sites'!L352:L363)</f>
        <v>2143.4900000000002</v>
      </c>
      <c r="M326" s="92">
        <f>SUM('CA brut produits &amp; sites'!M352:M363)</f>
        <v>3204.9100000000003</v>
      </c>
      <c r="N326" s="92">
        <f>SUM('CA brut produits &amp; sites'!N352:N363)</f>
        <v>746.79</v>
      </c>
      <c r="O326" s="92">
        <f>SUM('CA brut produits &amp; sites'!O352:O363)</f>
        <v>0</v>
      </c>
      <c r="P326" s="93">
        <f>SUM('CA brut produits &amp; sites'!P352:P363)</f>
        <v>0</v>
      </c>
    </row>
    <row r="327" spans="1:16" x14ac:dyDescent="0.3">
      <c r="A327" s="87">
        <v>42675</v>
      </c>
      <c r="B327" s="146"/>
      <c r="C327" s="92">
        <f t="shared" si="52"/>
        <v>683850.36</v>
      </c>
      <c r="D327" s="92">
        <f>SUM('CA brut produits &amp; sites'!D353:D364)</f>
        <v>203331.72000000003</v>
      </c>
      <c r="E327" s="92">
        <f>SUM('CA brut produits &amp; sites'!E353:E364)</f>
        <v>35923.35</v>
      </c>
      <c r="F327" s="92">
        <f>SUM('CA brut produits &amp; sites'!F353:F364)</f>
        <v>140905.07</v>
      </c>
      <c r="G327" s="92">
        <f>SUM('CA brut produits &amp; sites'!G353:G364)</f>
        <v>32996.740000000005</v>
      </c>
      <c r="H327" s="92">
        <f>SUM('CA brut produits &amp; sites'!H353:H364)</f>
        <v>4226.84</v>
      </c>
      <c r="I327" s="92">
        <f>SUM('CA brut produits &amp; sites'!I353:I364)</f>
        <v>26557.600000000002</v>
      </c>
      <c r="J327" s="92">
        <f>SUM('CA brut produits &amp; sites'!J353:J364)</f>
        <v>148218.04</v>
      </c>
      <c r="K327" s="92">
        <f>SUM('CA brut produits &amp; sites'!K353:K364)</f>
        <v>85635.97</v>
      </c>
      <c r="L327" s="92">
        <f>SUM('CA brut produits &amp; sites'!L353:L364)</f>
        <v>2313.9</v>
      </c>
      <c r="M327" s="92">
        <f>SUM('CA brut produits &amp; sites'!M353:M364)</f>
        <v>2994.34</v>
      </c>
      <c r="N327" s="92">
        <f>SUM('CA brut produits &amp; sites'!N353:N364)</f>
        <v>746.79</v>
      </c>
      <c r="O327" s="92">
        <f>SUM('CA brut produits &amp; sites'!O353:O364)</f>
        <v>0</v>
      </c>
      <c r="P327" s="93">
        <f>SUM('CA brut produits &amp; sites'!P353:P364)</f>
        <v>0</v>
      </c>
    </row>
    <row r="328" spans="1:16" x14ac:dyDescent="0.3">
      <c r="A328" s="87">
        <v>42705</v>
      </c>
      <c r="B328" s="146"/>
      <c r="C328" s="92">
        <f t="shared" si="52"/>
        <v>666711.99</v>
      </c>
      <c r="D328" s="92">
        <f>SUM('CA brut produits &amp; sites'!D354:D365)</f>
        <v>188980.11000000002</v>
      </c>
      <c r="E328" s="92">
        <f>SUM('CA brut produits &amp; sites'!E354:E365)</f>
        <v>36650.89</v>
      </c>
      <c r="F328" s="92">
        <f>SUM('CA brut produits &amp; sites'!F354:F365)</f>
        <v>130156.73000000003</v>
      </c>
      <c r="G328" s="92">
        <f>SUM('CA brut produits &amp; sites'!G354:G365)</f>
        <v>31203.01</v>
      </c>
      <c r="H328" s="92">
        <f>SUM('CA brut produits &amp; sites'!H354:H365)</f>
        <v>4500.45</v>
      </c>
      <c r="I328" s="92">
        <f>SUM('CA brut produits &amp; sites'!I354:I365)</f>
        <v>30097.699999999997</v>
      </c>
      <c r="J328" s="92">
        <f>SUM('CA brut produits &amp; sites'!J354:J365)</f>
        <v>157623.04000000001</v>
      </c>
      <c r="K328" s="92">
        <f>SUM('CA brut produits &amp; sites'!K354:K365)</f>
        <v>81490.37000000001</v>
      </c>
      <c r="L328" s="92">
        <f>SUM('CA brut produits &amp; sites'!L354:L365)</f>
        <v>2246.08</v>
      </c>
      <c r="M328" s="92">
        <f>SUM('CA brut produits &amp; sites'!M354:M365)</f>
        <v>3016.82</v>
      </c>
      <c r="N328" s="92">
        <f>SUM('CA brut produits &amp; sites'!N354:N365)</f>
        <v>746.79</v>
      </c>
      <c r="O328" s="92">
        <f>SUM('CA brut produits &amp; sites'!O354:O365)</f>
        <v>0</v>
      </c>
      <c r="P328" s="93">
        <f>SUM('CA brut produits &amp; sites'!P354:P365)</f>
        <v>0</v>
      </c>
    </row>
    <row r="329" spans="1:16" ht="14.7" customHeight="1" x14ac:dyDescent="0.3">
      <c r="A329" s="87">
        <v>42736</v>
      </c>
      <c r="B329" s="146"/>
      <c r="C329" s="92">
        <f t="shared" si="52"/>
        <v>654196.71000000008</v>
      </c>
      <c r="D329" s="92">
        <f>SUM('CA brut produits &amp; sites'!D355:D366)</f>
        <v>185005.37</v>
      </c>
      <c r="E329" s="92">
        <f>SUM('CA brut produits &amp; sites'!E355:E366)</f>
        <v>40256.619999999995</v>
      </c>
      <c r="F329" s="92">
        <f>SUM('CA brut produits &amp; sites'!F355:F366)</f>
        <v>136688.49000000002</v>
      </c>
      <c r="G329" s="92">
        <f>SUM('CA brut produits &amp; sites'!G355:G366)</f>
        <v>31448.61</v>
      </c>
      <c r="H329" s="92">
        <f>SUM('CA brut produits &amp; sites'!H355:H366)</f>
        <v>4387.45</v>
      </c>
      <c r="I329" s="92">
        <f>SUM('CA brut produits &amp; sites'!I355:I366)</f>
        <v>31053.989999999998</v>
      </c>
      <c r="J329" s="92">
        <f>SUM('CA brut produits &amp; sites'!J355:J366)</f>
        <v>145968.94</v>
      </c>
      <c r="K329" s="92">
        <f>SUM('CA brut produits &amp; sites'!K355:K366)</f>
        <v>73236.31</v>
      </c>
      <c r="L329" s="92">
        <f>SUM('CA brut produits &amp; sites'!L355:L366)</f>
        <v>2957.7799999999997</v>
      </c>
      <c r="M329" s="92">
        <f>SUM('CA brut produits &amp; sites'!M355:M366)</f>
        <v>2819.29</v>
      </c>
      <c r="N329" s="92">
        <f>SUM('CA brut produits &amp; sites'!N355:N366)</f>
        <v>373.86</v>
      </c>
      <c r="O329" s="92">
        <f>SUM('CA brut produits &amp; sites'!O355:O366)</f>
        <v>0</v>
      </c>
      <c r="P329" s="93">
        <f>SUM('CA brut produits &amp; sites'!P355:P366)</f>
        <v>0</v>
      </c>
    </row>
    <row r="330" spans="1:16" x14ac:dyDescent="0.3">
      <c r="A330" s="87">
        <v>42767</v>
      </c>
      <c r="B330" s="146"/>
      <c r="C330" s="92">
        <f t="shared" si="52"/>
        <v>664954.26</v>
      </c>
      <c r="D330" s="92">
        <f>SUM('CA brut produits &amp; sites'!D356:D367)</f>
        <v>197872.81</v>
      </c>
      <c r="E330" s="92">
        <f>SUM('CA brut produits &amp; sites'!E356:E367)</f>
        <v>41004.929999999993</v>
      </c>
      <c r="F330" s="92">
        <f>SUM('CA brut produits &amp; sites'!F356:F367)</f>
        <v>138815.75</v>
      </c>
      <c r="G330" s="92">
        <f>SUM('CA brut produits &amp; sites'!G356:G367)</f>
        <v>32892.109999999993</v>
      </c>
      <c r="H330" s="92">
        <f>SUM('CA brut produits &amp; sites'!H356:H367)</f>
        <v>4120.45</v>
      </c>
      <c r="I330" s="92">
        <f>SUM('CA brut produits &amp; sites'!I356:I367)</f>
        <v>33391.919999999998</v>
      </c>
      <c r="J330" s="92">
        <f>SUM('CA brut produits &amp; sites'!J356:J367)</f>
        <v>136351.04000000001</v>
      </c>
      <c r="K330" s="92">
        <f>SUM('CA brut produits &amp; sites'!K356:K367)</f>
        <v>74199.059999999983</v>
      </c>
      <c r="L330" s="92">
        <f>SUM('CA brut produits &amp; sites'!L356:L367)</f>
        <v>3170.17</v>
      </c>
      <c r="M330" s="92">
        <f>SUM('CA brut produits &amp; sites'!M356:M367)</f>
        <v>2762.16</v>
      </c>
      <c r="N330" s="92">
        <f>SUM('CA brut produits &amp; sites'!N356:N367)</f>
        <v>373.86</v>
      </c>
      <c r="O330" s="92">
        <f>SUM('CA brut produits &amp; sites'!O356:O367)</f>
        <v>0</v>
      </c>
      <c r="P330" s="93">
        <f>SUM('CA brut produits &amp; sites'!P356:P367)</f>
        <v>0</v>
      </c>
    </row>
    <row r="331" spans="1:16" x14ac:dyDescent="0.3">
      <c r="A331" s="87">
        <v>42795</v>
      </c>
      <c r="B331" s="146"/>
      <c r="C331" s="92">
        <f t="shared" si="52"/>
        <v>648738.31000000006</v>
      </c>
      <c r="D331" s="92">
        <f>SUM('CA brut produits &amp; sites'!D357:D368)</f>
        <v>188597.29000000004</v>
      </c>
      <c r="E331" s="92">
        <f>SUM('CA brut produits &amp; sites'!E357:E368)</f>
        <v>39888.589999999997</v>
      </c>
      <c r="F331" s="92">
        <f>SUM('CA brut produits &amp; sites'!F357:F368)</f>
        <v>146698.12</v>
      </c>
      <c r="G331" s="92">
        <f>SUM('CA brut produits &amp; sites'!G357:G368)</f>
        <v>33372.86</v>
      </c>
      <c r="H331" s="92">
        <f>SUM('CA brut produits &amp; sites'!H357:H368)</f>
        <v>4204.3</v>
      </c>
      <c r="I331" s="92">
        <f>SUM('CA brut produits &amp; sites'!I357:I368)</f>
        <v>32788.079999999994</v>
      </c>
      <c r="J331" s="92">
        <f>SUM('CA brut produits &amp; sites'!J357:J368)</f>
        <v>124119.64</v>
      </c>
      <c r="K331" s="92">
        <f>SUM('CA brut produits &amp; sites'!K357:K368)</f>
        <v>71824.87999999999</v>
      </c>
      <c r="L331" s="92">
        <f>SUM('CA brut produits &amp; sites'!L357:L368)</f>
        <v>4730.6399999999994</v>
      </c>
      <c r="M331" s="92">
        <f>SUM('CA brut produits &amp; sites'!M357:M368)</f>
        <v>2140.0500000000002</v>
      </c>
      <c r="N331" s="92">
        <f>SUM('CA brut produits &amp; sites'!N357:N368)</f>
        <v>373.86</v>
      </c>
      <c r="O331" s="92">
        <f>SUM('CA brut produits &amp; sites'!O357:O368)</f>
        <v>0</v>
      </c>
      <c r="P331" s="93">
        <f>SUM('CA brut produits &amp; sites'!P357:P368)</f>
        <v>0</v>
      </c>
    </row>
    <row r="332" spans="1:16" x14ac:dyDescent="0.3">
      <c r="A332" s="87">
        <v>42826</v>
      </c>
      <c r="B332" s="146"/>
      <c r="C332" s="92">
        <f t="shared" si="52"/>
        <v>647869.02</v>
      </c>
      <c r="D332" s="92">
        <f>SUM('CA brut produits &amp; sites'!D358:D369)</f>
        <v>188484.19000000003</v>
      </c>
      <c r="E332" s="92">
        <f>SUM('CA brut produits &amp; sites'!E358:E369)</f>
        <v>39744.379999999997</v>
      </c>
      <c r="F332" s="92">
        <f>SUM('CA brut produits &amp; sites'!F358:F369)</f>
        <v>144036.16</v>
      </c>
      <c r="G332" s="92">
        <f>SUM('CA brut produits &amp; sites'!G358:G369)</f>
        <v>33007.259999999995</v>
      </c>
      <c r="H332" s="92">
        <f>SUM('CA brut produits &amp; sites'!H358:H369)</f>
        <v>4535.9000000000005</v>
      </c>
      <c r="I332" s="92">
        <f>SUM('CA brut produits &amp; sites'!I358:I369)</f>
        <v>33383.42</v>
      </c>
      <c r="J332" s="92">
        <f>SUM('CA brut produits &amp; sites'!J358:J369)</f>
        <v>122191.39</v>
      </c>
      <c r="K332" s="92">
        <f>SUM('CA brut produits &amp; sites'!K358:K369)</f>
        <v>74697.079999999987</v>
      </c>
      <c r="L332" s="92">
        <f>SUM('CA brut produits &amp; sites'!L358:L369)</f>
        <v>5801.3499999999995</v>
      </c>
      <c r="M332" s="92">
        <f>SUM('CA brut produits &amp; sites'!M358:M369)</f>
        <v>1987.8899999999999</v>
      </c>
      <c r="N332" s="92">
        <f>SUM('CA brut produits &amp; sites'!N358:N369)</f>
        <v>0</v>
      </c>
      <c r="O332" s="92">
        <f>SUM('CA brut produits &amp; sites'!O358:O369)</f>
        <v>0</v>
      </c>
      <c r="P332" s="93">
        <f>SUM('CA brut produits &amp; sites'!P358:P369)</f>
        <v>0</v>
      </c>
    </row>
    <row r="333" spans="1:16" x14ac:dyDescent="0.3">
      <c r="A333" s="87">
        <v>42856</v>
      </c>
      <c r="B333" s="146"/>
      <c r="C333" s="92">
        <f t="shared" si="52"/>
        <v>608735.57000000007</v>
      </c>
      <c r="D333" s="92">
        <f>SUM('CA brut produits &amp; sites'!D359:D370)</f>
        <v>181012.25000000003</v>
      </c>
      <c r="E333" s="92">
        <f>SUM('CA brut produits &amp; sites'!E359:E370)</f>
        <v>38746.619999999995</v>
      </c>
      <c r="F333" s="92">
        <f>SUM('CA brut produits &amp; sites'!F359:F370)</f>
        <v>128325.22000000003</v>
      </c>
      <c r="G333" s="92">
        <f>SUM('CA brut produits &amp; sites'!G359:G370)</f>
        <v>34445.040000000001</v>
      </c>
      <c r="H333" s="92">
        <f>SUM('CA brut produits &amp; sites'!H359:H370)</f>
        <v>5787.170000000001</v>
      </c>
      <c r="I333" s="92">
        <f>SUM('CA brut produits &amp; sites'!I359:I370)</f>
        <v>29997.66</v>
      </c>
      <c r="J333" s="92">
        <f>SUM('CA brut produits &amp; sites'!J359:J370)</f>
        <v>104994.71999999999</v>
      </c>
      <c r="K333" s="92">
        <f>SUM('CA brut produits &amp; sites'!K359:K370)</f>
        <v>74888.2</v>
      </c>
      <c r="L333" s="92">
        <f>SUM('CA brut produits &amp; sites'!L359:L370)</f>
        <v>7635.2799999999988</v>
      </c>
      <c r="M333" s="92">
        <f>SUM('CA brut produits &amp; sites'!M359:M370)</f>
        <v>2903.41</v>
      </c>
      <c r="N333" s="92">
        <f>SUM('CA brut produits &amp; sites'!N359:N370)</f>
        <v>0</v>
      </c>
      <c r="O333" s="92">
        <f>SUM('CA brut produits &amp; sites'!O359:O370)</f>
        <v>0</v>
      </c>
      <c r="P333" s="93">
        <f>SUM('CA brut produits &amp; sites'!P359:P370)</f>
        <v>0</v>
      </c>
    </row>
    <row r="334" spans="1:16" x14ac:dyDescent="0.3">
      <c r="A334" s="87">
        <v>42887</v>
      </c>
      <c r="B334" s="146"/>
      <c r="C334" s="92">
        <f t="shared" si="52"/>
        <v>574378.51</v>
      </c>
      <c r="D334" s="92">
        <f>SUM('CA brut produits &amp; sites'!D360:D371)</f>
        <v>166274.28000000003</v>
      </c>
      <c r="E334" s="92">
        <f>SUM('CA brut produits &amp; sites'!E360:E371)</f>
        <v>39024.359999999993</v>
      </c>
      <c r="F334" s="92">
        <f>SUM('CA brut produits &amp; sites'!F360:F371)</f>
        <v>113600.55</v>
      </c>
      <c r="G334" s="92">
        <f>SUM('CA brut produits &amp; sites'!G360:G371)</f>
        <v>33772.14</v>
      </c>
      <c r="H334" s="92">
        <f>SUM('CA brut produits &amp; sites'!H360:H371)</f>
        <v>6061.1100000000006</v>
      </c>
      <c r="I334" s="92">
        <f>SUM('CA brut produits &amp; sites'!I360:I371)</f>
        <v>35950.410000000003</v>
      </c>
      <c r="J334" s="92">
        <f>SUM('CA brut produits &amp; sites'!J360:J371)</f>
        <v>99650.82</v>
      </c>
      <c r="K334" s="92">
        <f>SUM('CA brut produits &amp; sites'!K360:K371)</f>
        <v>67742.070000000007</v>
      </c>
      <c r="L334" s="92">
        <f>SUM('CA brut produits &amp; sites'!L360:L371)</f>
        <v>9009.9199999999983</v>
      </c>
      <c r="M334" s="92">
        <f>SUM('CA brut produits &amp; sites'!M360:M371)</f>
        <v>3292.8499999999995</v>
      </c>
      <c r="N334" s="92">
        <f>SUM('CA brut produits &amp; sites'!N360:N371)</f>
        <v>0</v>
      </c>
      <c r="O334" s="92">
        <f>SUM('CA brut produits &amp; sites'!O360:O371)</f>
        <v>0</v>
      </c>
      <c r="P334" s="93">
        <f>SUM('CA brut produits &amp; sites'!P360:P371)</f>
        <v>0</v>
      </c>
    </row>
    <row r="335" spans="1:16" x14ac:dyDescent="0.3">
      <c r="A335" s="87">
        <v>42917</v>
      </c>
      <c r="B335" s="146"/>
      <c r="C335" s="92">
        <f t="shared" si="52"/>
        <v>563259.59</v>
      </c>
      <c r="D335" s="92">
        <f>SUM('CA brut produits &amp; sites'!D361:D372)</f>
        <v>171578.54</v>
      </c>
      <c r="E335" s="92">
        <f>SUM('CA brut produits &amp; sites'!E361:E372)</f>
        <v>38327.210000000006</v>
      </c>
      <c r="F335" s="92">
        <f>SUM('CA brut produits &amp; sites'!F361:F372)</f>
        <v>105141.76999999999</v>
      </c>
      <c r="G335" s="92">
        <f>SUM('CA brut produits &amp; sites'!G361:G372)</f>
        <v>32492.159999999996</v>
      </c>
      <c r="H335" s="92">
        <f>SUM('CA brut produits &amp; sites'!H361:H372)</f>
        <v>5740.6100000000006</v>
      </c>
      <c r="I335" s="92">
        <f>SUM('CA brut produits &amp; sites'!I361:I372)</f>
        <v>31460.520000000004</v>
      </c>
      <c r="J335" s="92">
        <f>SUM('CA brut produits &amp; sites'!J361:J372)</f>
        <v>98855.69</v>
      </c>
      <c r="K335" s="92">
        <f>SUM('CA brut produits &amp; sites'!K361:K372)</f>
        <v>65033.41</v>
      </c>
      <c r="L335" s="92">
        <f>SUM('CA brut produits &amp; sites'!L361:L372)</f>
        <v>10619.72</v>
      </c>
      <c r="M335" s="92">
        <f>SUM('CA brut produits &amp; sites'!M361:M372)</f>
        <v>4009.9599999999996</v>
      </c>
      <c r="N335" s="92">
        <f>SUM('CA brut produits &amp; sites'!N361:N372)</f>
        <v>0</v>
      </c>
      <c r="O335" s="92">
        <f>SUM('CA brut produits &amp; sites'!O361:O372)</f>
        <v>0</v>
      </c>
      <c r="P335" s="93">
        <f>SUM('CA brut produits &amp; sites'!P361:P372)</f>
        <v>0</v>
      </c>
    </row>
    <row r="336" spans="1:16" x14ac:dyDescent="0.3">
      <c r="A336" s="87">
        <v>42948</v>
      </c>
      <c r="B336" s="146"/>
      <c r="C336" s="92">
        <f t="shared" si="52"/>
        <v>570209.27999999991</v>
      </c>
      <c r="D336" s="92">
        <f>SUM('CA brut produits &amp; sites'!D362:D373)</f>
        <v>178656.07</v>
      </c>
      <c r="E336" s="92">
        <f>SUM('CA brut produits &amp; sites'!E362:E373)</f>
        <v>38963.270000000004</v>
      </c>
      <c r="F336" s="92">
        <f>SUM('CA brut produits &amp; sites'!F362:F373)</f>
        <v>102164.94</v>
      </c>
      <c r="G336" s="92">
        <f>SUM('CA brut produits &amp; sites'!G362:G373)</f>
        <v>34057.609999999993</v>
      </c>
      <c r="H336" s="92">
        <f>SUM('CA brut produits &amp; sites'!H362:H373)</f>
        <v>8232.2100000000009</v>
      </c>
      <c r="I336" s="92">
        <f>SUM('CA brut produits &amp; sites'!I362:I373)</f>
        <v>34773.909999999996</v>
      </c>
      <c r="J336" s="92">
        <f>SUM('CA brut produits &amp; sites'!J362:J373)</f>
        <v>89043.690000000017</v>
      </c>
      <c r="K336" s="92">
        <f>SUM('CA brut produits &amp; sites'!K362:K373)</f>
        <v>66827.780000000013</v>
      </c>
      <c r="L336" s="92">
        <f>SUM('CA brut produits &amp; sites'!L362:L373)</f>
        <v>12843.589999999998</v>
      </c>
      <c r="M336" s="92">
        <f>SUM('CA brut produits &amp; sites'!M362:M373)</f>
        <v>4646.21</v>
      </c>
      <c r="N336" s="92">
        <f>SUM('CA brut produits &amp; sites'!N362:N373)</f>
        <v>0</v>
      </c>
      <c r="O336" s="92">
        <f>SUM('CA brut produits &amp; sites'!O362:O373)</f>
        <v>0</v>
      </c>
      <c r="P336" s="93">
        <f>SUM('CA brut produits &amp; sites'!P362:P373)</f>
        <v>0</v>
      </c>
    </row>
    <row r="337" spans="1:16" x14ac:dyDescent="0.3">
      <c r="A337" s="87">
        <v>42979</v>
      </c>
      <c r="B337" s="146"/>
      <c r="C337" s="92">
        <f t="shared" si="52"/>
        <v>568167.38000000012</v>
      </c>
      <c r="D337" s="92">
        <f>SUM('CA brut produits &amp; sites'!D363:D374)</f>
        <v>178284.16000000003</v>
      </c>
      <c r="E337" s="92">
        <f>SUM('CA brut produits &amp; sites'!E363:E374)</f>
        <v>40793.870000000003</v>
      </c>
      <c r="F337" s="92">
        <f>SUM('CA brut produits &amp; sites'!F363:F374)</f>
        <v>99071.82</v>
      </c>
      <c r="G337" s="92">
        <f>SUM('CA brut produits &amp; sites'!G363:G374)</f>
        <v>33390.189999999995</v>
      </c>
      <c r="H337" s="92">
        <f>SUM('CA brut produits &amp; sites'!H363:H374)</f>
        <v>7578.4400000000005</v>
      </c>
      <c r="I337" s="92">
        <f>SUM('CA brut produits &amp; sites'!I363:I374)</f>
        <v>35477.590000000004</v>
      </c>
      <c r="J337" s="92">
        <f>SUM('CA brut produits &amp; sites'!J363:J374)</f>
        <v>85208.200000000012</v>
      </c>
      <c r="K337" s="92">
        <f>SUM('CA brut produits &amp; sites'!K363:K374)</f>
        <v>68004.179999999993</v>
      </c>
      <c r="L337" s="92">
        <f>SUM('CA brut produits &amp; sites'!L363:L374)</f>
        <v>14658.009999999998</v>
      </c>
      <c r="M337" s="92">
        <f>SUM('CA brut produits &amp; sites'!M363:M374)</f>
        <v>5700.92</v>
      </c>
      <c r="N337" s="92">
        <f>SUM('CA brut produits &amp; sites'!N363:N374)</f>
        <v>0</v>
      </c>
      <c r="O337" s="92">
        <f>SUM('CA brut produits &amp; sites'!O363:O374)</f>
        <v>0</v>
      </c>
      <c r="P337" s="93">
        <f>SUM('CA brut produits &amp; sites'!P363:P374)</f>
        <v>0</v>
      </c>
    </row>
    <row r="338" spans="1:16" x14ac:dyDescent="0.3">
      <c r="A338" s="87">
        <v>43009</v>
      </c>
      <c r="B338" s="146"/>
      <c r="C338" s="92">
        <f t="shared" si="52"/>
        <v>621312.29</v>
      </c>
      <c r="D338" s="92">
        <f>SUM('CA brut produits &amp; sites'!D364:D375)</f>
        <v>193279.38999999998</v>
      </c>
      <c r="E338" s="92">
        <f>SUM('CA brut produits &amp; sites'!E364:E375)</f>
        <v>40336.21</v>
      </c>
      <c r="F338" s="92">
        <f>SUM('CA brut produits &amp; sites'!F364:F375)</f>
        <v>101598.8</v>
      </c>
      <c r="G338" s="92">
        <f>SUM('CA brut produits &amp; sites'!G364:G375)</f>
        <v>33382.06</v>
      </c>
      <c r="H338" s="92">
        <f>SUM('CA brut produits &amp; sites'!H364:H375)</f>
        <v>7295.9600000000009</v>
      </c>
      <c r="I338" s="92">
        <f>SUM('CA brut produits &amp; sites'!I364:I375)</f>
        <v>44295.85</v>
      </c>
      <c r="J338" s="92">
        <f>SUM('CA brut produits &amp; sites'!J364:J375)</f>
        <v>101203.79999999999</v>
      </c>
      <c r="K338" s="92">
        <f>SUM('CA brut produits &amp; sites'!K364:K375)</f>
        <v>74636.66</v>
      </c>
      <c r="L338" s="92">
        <f>SUM('CA brut produits &amp; sites'!L364:L375)</f>
        <v>17802.5</v>
      </c>
      <c r="M338" s="92">
        <f>SUM('CA brut produits &amp; sites'!M364:M375)</f>
        <v>7481.0599999999995</v>
      </c>
      <c r="N338" s="92">
        <f>SUM('CA brut produits &amp; sites'!N364:N375)</f>
        <v>0</v>
      </c>
      <c r="O338" s="92">
        <f>SUM('CA brut produits &amp; sites'!O364:O375)</f>
        <v>0</v>
      </c>
      <c r="P338" s="93">
        <f>SUM('CA brut produits &amp; sites'!P364:P375)</f>
        <v>0</v>
      </c>
    </row>
    <row r="339" spans="1:16" x14ac:dyDescent="0.3">
      <c r="A339" s="87">
        <v>43040</v>
      </c>
      <c r="B339" s="146"/>
      <c r="C339" s="92">
        <f t="shared" si="52"/>
        <v>634361.23</v>
      </c>
      <c r="D339" s="92">
        <f>SUM('CA brut produits &amp; sites'!D365:D376)</f>
        <v>191691.33</v>
      </c>
      <c r="E339" s="92">
        <f>SUM('CA brut produits &amp; sites'!E365:E376)</f>
        <v>39698.950000000004</v>
      </c>
      <c r="F339" s="92">
        <f>SUM('CA brut produits &amp; sites'!F365:F376)</f>
        <v>102845.11</v>
      </c>
      <c r="G339" s="92">
        <f>SUM('CA brut produits &amp; sites'!G365:G376)</f>
        <v>33111.040000000001</v>
      </c>
      <c r="H339" s="92">
        <f>SUM('CA brut produits &amp; sites'!H365:H376)</f>
        <v>7308.5700000000006</v>
      </c>
      <c r="I339" s="92">
        <f>SUM('CA brut produits &amp; sites'!I365:I376)</f>
        <v>45795.53</v>
      </c>
      <c r="J339" s="92">
        <f>SUM('CA brut produits &amp; sites'!J365:J376)</f>
        <v>107217.45000000001</v>
      </c>
      <c r="K339" s="92">
        <f>SUM('CA brut produits &amp; sites'!K365:K376)</f>
        <v>77005.919999999998</v>
      </c>
      <c r="L339" s="92">
        <f>SUM('CA brut produits &amp; sites'!L365:L376)</f>
        <v>20105.489999999998</v>
      </c>
      <c r="M339" s="92">
        <f>SUM('CA brut produits &amp; sites'!M365:M376)</f>
        <v>8893.84</v>
      </c>
      <c r="N339" s="92">
        <f>SUM('CA brut produits &amp; sites'!N365:N376)</f>
        <v>688</v>
      </c>
      <c r="O339" s="92">
        <f>SUM('CA brut produits &amp; sites'!O365:O376)</f>
        <v>0</v>
      </c>
      <c r="P339" s="93">
        <f>SUM('CA brut produits &amp; sites'!P365:P376)</f>
        <v>0</v>
      </c>
    </row>
    <row r="340" spans="1:16" x14ac:dyDescent="0.3">
      <c r="A340" s="87">
        <v>43070</v>
      </c>
      <c r="B340" s="146"/>
      <c r="C340" s="92">
        <f t="shared" ref="C340:C368" si="53">SUM(D340:P340)</f>
        <v>636623.38</v>
      </c>
      <c r="D340" s="92">
        <f>SUM('CA brut produits &amp; sites'!D366:D377)</f>
        <v>194954.94</v>
      </c>
      <c r="E340" s="92">
        <f>SUM('CA brut produits &amp; sites'!E366:E377)</f>
        <v>39751.4</v>
      </c>
      <c r="F340" s="92">
        <f>SUM('CA brut produits &amp; sites'!F366:F377)</f>
        <v>100786.13</v>
      </c>
      <c r="G340" s="92">
        <f>SUM('CA brut produits &amp; sites'!G366:G377)</f>
        <v>33488.090000000004</v>
      </c>
      <c r="H340" s="92">
        <f>SUM('CA brut produits &amp; sites'!H366:H377)</f>
        <v>6916.5700000000006</v>
      </c>
      <c r="I340" s="92">
        <f>SUM('CA brut produits &amp; sites'!I366:I377)</f>
        <v>48839.329999999994</v>
      </c>
      <c r="J340" s="92">
        <f>SUM('CA brut produits &amp; sites'!J366:J377)</f>
        <v>102450.25</v>
      </c>
      <c r="K340" s="92">
        <f>SUM('CA brut produits &amp; sites'!K366:K377)</f>
        <v>76065.599999999991</v>
      </c>
      <c r="L340" s="92">
        <f>SUM('CA brut produits &amp; sites'!L366:L377)</f>
        <v>21920.42</v>
      </c>
      <c r="M340" s="92">
        <f>SUM('CA brut produits &amp; sites'!M366:M377)</f>
        <v>10140.65</v>
      </c>
      <c r="N340" s="92">
        <f>SUM('CA brut produits &amp; sites'!N366:N377)</f>
        <v>1310</v>
      </c>
      <c r="O340" s="92">
        <f>SUM('CA brut produits &amp; sites'!O366:O377)</f>
        <v>0</v>
      </c>
      <c r="P340" s="93">
        <f>SUM('CA brut produits &amp; sites'!P366:P377)</f>
        <v>0</v>
      </c>
    </row>
    <row r="341" spans="1:16" x14ac:dyDescent="0.3">
      <c r="A341" s="87">
        <v>43101</v>
      </c>
      <c r="B341" s="146"/>
      <c r="C341" s="92">
        <f t="shared" si="53"/>
        <v>609150.61</v>
      </c>
      <c r="D341" s="92">
        <f>SUM('CA brut produits &amp; sites'!D367:D378)</f>
        <v>185308.52000000002</v>
      </c>
      <c r="E341" s="92">
        <f>SUM('CA brut produits &amp; sites'!E367:E378)</f>
        <v>37932.619999999995</v>
      </c>
      <c r="F341" s="92">
        <f>SUM('CA brut produits &amp; sites'!F367:F378)</f>
        <v>91767.829999999987</v>
      </c>
      <c r="G341" s="92">
        <f>SUM('CA brut produits &amp; sites'!G367:G378)</f>
        <v>31359.180000000008</v>
      </c>
      <c r="H341" s="92">
        <f>SUM('CA brut produits &amp; sites'!H367:H378)</f>
        <v>7015.5700000000006</v>
      </c>
      <c r="I341" s="92">
        <f>SUM('CA brut produits &amp; sites'!I367:I378)</f>
        <v>48737.38</v>
      </c>
      <c r="J341" s="92">
        <f>SUM('CA brut produits &amp; sites'!J367:J378)</f>
        <v>99026.650000000009</v>
      </c>
      <c r="K341" s="92">
        <f>SUM('CA brut produits &amp; sites'!K367:K378)</f>
        <v>73306.819999999992</v>
      </c>
      <c r="L341" s="92">
        <f>SUM('CA brut produits &amp; sites'!L367:L378)</f>
        <v>22606.780000000002</v>
      </c>
      <c r="M341" s="92">
        <f>SUM('CA brut produits &amp; sites'!M367:M378)</f>
        <v>10597.730000000001</v>
      </c>
      <c r="N341" s="92">
        <f>SUM('CA brut produits &amp; sites'!N367:N378)</f>
        <v>1310</v>
      </c>
      <c r="O341" s="92">
        <f>SUM('CA brut produits &amp; sites'!O367:O378)</f>
        <v>0</v>
      </c>
      <c r="P341" s="93">
        <f>SUM('CA brut produits &amp; sites'!P367:P378)</f>
        <v>181.53</v>
      </c>
    </row>
    <row r="342" spans="1:16" x14ac:dyDescent="0.3">
      <c r="A342" s="87">
        <v>43132</v>
      </c>
      <c r="B342" s="146"/>
      <c r="C342" s="92">
        <f t="shared" si="53"/>
        <v>596833.82999999996</v>
      </c>
      <c r="D342" s="92">
        <f>SUM('CA brut produits &amp; sites'!D368:D379)</f>
        <v>176858.97</v>
      </c>
      <c r="E342" s="92">
        <f>SUM('CA brut produits &amp; sites'!E368:E379)</f>
        <v>35623.049999999996</v>
      </c>
      <c r="F342" s="92">
        <f>SUM('CA brut produits &amp; sites'!F368:F379)</f>
        <v>91170.260000000009</v>
      </c>
      <c r="G342" s="92">
        <f>SUM('CA brut produits &amp; sites'!G368:G379)</f>
        <v>29168.140000000003</v>
      </c>
      <c r="H342" s="92">
        <f>SUM('CA brut produits &amp; sites'!H368:H379)</f>
        <v>8575.57</v>
      </c>
      <c r="I342" s="92">
        <f>SUM('CA brut produits &amp; sites'!I368:I379)</f>
        <v>46246.689999999995</v>
      </c>
      <c r="J342" s="92">
        <f>SUM('CA brut produits &amp; sites'!J368:J379)</f>
        <v>97342.45</v>
      </c>
      <c r="K342" s="92">
        <f>SUM('CA brut produits &amp; sites'!K368:K379)</f>
        <v>72798.12999999999</v>
      </c>
      <c r="L342" s="92">
        <f>SUM('CA brut produits &amp; sites'!L368:L379)</f>
        <v>24303.360000000001</v>
      </c>
      <c r="M342" s="92">
        <f>SUM('CA brut produits &amp; sites'!M368:M379)</f>
        <v>10674.890000000001</v>
      </c>
      <c r="N342" s="92">
        <f>SUM('CA brut produits &amp; sites'!N368:N379)</f>
        <v>2490</v>
      </c>
      <c r="O342" s="92">
        <f>SUM('CA brut produits &amp; sites'!O368:O379)</f>
        <v>0</v>
      </c>
      <c r="P342" s="93">
        <f>SUM('CA brut produits &amp; sites'!P368:P379)</f>
        <v>1582.32</v>
      </c>
    </row>
    <row r="343" spans="1:16" x14ac:dyDescent="0.3">
      <c r="A343" s="87">
        <v>43160</v>
      </c>
      <c r="B343" s="146"/>
      <c r="C343" s="92">
        <f t="shared" si="53"/>
        <v>603940.95000000007</v>
      </c>
      <c r="D343" s="92">
        <f>SUM('CA brut produits &amp; sites'!D369:D380)</f>
        <v>193514.78000000003</v>
      </c>
      <c r="E343" s="92">
        <f>SUM('CA brut produits &amp; sites'!E369:E380)</f>
        <v>33313.94</v>
      </c>
      <c r="F343" s="92">
        <f>SUM('CA brut produits &amp; sites'!F369:F380)</f>
        <v>81006.42</v>
      </c>
      <c r="G343" s="92">
        <f>SUM('CA brut produits &amp; sites'!G369:G380)</f>
        <v>26456.500000000004</v>
      </c>
      <c r="H343" s="92">
        <f>SUM('CA brut produits &amp; sites'!H369:H380)</f>
        <v>9653.2200000000012</v>
      </c>
      <c r="I343" s="92">
        <f>SUM('CA brut produits &amp; sites'!I369:I380)</f>
        <v>49804.46</v>
      </c>
      <c r="J343" s="92">
        <f>SUM('CA brut produits &amp; sites'!J369:J380)</f>
        <v>98858.45</v>
      </c>
      <c r="K343" s="92">
        <f>SUM('CA brut produits &amp; sites'!K369:K380)</f>
        <v>70062.720000000001</v>
      </c>
      <c r="L343" s="92">
        <f>SUM('CA brut produits &amp; sites'!L369:L380)</f>
        <v>25244.170000000002</v>
      </c>
      <c r="M343" s="92">
        <f>SUM('CA brut produits &amp; sites'!M369:M380)</f>
        <v>11269</v>
      </c>
      <c r="N343" s="92">
        <f>SUM('CA brut produits &amp; sites'!N369:N380)</f>
        <v>2490</v>
      </c>
      <c r="O343" s="92">
        <f>SUM('CA brut produits &amp; sites'!O369:O380)</f>
        <v>0</v>
      </c>
      <c r="P343" s="93">
        <f>SUM('CA brut produits &amp; sites'!P369:P380)</f>
        <v>2267.29</v>
      </c>
    </row>
    <row r="344" spans="1:16" x14ac:dyDescent="0.3">
      <c r="A344" s="87">
        <v>43191</v>
      </c>
      <c r="B344" s="146"/>
      <c r="C344" s="92">
        <f t="shared" si="53"/>
        <v>593130.57000000007</v>
      </c>
      <c r="D344" s="92">
        <f>SUM('CA brut produits &amp; sites'!D370:D381)</f>
        <v>191268.37000000002</v>
      </c>
      <c r="E344" s="92">
        <f>SUM('CA brut produits &amp; sites'!E370:E381)</f>
        <v>32919.439999999995</v>
      </c>
      <c r="F344" s="92">
        <f>SUM('CA brut produits &amp; sites'!F370:F381)</f>
        <v>77290.180000000008</v>
      </c>
      <c r="G344" s="92">
        <f>SUM('CA brut produits &amp; sites'!G370:G381)</f>
        <v>25545.420000000006</v>
      </c>
      <c r="H344" s="92">
        <f>SUM('CA brut produits &amp; sites'!H370:H381)</f>
        <v>9894.6200000000008</v>
      </c>
      <c r="I344" s="92">
        <f>SUM('CA brut produits &amp; sites'!I370:I381)</f>
        <v>51809.34</v>
      </c>
      <c r="J344" s="92">
        <f>SUM('CA brut produits &amp; sites'!J370:J381)</f>
        <v>95494.5</v>
      </c>
      <c r="K344" s="92">
        <f>SUM('CA brut produits &amp; sites'!K370:K381)</f>
        <v>65629.149999999994</v>
      </c>
      <c r="L344" s="92">
        <f>SUM('CA brut produits &amp; sites'!L370:L381)</f>
        <v>25642.149999999998</v>
      </c>
      <c r="M344" s="92">
        <f>SUM('CA brut produits &amp; sites'!M370:M381)</f>
        <v>11469.26</v>
      </c>
      <c r="N344" s="92">
        <f>SUM('CA brut produits &amp; sites'!N370:N381)</f>
        <v>2626.88</v>
      </c>
      <c r="O344" s="92">
        <f>SUM('CA brut produits &amp; sites'!O370:O381)</f>
        <v>0</v>
      </c>
      <c r="P344" s="93">
        <f>SUM('CA brut produits &amp; sites'!P370:P381)</f>
        <v>3541.26</v>
      </c>
    </row>
    <row r="345" spans="1:16" x14ac:dyDescent="0.3">
      <c r="A345" s="87">
        <v>43221</v>
      </c>
      <c r="B345" s="146"/>
      <c r="C345" s="92">
        <f t="shared" si="53"/>
        <v>590250.43999999994</v>
      </c>
      <c r="D345" s="92">
        <f>SUM('CA brut produits &amp; sites'!D371:D382)</f>
        <v>193703.93000000002</v>
      </c>
      <c r="E345" s="92">
        <f>SUM('CA brut produits &amp; sites'!E371:E382)</f>
        <v>33009.47</v>
      </c>
      <c r="F345" s="92">
        <f>SUM('CA brut produits &amp; sites'!F371:F382)</f>
        <v>75998.19</v>
      </c>
      <c r="G345" s="92">
        <f>SUM('CA brut produits &amp; sites'!G371:G382)</f>
        <v>23586.5</v>
      </c>
      <c r="H345" s="92">
        <f>SUM('CA brut produits &amp; sites'!H371:H382)</f>
        <v>8594.489999999998</v>
      </c>
      <c r="I345" s="92">
        <f>SUM('CA brut produits &amp; sites'!I371:I382)</f>
        <v>49703.28</v>
      </c>
      <c r="J345" s="92">
        <f>SUM('CA brut produits &amp; sites'!J371:J382)</f>
        <v>97591.17</v>
      </c>
      <c r="K345" s="92">
        <f>SUM('CA brut produits &amp; sites'!K371:K382)</f>
        <v>65887.66</v>
      </c>
      <c r="L345" s="92">
        <f>SUM('CA brut produits &amp; sites'!L371:L382)</f>
        <v>25259.02</v>
      </c>
      <c r="M345" s="92">
        <f>SUM('CA brut produits &amp; sites'!M371:M382)</f>
        <v>10467.94</v>
      </c>
      <c r="N345" s="92">
        <f>SUM('CA brut produits &amp; sites'!N371:N382)</f>
        <v>2763.76</v>
      </c>
      <c r="O345" s="92">
        <f>SUM('CA brut produits &amp; sites'!O371:O382)</f>
        <v>0</v>
      </c>
      <c r="P345" s="93">
        <f>SUM('CA brut produits &amp; sites'!P371:P382)</f>
        <v>3685.03</v>
      </c>
    </row>
    <row r="346" spans="1:16" x14ac:dyDescent="0.3">
      <c r="A346" s="87">
        <v>43252</v>
      </c>
      <c r="B346" s="146"/>
      <c r="C346" s="92">
        <f t="shared" si="53"/>
        <v>604106.04399999999</v>
      </c>
      <c r="D346" s="92">
        <f>SUM('CA brut produits &amp; sites'!D372:D383)</f>
        <v>205509.46000000005</v>
      </c>
      <c r="E346" s="92">
        <f>SUM('CA brut produits &amp; sites'!E372:E383)</f>
        <v>34299.949999999997</v>
      </c>
      <c r="F346" s="92">
        <f>SUM('CA brut produits &amp; sites'!F372:F383)</f>
        <v>76418.013999999996</v>
      </c>
      <c r="G346" s="92">
        <f>SUM('CA brut produits &amp; sites'!G372:G383)</f>
        <v>25320.850000000002</v>
      </c>
      <c r="H346" s="92">
        <f>SUM('CA brut produits &amp; sites'!H372:H383)</f>
        <v>8366.4</v>
      </c>
      <c r="I346" s="92">
        <f>SUM('CA brut produits &amp; sites'!I372:I383)</f>
        <v>50529.5</v>
      </c>
      <c r="J346" s="92">
        <f>SUM('CA brut produits &amp; sites'!J372:J383)</f>
        <v>93098.07</v>
      </c>
      <c r="K346" s="92">
        <f>SUM('CA brut produits &amp; sites'!K372:K383)</f>
        <v>66448.97</v>
      </c>
      <c r="L346" s="92">
        <f>SUM('CA brut produits &amp; sites'!L372:L383)</f>
        <v>26062.47</v>
      </c>
      <c r="M346" s="92">
        <f>SUM('CA brut produits &amp; sites'!M372:M383)</f>
        <v>10128.200000000001</v>
      </c>
      <c r="N346" s="92">
        <f>SUM('CA brut produits &amp; sites'!N372:N383)</f>
        <v>2945.6400000000003</v>
      </c>
      <c r="O346" s="92">
        <f>SUM('CA brut produits &amp; sites'!O372:O383)</f>
        <v>0</v>
      </c>
      <c r="P346" s="93">
        <f>SUM('CA brut produits &amp; sites'!P372:P383)</f>
        <v>4978.5200000000004</v>
      </c>
    </row>
    <row r="347" spans="1:16" x14ac:dyDescent="0.3">
      <c r="A347" s="87">
        <v>43282</v>
      </c>
      <c r="B347" s="146"/>
      <c r="C347" s="92">
        <f t="shared" si="53"/>
        <v>603988.85400000005</v>
      </c>
      <c r="D347" s="92">
        <f>SUM('CA brut produits &amp; sites'!D373:D384)</f>
        <v>203148.08000000002</v>
      </c>
      <c r="E347" s="92">
        <f>SUM('CA brut produits &amp; sites'!E373:E384)</f>
        <v>32925.72</v>
      </c>
      <c r="F347" s="92">
        <f>SUM('CA brut produits &amp; sites'!F373:F384)</f>
        <v>78376.703999999998</v>
      </c>
      <c r="G347" s="92">
        <f>SUM('CA brut produits &amp; sites'!G373:G384)</f>
        <v>24799.239999999998</v>
      </c>
      <c r="H347" s="92">
        <f>SUM('CA brut produits &amp; sites'!H373:H384)</f>
        <v>8306.9599999999991</v>
      </c>
      <c r="I347" s="92">
        <f>SUM('CA brut produits &amp; sites'!I373:I384)</f>
        <v>50497.77</v>
      </c>
      <c r="J347" s="92">
        <f>SUM('CA brut produits &amp; sites'!J373:J384)</f>
        <v>90098.42</v>
      </c>
      <c r="K347" s="92">
        <f>SUM('CA brut produits &amp; sites'!K373:K384)</f>
        <v>70651.08</v>
      </c>
      <c r="L347" s="92">
        <f>SUM('CA brut produits &amp; sites'!L373:L384)</f>
        <v>26173.75</v>
      </c>
      <c r="M347" s="92">
        <f>SUM('CA brut produits &amp; sites'!M373:M384)</f>
        <v>9636.26</v>
      </c>
      <c r="N347" s="92">
        <f>SUM('CA brut produits &amp; sites'!N373:N384)</f>
        <v>3082.5200000000004</v>
      </c>
      <c r="O347" s="92">
        <f>SUM('CA brut produits &amp; sites'!O373:O384)</f>
        <v>0</v>
      </c>
      <c r="P347" s="93">
        <f>SUM('CA brut produits &amp; sites'!P373:P384)</f>
        <v>6292.35</v>
      </c>
    </row>
    <row r="348" spans="1:16" x14ac:dyDescent="0.3">
      <c r="A348" s="87">
        <v>43313</v>
      </c>
      <c r="B348" s="146"/>
      <c r="C348" s="92">
        <f t="shared" si="53"/>
        <v>595422.26399999997</v>
      </c>
      <c r="D348" s="92">
        <f>SUM('CA brut produits &amp; sites'!D374:D385)</f>
        <v>200624.62000000002</v>
      </c>
      <c r="E348" s="92">
        <f>SUM('CA brut produits &amp; sites'!E374:E385)</f>
        <v>33302.32</v>
      </c>
      <c r="F348" s="92">
        <f>SUM('CA brut produits &amp; sites'!F374:F385)</f>
        <v>77587.724000000002</v>
      </c>
      <c r="G348" s="92">
        <f>SUM('CA brut produits &amp; sites'!G374:G385)</f>
        <v>23011.929999999997</v>
      </c>
      <c r="H348" s="92">
        <f>SUM('CA brut produits &amp; sites'!H374:H385)</f>
        <v>6107.7099999999991</v>
      </c>
      <c r="I348" s="92">
        <f>SUM('CA brut produits &amp; sites'!I374:I385)</f>
        <v>47136.6</v>
      </c>
      <c r="J348" s="92">
        <f>SUM('CA brut produits &amp; sites'!J374:J385)</f>
        <v>92096.42</v>
      </c>
      <c r="K348" s="92">
        <f>SUM('CA brut produits &amp; sites'!K374:K385)</f>
        <v>69374.69</v>
      </c>
      <c r="L348" s="92">
        <f>SUM('CA brut produits &amp; sites'!L374:L385)</f>
        <v>26416.799999999999</v>
      </c>
      <c r="M348" s="92">
        <f>SUM('CA brut produits &amp; sites'!M374:M385)</f>
        <v>9204.4399999999987</v>
      </c>
      <c r="N348" s="92">
        <f>SUM('CA brut produits &amp; sites'!N374:N385)</f>
        <v>4241.2000000000007</v>
      </c>
      <c r="O348" s="92">
        <f>SUM('CA brut produits &amp; sites'!O374:O385)</f>
        <v>0</v>
      </c>
      <c r="P348" s="93">
        <f>SUM('CA brut produits &amp; sites'!P374:P385)</f>
        <v>6317.81</v>
      </c>
    </row>
    <row r="349" spans="1:16" x14ac:dyDescent="0.3">
      <c r="A349" s="87">
        <v>43344</v>
      </c>
      <c r="B349" s="146"/>
      <c r="C349" s="92">
        <f t="shared" si="53"/>
        <v>576588.33400000003</v>
      </c>
      <c r="D349" s="92">
        <f>SUM('CA brut produits &amp; sites'!D375:D386)</f>
        <v>185467.72</v>
      </c>
      <c r="E349" s="92">
        <f>SUM('CA brut produits &amp; sites'!E375:E386)</f>
        <v>30521.210000000003</v>
      </c>
      <c r="F349" s="92">
        <f>SUM('CA brut produits &amp; sites'!F375:F386)</f>
        <v>79777.894000000015</v>
      </c>
      <c r="G349" s="92">
        <f>SUM('CA brut produits &amp; sites'!G375:G386)</f>
        <v>23139.399999999998</v>
      </c>
      <c r="H349" s="92">
        <f>SUM('CA brut produits &amp; sites'!H375:H386)</f>
        <v>6198.5599999999995</v>
      </c>
      <c r="I349" s="92">
        <f>SUM('CA brut produits &amp; sites'!I375:I386)</f>
        <v>41934.58</v>
      </c>
      <c r="J349" s="92">
        <f>SUM('CA brut produits &amp; sites'!J375:J386)</f>
        <v>95969.099999999991</v>
      </c>
      <c r="K349" s="92">
        <f>SUM('CA brut produits &amp; sites'!K375:K386)</f>
        <v>67837.489999999991</v>
      </c>
      <c r="L349" s="92">
        <f>SUM('CA brut produits &amp; sites'!L375:L386)</f>
        <v>26620.629999999997</v>
      </c>
      <c r="M349" s="92">
        <f>SUM('CA brut produits &amp; sites'!M375:M386)</f>
        <v>8155.4099999999989</v>
      </c>
      <c r="N349" s="92">
        <f>SUM('CA brut produits &amp; sites'!N375:N386)</f>
        <v>4378.0800000000008</v>
      </c>
      <c r="O349" s="92">
        <f>SUM('CA brut produits &amp; sites'!O375:O386)</f>
        <v>0</v>
      </c>
      <c r="P349" s="93">
        <f>SUM('CA brut produits &amp; sites'!P375:P386)</f>
        <v>6588.26</v>
      </c>
    </row>
    <row r="350" spans="1:16" x14ac:dyDescent="0.3">
      <c r="A350" s="87">
        <v>43374</v>
      </c>
      <c r="B350" s="146"/>
      <c r="C350" s="92">
        <f t="shared" si="53"/>
        <v>529548.08400000003</v>
      </c>
      <c r="D350" s="92">
        <f>SUM('CA brut produits &amp; sites'!D376:D387)</f>
        <v>175005.20999999996</v>
      </c>
      <c r="E350" s="92">
        <f>SUM('CA brut produits &amp; sites'!E376:E387)</f>
        <v>30195.380000000005</v>
      </c>
      <c r="F350" s="92">
        <f>SUM('CA brut produits &amp; sites'!F376:F387)</f>
        <v>77039.224000000002</v>
      </c>
      <c r="G350" s="92">
        <f>SUM('CA brut produits &amp; sites'!G376:G387)</f>
        <v>22483.26</v>
      </c>
      <c r="H350" s="92">
        <f>SUM('CA brut produits &amp; sites'!H376:H387)</f>
        <v>6065.7699999999995</v>
      </c>
      <c r="I350" s="92">
        <f>SUM('CA brut produits &amp; sites'!I376:I387)</f>
        <v>36660.53</v>
      </c>
      <c r="J350" s="92">
        <f>SUM('CA brut produits &amp; sites'!J376:J387)</f>
        <v>76427.5</v>
      </c>
      <c r="K350" s="92">
        <f>SUM('CA brut produits &amp; sites'!K376:K387)</f>
        <v>63173.350000000006</v>
      </c>
      <c r="L350" s="92">
        <f>SUM('CA brut produits &amp; sites'!L376:L387)</f>
        <v>24416.069999999996</v>
      </c>
      <c r="M350" s="92">
        <f>SUM('CA brut produits &amp; sites'!M376:M387)</f>
        <v>6364.579999999999</v>
      </c>
      <c r="N350" s="92">
        <f>SUM('CA brut produits &amp; sites'!N376:N387)</f>
        <v>4559.9600000000009</v>
      </c>
      <c r="O350" s="92">
        <f>SUM('CA brut produits &amp; sites'!O376:O387)</f>
        <v>0</v>
      </c>
      <c r="P350" s="93">
        <f>SUM('CA brut produits &amp; sites'!P376:P387)</f>
        <v>7157.25</v>
      </c>
    </row>
    <row r="351" spans="1:16" x14ac:dyDescent="0.3">
      <c r="A351" s="94">
        <v>43405</v>
      </c>
      <c r="B351" s="146"/>
      <c r="C351" s="92">
        <f t="shared" si="53"/>
        <v>519944.45399999997</v>
      </c>
      <c r="D351" s="92">
        <f>SUM('CA brut produits &amp; sites'!D377:D388)</f>
        <v>181771.28000000003</v>
      </c>
      <c r="E351" s="92">
        <f>SUM('CA brut produits &amp; sites'!E377:E388)</f>
        <v>30552.260000000006</v>
      </c>
      <c r="F351" s="92">
        <f>SUM('CA brut produits &amp; sites'!F377:F388)</f>
        <v>74572.16399999999</v>
      </c>
      <c r="G351" s="92">
        <f>SUM('CA brut produits &amp; sites'!G377:G388)</f>
        <v>21930.699999999997</v>
      </c>
      <c r="H351" s="92">
        <f>SUM('CA brut produits &amp; sites'!H377:H388)</f>
        <v>6317.3599999999988</v>
      </c>
      <c r="I351" s="92">
        <f>SUM('CA brut produits &amp; sites'!I377:I388)</f>
        <v>35510.28</v>
      </c>
      <c r="J351" s="92">
        <f>SUM('CA brut produits &amp; sites'!J377:J388)</f>
        <v>68122</v>
      </c>
      <c r="K351" s="92">
        <f>SUM('CA brut produits &amp; sites'!K377:K388)</f>
        <v>61895.62</v>
      </c>
      <c r="L351" s="92">
        <f>SUM('CA brut produits &amp; sites'!L377:L388)</f>
        <v>23232.549999999996</v>
      </c>
      <c r="M351" s="92">
        <f>SUM('CA brut produits &amp; sites'!M377:M388)</f>
        <v>4750.4800000000005</v>
      </c>
      <c r="N351" s="92">
        <f>SUM('CA brut produits &amp; sites'!N377:N388)</f>
        <v>4008.8400000000011</v>
      </c>
      <c r="O351" s="92">
        <f>SUM('CA brut produits &amp; sites'!O377:O388)</f>
        <v>0</v>
      </c>
      <c r="P351" s="93">
        <f>SUM('CA brut produits &amp; sites'!P377:P388)</f>
        <v>7280.92</v>
      </c>
    </row>
    <row r="352" spans="1:16" x14ac:dyDescent="0.3">
      <c r="A352" s="94">
        <v>43435</v>
      </c>
      <c r="B352" s="146"/>
      <c r="C352" s="92">
        <f t="shared" si="53"/>
        <v>500415.04399999999</v>
      </c>
      <c r="D352" s="92">
        <f>SUM('CA brut produits &amp; sites'!D378:D389)</f>
        <v>174318.91999999998</v>
      </c>
      <c r="E352" s="92">
        <f>SUM('CA brut produits &amp; sites'!E378:E389)</f>
        <v>30417.790000000005</v>
      </c>
      <c r="F352" s="92">
        <f>SUM('CA brut produits &amp; sites'!F378:F389)</f>
        <v>68904.703999999983</v>
      </c>
      <c r="G352" s="92">
        <f>SUM('CA brut produits &amp; sites'!G378:G389)</f>
        <v>21429.84</v>
      </c>
      <c r="H352" s="92">
        <f>SUM('CA brut produits &amp; sites'!H378:H389)</f>
        <v>6302.3599999999988</v>
      </c>
      <c r="I352" s="92">
        <f>SUM('CA brut produits &amp; sites'!I378:I389)</f>
        <v>27729.879999999997</v>
      </c>
      <c r="J352" s="92">
        <f>SUM('CA brut produits &amp; sites'!J378:J389)</f>
        <v>70452.2</v>
      </c>
      <c r="K352" s="92">
        <f>SUM('CA brut produits &amp; sites'!K378:K389)</f>
        <v>61628.590000000004</v>
      </c>
      <c r="L352" s="92">
        <f>SUM('CA brut produits &amp; sites'!L378:L389)</f>
        <v>22498.039999999997</v>
      </c>
      <c r="M352" s="92">
        <f>SUM('CA brut produits &amp; sites'!M378:M389)</f>
        <v>3239.75</v>
      </c>
      <c r="N352" s="92">
        <f>SUM('CA brut produits &amp; sites'!N378:N389)</f>
        <v>4078.7200000000012</v>
      </c>
      <c r="O352" s="92">
        <f>SUM('CA brut produits &amp; sites'!O378:O389)</f>
        <v>0</v>
      </c>
      <c r="P352" s="93">
        <f>SUM('CA brut produits &amp; sites'!P378:P389)</f>
        <v>9414.25</v>
      </c>
    </row>
    <row r="353" spans="1:16" x14ac:dyDescent="0.3">
      <c r="A353" s="94">
        <v>43466</v>
      </c>
      <c r="B353" s="146"/>
      <c r="C353" s="92">
        <f t="shared" si="53"/>
        <v>498887.674</v>
      </c>
      <c r="D353" s="92">
        <f>SUM('CA brut produits &amp; sites'!D379:D390)</f>
        <v>172436.68000000002</v>
      </c>
      <c r="E353" s="92">
        <f>SUM('CA brut produits &amp; sites'!E379:E390)</f>
        <v>28628.610000000004</v>
      </c>
      <c r="F353" s="92">
        <f>SUM('CA brut produits &amp; sites'!F379:F390)</f>
        <v>73187.063999999998</v>
      </c>
      <c r="G353" s="92">
        <f>SUM('CA brut produits &amp; sites'!G379:G390)</f>
        <v>21656.83</v>
      </c>
      <c r="H353" s="92">
        <f>SUM('CA brut produits &amp; sites'!H379:H390)</f>
        <v>7497.7999999999993</v>
      </c>
      <c r="I353" s="92">
        <f>SUM('CA brut produits &amp; sites'!I379:I390)</f>
        <v>27521.449999999997</v>
      </c>
      <c r="J353" s="92">
        <f>SUM('CA brut produits &amp; sites'!J379:J390)</f>
        <v>66730.149999999994</v>
      </c>
      <c r="K353" s="92">
        <f>SUM('CA brut produits &amp; sites'!K379:K390)</f>
        <v>63127.859999999993</v>
      </c>
      <c r="L353" s="92">
        <f>SUM('CA brut produits &amp; sites'!L379:L390)</f>
        <v>21699.46</v>
      </c>
      <c r="M353" s="92">
        <f>SUM('CA brut produits &amp; sites'!M379:M390)</f>
        <v>2791.55</v>
      </c>
      <c r="N353" s="92">
        <f>SUM('CA brut produits &amp; sites'!N379:N390)</f>
        <v>4215.6000000000013</v>
      </c>
      <c r="O353" s="92">
        <f>SUM('CA brut produits &amp; sites'!O379:O390)</f>
        <v>0</v>
      </c>
      <c r="P353" s="93">
        <f>SUM('CA brut produits &amp; sites'!P379:P390)</f>
        <v>9394.6200000000008</v>
      </c>
    </row>
    <row r="354" spans="1:16" x14ac:dyDescent="0.3">
      <c r="A354" s="94">
        <v>43497</v>
      </c>
      <c r="B354" s="146"/>
      <c r="C354" s="92">
        <f t="shared" si="53"/>
        <v>506171.34400000004</v>
      </c>
      <c r="D354" s="92">
        <f>SUM('CA brut produits &amp; sites'!D380:D391)</f>
        <v>177255.69000000003</v>
      </c>
      <c r="E354" s="92">
        <f>SUM('CA brut produits &amp; sites'!E380:E391)</f>
        <v>28067.24</v>
      </c>
      <c r="F354" s="92">
        <f>SUM('CA brut produits &amp; sites'!F380:F391)</f>
        <v>72594.054000000004</v>
      </c>
      <c r="G354" s="92">
        <f>SUM('CA brut produits &amp; sites'!G380:G391)</f>
        <v>21298</v>
      </c>
      <c r="H354" s="92">
        <f>SUM('CA brut produits &amp; sites'!H380:H391)</f>
        <v>6018.7999999999993</v>
      </c>
      <c r="I354" s="92">
        <f>SUM('CA brut produits &amp; sites'!I380:I391)</f>
        <v>28488.67</v>
      </c>
      <c r="J354" s="92">
        <f>SUM('CA brut produits &amp; sites'!J380:J391)</f>
        <v>73868.799999999988</v>
      </c>
      <c r="K354" s="92">
        <f>SUM('CA brut produits &amp; sites'!K380:K391)</f>
        <v>62533.02</v>
      </c>
      <c r="L354" s="92">
        <f>SUM('CA brut produits &amp; sites'!L380:L391)</f>
        <v>21006.759999999995</v>
      </c>
      <c r="M354" s="92">
        <f>SUM('CA brut produits &amp; sites'!M380:M391)</f>
        <v>2535.65</v>
      </c>
      <c r="N354" s="92">
        <f>SUM('CA brut produits &amp; sites'!N380:N391)</f>
        <v>3172.4800000000005</v>
      </c>
      <c r="O354" s="92">
        <f>SUM('CA brut produits &amp; sites'!O380:O391)</f>
        <v>1158.1500000000001</v>
      </c>
      <c r="P354" s="93">
        <f>SUM('CA brut produits &amp; sites'!P380:P391)</f>
        <v>8174.0299999999988</v>
      </c>
    </row>
    <row r="355" spans="1:16" x14ac:dyDescent="0.3">
      <c r="A355" s="94">
        <v>43525</v>
      </c>
      <c r="B355" s="146"/>
      <c r="C355" s="92">
        <f t="shared" si="53"/>
        <v>492031.99400000001</v>
      </c>
      <c r="D355" s="92">
        <f>SUM('CA brut produits &amp; sites'!D381:D392)</f>
        <v>162315.50000000003</v>
      </c>
      <c r="E355" s="92">
        <f>SUM('CA brut produits &amp; sites'!E381:E392)</f>
        <v>28947.340000000004</v>
      </c>
      <c r="F355" s="92">
        <f>SUM('CA brut produits &amp; sites'!F381:F392)</f>
        <v>75226.333999999988</v>
      </c>
      <c r="G355" s="92">
        <f>SUM('CA brut produits &amp; sites'!G381:G392)</f>
        <v>20462.34</v>
      </c>
      <c r="H355" s="92">
        <f>SUM('CA brut produits &amp; sites'!H381:H392)</f>
        <v>4260.6000000000004</v>
      </c>
      <c r="I355" s="92">
        <f>SUM('CA brut produits &amp; sites'!I381:I392)</f>
        <v>24478.280000000006</v>
      </c>
      <c r="J355" s="92">
        <f>SUM('CA brut produits &amp; sites'!J381:J392)</f>
        <v>73339.5</v>
      </c>
      <c r="K355" s="92">
        <f>SUM('CA brut produits &amp; sites'!K381:K392)</f>
        <v>66165.889999999985</v>
      </c>
      <c r="L355" s="92">
        <f>SUM('CA brut produits &amp; sites'!L381:L392)</f>
        <v>19622.449999999997</v>
      </c>
      <c r="M355" s="92">
        <f>SUM('CA brut produits &amp; sites'!M381:M392)</f>
        <v>2440.36</v>
      </c>
      <c r="N355" s="92">
        <f>SUM('CA brut produits &amp; sites'!N381:N392)</f>
        <v>3309.3600000000006</v>
      </c>
      <c r="O355" s="92">
        <f>SUM('CA brut produits &amp; sites'!O381:O392)</f>
        <v>3469.58</v>
      </c>
      <c r="P355" s="93">
        <f>SUM('CA brut produits &amp; sites'!P381:P392)</f>
        <v>7994.4599999999991</v>
      </c>
    </row>
    <row r="356" spans="1:16" x14ac:dyDescent="0.3">
      <c r="A356" s="94">
        <v>43556</v>
      </c>
      <c r="B356" s="146"/>
      <c r="C356" s="92">
        <f t="shared" si="53"/>
        <v>495143.56399999995</v>
      </c>
      <c r="D356" s="92">
        <f>SUM('CA brut produits &amp; sites'!D382:D393)</f>
        <v>166801.58000000002</v>
      </c>
      <c r="E356" s="92">
        <f>SUM('CA brut produits &amp; sites'!E382:E393)</f>
        <v>28574.809999999998</v>
      </c>
      <c r="F356" s="92">
        <f>SUM('CA brut produits &amp; sites'!F382:F393)</f>
        <v>77617.033999999985</v>
      </c>
      <c r="G356" s="92">
        <f>SUM('CA brut produits &amp; sites'!G382:G393)</f>
        <v>20953.59</v>
      </c>
      <c r="H356" s="92">
        <f>SUM('CA brut produits &amp; sites'!H382:H393)</f>
        <v>4456.68</v>
      </c>
      <c r="I356" s="92">
        <f>SUM('CA brut produits &amp; sites'!I382:I393)</f>
        <v>22090.250000000004</v>
      </c>
      <c r="J356" s="92">
        <f>SUM('CA brut produits &amp; sites'!J382:J393)</f>
        <v>66964</v>
      </c>
      <c r="K356" s="92">
        <f>SUM('CA brut produits &amp; sites'!K382:K393)</f>
        <v>70565.669999999984</v>
      </c>
      <c r="L356" s="92">
        <f>SUM('CA brut produits &amp; sites'!L382:L393)</f>
        <v>19858.510000000002</v>
      </c>
      <c r="M356" s="92">
        <f>SUM('CA brut produits &amp; sites'!M382:M393)</f>
        <v>2632.11</v>
      </c>
      <c r="N356" s="92">
        <f>SUM('CA brut produits &amp; sites'!N382:N393)</f>
        <v>3172.4800000000009</v>
      </c>
      <c r="O356" s="92">
        <f>SUM('CA brut produits &amp; sites'!O382:O393)</f>
        <v>3652.88</v>
      </c>
      <c r="P356" s="93">
        <f>SUM('CA brut produits &amp; sites'!P382:P393)</f>
        <v>7803.9699999999993</v>
      </c>
    </row>
    <row r="357" spans="1:16" x14ac:dyDescent="0.3">
      <c r="A357" s="94">
        <v>43586</v>
      </c>
      <c r="B357" s="146"/>
      <c r="C357" s="92">
        <f t="shared" si="53"/>
        <v>488182.03399999993</v>
      </c>
      <c r="D357" s="92">
        <f>SUM('CA brut produits &amp; sites'!D383:D394)</f>
        <v>163477.71000000002</v>
      </c>
      <c r="E357" s="92">
        <f>SUM('CA brut produits &amp; sites'!E383:E394)</f>
        <v>28795.41</v>
      </c>
      <c r="F357" s="92">
        <f>SUM('CA brut produits &amp; sites'!F383:F394)</f>
        <v>75135.703999999998</v>
      </c>
      <c r="G357" s="92">
        <f>SUM('CA brut produits &amp; sites'!G383:G394)</f>
        <v>20538.05</v>
      </c>
      <c r="H357" s="92">
        <f>SUM('CA brut produits &amp; sites'!H383:H394)</f>
        <v>4502.8500000000004</v>
      </c>
      <c r="I357" s="92">
        <f>SUM('CA brut produits &amp; sites'!I383:I394)</f>
        <v>24693.540000000005</v>
      </c>
      <c r="J357" s="92">
        <f>SUM('CA brut produits &amp; sites'!J383:J394)</f>
        <v>65662.5</v>
      </c>
      <c r="K357" s="92">
        <f>SUM('CA brut produits &amp; sites'!K383:K394)</f>
        <v>67767.429999999993</v>
      </c>
      <c r="L357" s="92">
        <f>SUM('CA brut produits &amp; sites'!L383:L394)</f>
        <v>19704.650000000001</v>
      </c>
      <c r="M357" s="92">
        <f>SUM('CA brut produits &amp; sites'!M383:M394)</f>
        <v>2803.86</v>
      </c>
      <c r="N357" s="92">
        <f>SUM('CA brut produits &amp; sites'!N383:N394)</f>
        <v>3035.6000000000008</v>
      </c>
      <c r="O357" s="92">
        <f>SUM('CA brut produits &amp; sites'!O383:O394)</f>
        <v>3652.88</v>
      </c>
      <c r="P357" s="93">
        <f>SUM('CA brut produits &amp; sites'!P383:P394)</f>
        <v>8411.8499999999985</v>
      </c>
    </row>
    <row r="358" spans="1:16" x14ac:dyDescent="0.3">
      <c r="A358" s="94">
        <v>43617</v>
      </c>
      <c r="B358" s="146"/>
      <c r="C358" s="92">
        <f t="shared" si="53"/>
        <v>468251.76999999996</v>
      </c>
      <c r="D358" s="92">
        <f>SUM('CA brut produits &amp; sites'!D384:D395)</f>
        <v>151818.49000000002</v>
      </c>
      <c r="E358" s="92">
        <f>SUM('CA brut produits &amp; sites'!E384:E395)</f>
        <v>26402.37</v>
      </c>
      <c r="F358" s="92">
        <f>SUM('CA brut produits &amp; sites'!F384:F395)</f>
        <v>74245.39</v>
      </c>
      <c r="G358" s="92">
        <f>SUM('CA brut produits &amp; sites'!G384:G395)</f>
        <v>18193.73</v>
      </c>
      <c r="H358" s="92">
        <f>SUM('CA brut produits &amp; sites'!H384:H395)</f>
        <v>5233.7699999999995</v>
      </c>
      <c r="I358" s="92">
        <f>SUM('CA brut produits &amp; sites'!I384:I395)</f>
        <v>18732.050000000003</v>
      </c>
      <c r="J358" s="92">
        <f>SUM('CA brut produits &amp; sites'!J384:J395)</f>
        <v>66142.5</v>
      </c>
      <c r="K358" s="92">
        <f>SUM('CA brut produits &amp; sites'!K384:K395)</f>
        <v>69686</v>
      </c>
      <c r="L358" s="92">
        <f>SUM('CA brut produits &amp; sites'!L384:L395)</f>
        <v>19167.849999999999</v>
      </c>
      <c r="M358" s="92">
        <f>SUM('CA brut produits &amp; sites'!M384:M395)</f>
        <v>3108.11</v>
      </c>
      <c r="N358" s="92">
        <f>SUM('CA brut produits &amp; sites'!N384:N395)</f>
        <v>3423.6200000000008</v>
      </c>
      <c r="O358" s="92">
        <f>SUM('CA brut produits &amp; sites'!O384:O395)</f>
        <v>3652.88</v>
      </c>
      <c r="P358" s="93">
        <f>SUM('CA brut produits &amp; sites'!P384:P395)</f>
        <v>8445.0099999999984</v>
      </c>
    </row>
    <row r="359" spans="1:16" x14ac:dyDescent="0.3">
      <c r="A359" s="94">
        <v>43647</v>
      </c>
      <c r="B359" s="146"/>
      <c r="C359" s="92">
        <f t="shared" si="53"/>
        <v>439948.03</v>
      </c>
      <c r="D359" s="92">
        <f>SUM('CA brut produits &amp; sites'!D385:D396)</f>
        <v>136264.36000000002</v>
      </c>
      <c r="E359" s="92">
        <f>SUM('CA brut produits &amp; sites'!E385:E396)</f>
        <v>26009.829999999998</v>
      </c>
      <c r="F359" s="92">
        <f>SUM('CA brut produits &amp; sites'!F385:F396)</f>
        <v>71235.460000000006</v>
      </c>
      <c r="G359" s="92">
        <f>SUM('CA brut produits &amp; sites'!G385:G396)</f>
        <v>17903.760000000002</v>
      </c>
      <c r="H359" s="92">
        <f>SUM('CA brut produits &amp; sites'!H385:H396)</f>
        <v>5302.04</v>
      </c>
      <c r="I359" s="92">
        <f>SUM('CA brut produits &amp; sites'!I385:I396)</f>
        <v>17633.539999999997</v>
      </c>
      <c r="J359" s="92">
        <f>SUM('CA brut produits &amp; sites'!J385:J396)</f>
        <v>63770.299999999996</v>
      </c>
      <c r="K359" s="92">
        <f>SUM('CA brut produits &amp; sites'!K385:K396)</f>
        <v>65308.05</v>
      </c>
      <c r="L359" s="92">
        <f>SUM('CA brut produits &amp; sites'!L385:L396)</f>
        <v>18981.7</v>
      </c>
      <c r="M359" s="92">
        <f>SUM('CA brut produits &amp; sites'!M385:M396)</f>
        <v>3164.86</v>
      </c>
      <c r="N359" s="92">
        <f>SUM('CA brut produits &amp; sites'!N385:N396)</f>
        <v>3286.7400000000007</v>
      </c>
      <c r="O359" s="92">
        <f>SUM('CA brut produits &amp; sites'!O385:O396)</f>
        <v>3652.88</v>
      </c>
      <c r="P359" s="93">
        <f>SUM('CA brut produits &amp; sites'!P385:P396)</f>
        <v>7434.5099999999984</v>
      </c>
    </row>
    <row r="360" spans="1:16" x14ac:dyDescent="0.3">
      <c r="A360" s="94">
        <v>43678</v>
      </c>
      <c r="B360" s="146"/>
      <c r="C360" s="92">
        <f t="shared" si="53"/>
        <v>448710.37</v>
      </c>
      <c r="D360" s="92">
        <f>SUM('CA brut produits &amp; sites'!D386:D397)</f>
        <v>141406.44000000003</v>
      </c>
      <c r="E360" s="92">
        <f>SUM('CA brut produits &amp; sites'!E386:E397)</f>
        <v>28280.170000000002</v>
      </c>
      <c r="F360" s="92">
        <f>SUM('CA brut produits &amp; sites'!F386:F397)</f>
        <v>72146.260000000009</v>
      </c>
      <c r="G360" s="92">
        <f>SUM('CA brut produits &amp; sites'!G386:G397)</f>
        <v>17386.460000000003</v>
      </c>
      <c r="H360" s="92">
        <f>SUM('CA brut produits &amp; sites'!H386:H397)</f>
        <v>5339.5899999999992</v>
      </c>
      <c r="I360" s="92">
        <f>SUM('CA brut produits &amp; sites'!I386:I397)</f>
        <v>18356.289999999997</v>
      </c>
      <c r="J360" s="92">
        <f>SUM('CA brut produits &amp; sites'!J386:J397)</f>
        <v>62982.299999999996</v>
      </c>
      <c r="K360" s="92">
        <f>SUM('CA brut produits &amp; sites'!K386:K397)</f>
        <v>66600.760000000009</v>
      </c>
      <c r="L360" s="92">
        <f>SUM('CA brut produits &amp; sites'!L386:L397)</f>
        <v>19833.600000000002</v>
      </c>
      <c r="M360" s="92">
        <f>SUM('CA brut produits &amp; sites'!M386:M397)</f>
        <v>3146.11</v>
      </c>
      <c r="N360" s="92">
        <f>SUM('CA brut produits &amp; sites'!N386:N397)</f>
        <v>2128.0600000000004</v>
      </c>
      <c r="O360" s="92">
        <f>SUM('CA brut produits &amp; sites'!O386:O397)</f>
        <v>3654.63</v>
      </c>
      <c r="P360" s="93">
        <f>SUM('CA brut produits &amp; sites'!P386:P397)</f>
        <v>7449.6999999999989</v>
      </c>
    </row>
    <row r="361" spans="1:16" x14ac:dyDescent="0.3">
      <c r="A361" s="94">
        <v>43709</v>
      </c>
      <c r="B361" s="146"/>
      <c r="C361" s="92">
        <f t="shared" si="53"/>
        <v>465770.6</v>
      </c>
      <c r="D361" s="92">
        <f>SUM('CA brut produits &amp; sites'!D387:D398)</f>
        <v>152850.69</v>
      </c>
      <c r="E361" s="92">
        <f>SUM('CA brut produits &amp; sites'!E387:E398)</f>
        <v>28652.13</v>
      </c>
      <c r="F361" s="92">
        <f>SUM('CA brut produits &amp; sites'!F387:F398)</f>
        <v>75703.02</v>
      </c>
      <c r="G361" s="92">
        <f>SUM('CA brut produits &amp; sites'!G387:G398)</f>
        <v>17646.809999999998</v>
      </c>
      <c r="H361" s="92">
        <f>SUM('CA brut produits &amp; sites'!H387:H398)</f>
        <v>5656.4499999999989</v>
      </c>
      <c r="I361" s="92">
        <f>SUM('CA brut produits &amp; sites'!I387:I398)</f>
        <v>17191.969999999998</v>
      </c>
      <c r="J361" s="92">
        <f>SUM('CA brut produits &amp; sites'!J387:J398)</f>
        <v>57193.929999999993</v>
      </c>
      <c r="K361" s="92">
        <f>SUM('CA brut produits &amp; sites'!K387:K398)</f>
        <v>74369.320000000007</v>
      </c>
      <c r="L361" s="92">
        <f>SUM('CA brut produits &amp; sites'!L387:L398)</f>
        <v>20211.21</v>
      </c>
      <c r="M361" s="92">
        <f>SUM('CA brut produits &amp; sites'!M387:M398)</f>
        <v>3117.23</v>
      </c>
      <c r="N361" s="92">
        <f>SUM('CA brut produits &amp; sites'!N387:N398)</f>
        <v>1991.1800000000003</v>
      </c>
      <c r="O361" s="92">
        <f>SUM('CA brut produits &amp; sites'!O387:O398)</f>
        <v>3654.63</v>
      </c>
      <c r="P361" s="93">
        <f>SUM('CA brut produits &amp; sites'!P387:P398)</f>
        <v>7532.0299999999979</v>
      </c>
    </row>
    <row r="362" spans="1:16" x14ac:dyDescent="0.3">
      <c r="A362" s="94">
        <v>43739</v>
      </c>
      <c r="B362" s="146"/>
      <c r="C362" s="92">
        <f t="shared" si="53"/>
        <v>484452.95999999996</v>
      </c>
      <c r="D362" s="92">
        <f>SUM('CA brut produits &amp; sites'!D388:D399)</f>
        <v>163032.95000000001</v>
      </c>
      <c r="E362" s="92">
        <f>SUM('CA brut produits &amp; sites'!E388:E399)</f>
        <v>29870.41</v>
      </c>
      <c r="F362" s="92">
        <f>SUM('CA brut produits &amp; sites'!F388:F399)</f>
        <v>77292.27</v>
      </c>
      <c r="G362" s="92">
        <f>SUM('CA brut produits &amp; sites'!G388:G399)</f>
        <v>17139.469999999998</v>
      </c>
      <c r="H362" s="92">
        <f>SUM('CA brut produits &amp; sites'!H388:H399)</f>
        <v>6114.49</v>
      </c>
      <c r="I362" s="92">
        <f>SUM('CA brut produits &amp; sites'!I388:I399)</f>
        <v>16738.79</v>
      </c>
      <c r="J362" s="92">
        <f>SUM('CA brut produits &amp; sites'!J388:J399)</f>
        <v>62173.95</v>
      </c>
      <c r="K362" s="92">
        <f>SUM('CA brut produits &amp; sites'!K388:K399)</f>
        <v>74230.33</v>
      </c>
      <c r="L362" s="92">
        <f>SUM('CA brut produits &amp; sites'!L388:L399)</f>
        <v>21901.350000000002</v>
      </c>
      <c r="M362" s="92">
        <f>SUM('CA brut produits &amp; sites'!M388:M399)</f>
        <v>3197.28</v>
      </c>
      <c r="N362" s="92">
        <f>SUM('CA brut produits &amp; sites'!N388:N399)</f>
        <v>1809.3000000000002</v>
      </c>
      <c r="O362" s="92">
        <f>SUM('CA brut produits &amp; sites'!O388:O399)</f>
        <v>3656.38</v>
      </c>
      <c r="P362" s="93">
        <f>SUM('CA brut produits &amp; sites'!P388:P399)</f>
        <v>7295.989999999998</v>
      </c>
    </row>
    <row r="363" spans="1:16" x14ac:dyDescent="0.3">
      <c r="A363" s="94">
        <v>43770</v>
      </c>
      <c r="B363" s="146"/>
      <c r="C363" s="92">
        <f t="shared" si="53"/>
        <v>472757.18</v>
      </c>
      <c r="D363" s="92">
        <f>SUM('CA brut produits &amp; sites'!D389:D400)</f>
        <v>152404.95000000001</v>
      </c>
      <c r="E363" s="92">
        <f>SUM('CA brut produits &amp; sites'!E389:E400)</f>
        <v>30042.200000000004</v>
      </c>
      <c r="F363" s="92">
        <f>SUM('CA brut produits &amp; sites'!F389:F400)</f>
        <v>76601.86</v>
      </c>
      <c r="G363" s="92">
        <f>SUM('CA brut produits &amp; sites'!G389:G400)</f>
        <v>17343.739999999998</v>
      </c>
      <c r="H363" s="92">
        <f>SUM('CA brut produits &amp; sites'!H389:H400)</f>
        <v>5693.4400000000005</v>
      </c>
      <c r="I363" s="92">
        <f>SUM('CA brut produits &amp; sites'!I389:I400)</f>
        <v>15139.620000000003</v>
      </c>
      <c r="J363" s="92">
        <f>SUM('CA brut produits &amp; sites'!J389:J400)</f>
        <v>61399.75</v>
      </c>
      <c r="K363" s="92">
        <f>SUM('CA brut produits &amp; sites'!K389:K400)</f>
        <v>75796.84</v>
      </c>
      <c r="L363" s="92">
        <f>SUM('CA brut produits &amp; sites'!L389:L400)</f>
        <v>22212.91</v>
      </c>
      <c r="M363" s="92">
        <f>SUM('CA brut produits &amp; sites'!M389:M400)</f>
        <v>3303.53</v>
      </c>
      <c r="N363" s="92">
        <f>SUM('CA brut produits &amp; sites'!N389:N400)</f>
        <v>1672.42</v>
      </c>
      <c r="O363" s="92">
        <f>SUM('CA brut produits &amp; sites'!O389:O400)</f>
        <v>3656.38</v>
      </c>
      <c r="P363" s="93">
        <f>SUM('CA brut produits &amp; sites'!P389:P400)</f>
        <v>7489.54</v>
      </c>
    </row>
    <row r="364" spans="1:16" x14ac:dyDescent="0.3">
      <c r="A364" s="94">
        <v>43800</v>
      </c>
      <c r="B364" s="146"/>
      <c r="C364" s="92">
        <f t="shared" si="53"/>
        <v>470048.26000000007</v>
      </c>
      <c r="D364" s="92">
        <f>SUM('CA brut produits &amp; sites'!D390:D401)</f>
        <v>155986.09000000003</v>
      </c>
      <c r="E364" s="92">
        <f>SUM('CA brut produits &amp; sites'!E390:E401)</f>
        <v>29460.82</v>
      </c>
      <c r="F364" s="92">
        <f>SUM('CA brut produits &amp; sites'!F390:F401)</f>
        <v>79368.67</v>
      </c>
      <c r="G364" s="92">
        <f>SUM('CA brut produits &amp; sites'!G390:G401)</f>
        <v>17626.229999999996</v>
      </c>
      <c r="H364" s="92">
        <f>SUM('CA brut produits &amp; sites'!H390:H401)</f>
        <v>6133.84</v>
      </c>
      <c r="I364" s="92">
        <f>SUM('CA brut produits &amp; sites'!I390:I401)</f>
        <v>15431.400000000003</v>
      </c>
      <c r="J364" s="92">
        <f>SUM('CA brut produits &amp; sites'!J390:J401)</f>
        <v>54299.75</v>
      </c>
      <c r="K364" s="92">
        <f>SUM('CA brut produits &amp; sites'!K390:K401)</f>
        <v>75387.989999999991</v>
      </c>
      <c r="L364" s="92">
        <f>SUM('CA brut produits &amp; sites'!L390:L401)</f>
        <v>22589.019999999997</v>
      </c>
      <c r="M364" s="92">
        <f>SUM('CA brut produits &amp; sites'!M390:M401)</f>
        <v>3471.8300000000004</v>
      </c>
      <c r="N364" s="92">
        <f>SUM('CA brut produits &amp; sites'!N390:N401)</f>
        <v>980.54</v>
      </c>
      <c r="O364" s="92">
        <f>SUM('CA brut produits &amp; sites'!O390:O401)</f>
        <v>3656.38</v>
      </c>
      <c r="P364" s="93">
        <f>SUM('CA brut produits &amp; sites'!P390:P401)</f>
        <v>5655.7</v>
      </c>
    </row>
    <row r="365" spans="1:16" x14ac:dyDescent="0.3">
      <c r="A365" s="94">
        <v>43831</v>
      </c>
      <c r="B365" s="146"/>
      <c r="C365" s="92">
        <f t="shared" si="53"/>
        <v>474987.36000000004</v>
      </c>
      <c r="D365" s="92">
        <f>SUM('CA brut produits &amp; sites'!D391:D402)</f>
        <v>155833.09000000003</v>
      </c>
      <c r="E365" s="92">
        <f>SUM('CA brut produits &amp; sites'!E391:E402)</f>
        <v>29967.72</v>
      </c>
      <c r="F365" s="92">
        <f>SUM('CA brut produits &amp; sites'!F391:F402)</f>
        <v>77143.13</v>
      </c>
      <c r="G365" s="92">
        <f>SUM('CA brut produits &amp; sites'!G391:G402)</f>
        <v>17636.09</v>
      </c>
      <c r="H365" s="92">
        <f>SUM('CA brut produits &amp; sites'!H391:H402)</f>
        <v>5279.8899999999994</v>
      </c>
      <c r="I365" s="92">
        <f>SUM('CA brut produits &amp; sites'!I391:I402)</f>
        <v>14403.830000000004</v>
      </c>
      <c r="J365" s="92">
        <f>SUM('CA brut produits &amp; sites'!J391:J402)</f>
        <v>57429.3</v>
      </c>
      <c r="K365" s="92">
        <f>SUM('CA brut produits &amp; sites'!K391:K402)</f>
        <v>78603.049999999988</v>
      </c>
      <c r="L365" s="92">
        <f>SUM('CA brut produits &amp; sites'!L391:L402)</f>
        <v>24348.85</v>
      </c>
      <c r="M365" s="92">
        <f>SUM('CA brut produits &amp; sites'!M391:M402)</f>
        <v>3654.5800000000004</v>
      </c>
      <c r="N365" s="92">
        <f>SUM('CA brut produits &amp; sites'!N391:N402)</f>
        <v>843.66</v>
      </c>
      <c r="O365" s="92">
        <f>SUM('CA brut produits &amp; sites'!O391:O402)</f>
        <v>3656.38</v>
      </c>
      <c r="P365" s="93">
        <f>SUM('CA brut produits &amp; sites'!P391:P402)</f>
        <v>6187.7899999999991</v>
      </c>
    </row>
    <row r="366" spans="1:16" x14ac:dyDescent="0.3">
      <c r="A366" s="94">
        <v>43862</v>
      </c>
      <c r="B366" s="146"/>
      <c r="C366" s="92">
        <f t="shared" si="53"/>
        <v>481557.80000000005</v>
      </c>
      <c r="D366" s="92">
        <f>SUM('CA brut produits &amp; sites'!D392:D403)</f>
        <v>154684.54999999999</v>
      </c>
      <c r="E366" s="92">
        <f>SUM('CA brut produits &amp; sites'!E392:E403)</f>
        <v>30473.03</v>
      </c>
      <c r="F366" s="92">
        <f>SUM('CA brut produits &amp; sites'!F392:F403)</f>
        <v>76001.16</v>
      </c>
      <c r="G366" s="92">
        <f>SUM('CA brut produits &amp; sites'!G392:G403)</f>
        <v>17318.629999999997</v>
      </c>
      <c r="H366" s="92">
        <f>SUM('CA brut produits &amp; sites'!H392:H403)</f>
        <v>5533.0199999999995</v>
      </c>
      <c r="I366" s="92">
        <f>SUM('CA brut produits &amp; sites'!I392:I403)</f>
        <v>13230.75</v>
      </c>
      <c r="J366" s="92">
        <f>SUM('CA brut produits &amp; sites'!J392:J403)</f>
        <v>66929.010000000009</v>
      </c>
      <c r="K366" s="92">
        <f>SUM('CA brut produits &amp; sites'!K392:K403)</f>
        <v>78902.210000000006</v>
      </c>
      <c r="L366" s="92">
        <f>SUM('CA brut produits &amp; sites'!L392:L403)</f>
        <v>25261.86</v>
      </c>
      <c r="M366" s="92">
        <f>SUM('CA brut produits &amp; sites'!M392:M403)</f>
        <v>3567.3300000000004</v>
      </c>
      <c r="N366" s="92">
        <f>SUM('CA brut produits &amp; sites'!N392:N403)</f>
        <v>706.78</v>
      </c>
      <c r="O366" s="92">
        <f>SUM('CA brut produits &amp; sites'!O392:O403)</f>
        <v>2498.23</v>
      </c>
      <c r="P366" s="93">
        <f>SUM('CA brut produits &amp; sites'!P392:P403)</f>
        <v>6451.24</v>
      </c>
    </row>
    <row r="367" spans="1:16" x14ac:dyDescent="0.3">
      <c r="A367" s="94">
        <v>43891</v>
      </c>
      <c r="B367" s="146"/>
      <c r="C367" s="92">
        <f t="shared" si="53"/>
        <v>458758.84000000008</v>
      </c>
      <c r="D367" s="92">
        <f>SUM('CA brut produits &amp; sites'!D393:D404)</f>
        <v>163500.71000000002</v>
      </c>
      <c r="E367" s="92">
        <f>SUM('CA brut produits &amp; sites'!E393:E404)</f>
        <v>27298.170000000006</v>
      </c>
      <c r="F367" s="92">
        <f>SUM('CA brut produits &amp; sites'!F393:F404)</f>
        <v>69125.34</v>
      </c>
      <c r="G367" s="92">
        <f>SUM('CA brut produits &amp; sites'!G393:G404)</f>
        <v>16342.130000000003</v>
      </c>
      <c r="H367" s="92">
        <f>SUM('CA brut produits &amp; sites'!H393:H404)</f>
        <v>5568.2</v>
      </c>
      <c r="I367" s="92">
        <f>SUM('CA brut produits &amp; sites'!I393:I404)</f>
        <v>10169.949999999999</v>
      </c>
      <c r="J367" s="92">
        <f>SUM('CA brut produits &amp; sites'!J393:J404)</f>
        <v>61740.810000000005</v>
      </c>
      <c r="K367" s="92">
        <f>SUM('CA brut produits &amp; sites'!K393:K404)</f>
        <v>70491.760000000009</v>
      </c>
      <c r="L367" s="92">
        <f>SUM('CA brut produits &amp; sites'!L393:L404)</f>
        <v>23976.760000000002</v>
      </c>
      <c r="M367" s="92">
        <f>SUM('CA brut produits &amp; sites'!M393:M404)</f>
        <v>3557.4700000000003</v>
      </c>
      <c r="N367" s="92">
        <f>SUM('CA brut produits &amp; sites'!N393:N404)</f>
        <v>569.9</v>
      </c>
      <c r="O367" s="92">
        <f>SUM('CA brut produits &amp; sites'!O393:O404)</f>
        <v>186.8</v>
      </c>
      <c r="P367" s="93">
        <f>SUM('CA brut produits &amp; sites'!P393:P404)</f>
        <v>6230.8399999999992</v>
      </c>
    </row>
    <row r="368" spans="1:16" x14ac:dyDescent="0.3">
      <c r="A368" s="94">
        <v>43922</v>
      </c>
      <c r="B368" s="146"/>
      <c r="C368" s="92">
        <f t="shared" si="53"/>
        <v>436009.85000000003</v>
      </c>
      <c r="D368" s="92">
        <f>SUM('CA brut produits &amp; sites'!D394:D405)</f>
        <v>162611.34000000003</v>
      </c>
      <c r="E368" s="92">
        <f>SUM('CA brut produits &amp; sites'!E394:E405)</f>
        <v>25366.670000000002</v>
      </c>
      <c r="F368" s="92">
        <f>SUM('CA brut produits &amp; sites'!F394:F405)</f>
        <v>63074.479999999996</v>
      </c>
      <c r="G368" s="92">
        <f>SUM('CA brut produits &amp; sites'!G394:G405)</f>
        <v>14061.110000000002</v>
      </c>
      <c r="H368" s="92">
        <f>SUM('CA brut produits &amp; sites'!H394:H405)</f>
        <v>5159.25</v>
      </c>
      <c r="I368" s="92">
        <f>SUM('CA brut produits &amp; sites'!I394:I405)</f>
        <v>9071.4</v>
      </c>
      <c r="J368" s="92">
        <f>SUM('CA brut produits &amp; sites'!J394:J405)</f>
        <v>62246.610000000008</v>
      </c>
      <c r="K368" s="92">
        <f>SUM('CA brut produits &amp; sites'!K394:K405)</f>
        <v>63499.860000000008</v>
      </c>
      <c r="L368" s="92">
        <f>SUM('CA brut produits &amp; sites'!L394:L405)</f>
        <v>22013.65</v>
      </c>
      <c r="M368" s="92">
        <f>SUM('CA brut produits &amp; sites'!M394:M405)</f>
        <v>3184.7200000000003</v>
      </c>
      <c r="N368" s="92">
        <f>SUM('CA brut produits &amp; sites'!N394:N405)</f>
        <v>569.9</v>
      </c>
      <c r="O368" s="92">
        <f>SUM('CA brut produits &amp; sites'!O394:O405)</f>
        <v>3.5</v>
      </c>
      <c r="P368" s="93">
        <f>SUM('CA brut produits &amp; sites'!P394:P405)</f>
        <v>5147.3599999999997</v>
      </c>
    </row>
    <row r="369" spans="1:16" x14ac:dyDescent="0.3">
      <c r="A369" s="94">
        <v>43952</v>
      </c>
      <c r="B369" s="146"/>
      <c r="C369" s="92">
        <f t="shared" ref="C369" si="54">SUM(D369:P369)</f>
        <v>448191.67000000016</v>
      </c>
      <c r="D369" s="92">
        <f>SUM('CA brut produits &amp; sites'!D395:D406)</f>
        <v>190070.27000000002</v>
      </c>
      <c r="E369" s="92">
        <f>SUM('CA brut produits &amp; sites'!E395:E406)</f>
        <v>23259.920000000006</v>
      </c>
      <c r="F369" s="92">
        <f>SUM('CA brut produits &amp; sites'!F395:F406)</f>
        <v>61172.54</v>
      </c>
      <c r="G369" s="92">
        <f>SUM('CA brut produits &amp; sites'!G395:G406)</f>
        <v>12792.150000000001</v>
      </c>
      <c r="H369" s="92">
        <f>SUM('CA brut produits &amp; sites'!H395:H406)</f>
        <v>5138.8999999999996</v>
      </c>
      <c r="I369" s="92">
        <f>SUM('CA brut produits &amp; sites'!I395:I406)</f>
        <v>8459.33</v>
      </c>
      <c r="J369" s="92">
        <f>SUM('CA brut produits &amp; sites'!J395:J406)</f>
        <v>57253.11</v>
      </c>
      <c r="K369" s="92">
        <f>SUM('CA brut produits &amp; sites'!K395:K406)</f>
        <v>61491.960000000006</v>
      </c>
      <c r="L369" s="92">
        <f>SUM('CA brut produits &amp; sites'!L395:L406)</f>
        <v>20648.580000000002</v>
      </c>
      <c r="M369" s="92">
        <f>SUM('CA brut produits &amp; sites'!M395:M406)</f>
        <v>2707.05</v>
      </c>
      <c r="N369" s="92">
        <f>SUM('CA brut produits &amp; sites'!N395:N406)</f>
        <v>569.9</v>
      </c>
      <c r="O369" s="92">
        <f>SUM('CA brut produits &amp; sites'!O395:O406)</f>
        <v>3.5</v>
      </c>
      <c r="P369" s="93">
        <f>SUM('CA brut produits &amp; sites'!P395:P406)</f>
        <v>4624.4599999999991</v>
      </c>
    </row>
    <row r="370" spans="1:16" x14ac:dyDescent="0.3">
      <c r="A370" s="94">
        <v>43983</v>
      </c>
      <c r="B370" s="146"/>
      <c r="C370" s="92">
        <f t="shared" ref="C370" si="55">SUM(D370:P370)</f>
        <v>439754.65</v>
      </c>
      <c r="D370" s="92">
        <f>SUM('CA brut produits &amp; sites'!D396:D407)</f>
        <v>203866.99</v>
      </c>
      <c r="E370" s="92">
        <f>SUM('CA brut produits &amp; sites'!E396:E407)</f>
        <v>21475.750000000007</v>
      </c>
      <c r="F370" s="92">
        <f>SUM('CA brut produits &amp; sites'!F396:F407)</f>
        <v>58408.15</v>
      </c>
      <c r="G370" s="92">
        <f>SUM('CA brut produits &amp; sites'!G396:G407)</f>
        <v>10950.68</v>
      </c>
      <c r="H370" s="92">
        <f>SUM('CA brut produits &amp; sites'!H396:H407)</f>
        <v>3940.12</v>
      </c>
      <c r="I370" s="92">
        <f>SUM('CA brut produits &amp; sites'!I396:I407)</f>
        <v>6632.6500000000005</v>
      </c>
      <c r="J370" s="92">
        <f>SUM('CA brut produits &amp; sites'!J396:J407)</f>
        <v>53449.11</v>
      </c>
      <c r="K370" s="92">
        <f>SUM('CA brut produits &amp; sites'!K396:K407)</f>
        <v>56670.380000000005</v>
      </c>
      <c r="L370" s="92">
        <f>SUM('CA brut produits &amp; sites'!L396:L407)</f>
        <v>18916.879999999997</v>
      </c>
      <c r="M370" s="92">
        <f>SUM('CA brut produits &amp; sites'!M396:M407)</f>
        <v>2142.63</v>
      </c>
      <c r="N370" s="92">
        <f>SUM('CA brut produits &amp; sites'!N396:N407)</f>
        <v>0</v>
      </c>
      <c r="O370" s="92">
        <f>SUM('CA brut produits &amp; sites'!O396:O407)</f>
        <v>3.5</v>
      </c>
      <c r="P370" s="93">
        <f>SUM('CA brut produits &amp; sites'!P396:P407)</f>
        <v>3297.81</v>
      </c>
    </row>
    <row r="371" spans="1:16" x14ac:dyDescent="0.3">
      <c r="A371" s="94">
        <v>44013</v>
      </c>
      <c r="B371" s="146"/>
      <c r="C371" s="92">
        <f t="shared" ref="C371" si="56">SUM(D371:P371)</f>
        <v>435115.56</v>
      </c>
      <c r="D371" s="92">
        <f>SUM('CA brut produits &amp; sites'!D397:D408)</f>
        <v>210141.25</v>
      </c>
      <c r="E371" s="92">
        <f>SUM('CA brut produits &amp; sites'!E397:E408)</f>
        <v>20148.070000000003</v>
      </c>
      <c r="F371" s="92">
        <f>SUM('CA brut produits &amp; sites'!F397:F408)</f>
        <v>54936.959999999999</v>
      </c>
      <c r="G371" s="92">
        <f>SUM('CA brut produits &amp; sites'!G397:G408)</f>
        <v>9970.2899999999991</v>
      </c>
      <c r="H371" s="92">
        <f>SUM('CA brut produits &amp; sites'!H397:H408)</f>
        <v>4106.12</v>
      </c>
      <c r="I371" s="92">
        <f>SUM('CA brut produits &amp; sites'!I397:I408)</f>
        <v>6281.1399999999994</v>
      </c>
      <c r="J371" s="92">
        <f>SUM('CA brut produits &amp; sites'!J397:J408)</f>
        <v>54484.35</v>
      </c>
      <c r="K371" s="92">
        <f>SUM('CA brut produits &amp; sites'!K397:K408)</f>
        <v>53019.460000000006</v>
      </c>
      <c r="L371" s="92">
        <f>SUM('CA brut produits &amp; sites'!L397:L408)</f>
        <v>17217.229999999996</v>
      </c>
      <c r="M371" s="92">
        <f>SUM('CA brut produits &amp; sites'!M397:M408)</f>
        <v>1812.7099999999998</v>
      </c>
      <c r="N371" s="92">
        <f>SUM('CA brut produits &amp; sites'!N397:N408)</f>
        <v>0</v>
      </c>
      <c r="O371" s="92">
        <f>SUM('CA brut produits &amp; sites'!O397:O408)</f>
        <v>3.5</v>
      </c>
      <c r="P371" s="93">
        <f>SUM('CA brut produits &amp; sites'!P397:P408)</f>
        <v>2994.48</v>
      </c>
    </row>
    <row r="372" spans="1:16" x14ac:dyDescent="0.3">
      <c r="A372" s="94">
        <v>44044</v>
      </c>
      <c r="B372" s="146"/>
      <c r="C372" s="92">
        <f t="shared" ref="C372" si="57">SUM(D372:P372)</f>
        <v>412255.31</v>
      </c>
      <c r="D372" s="92">
        <f>SUM('CA brut produits &amp; sites'!D398:D409)</f>
        <v>209123.12</v>
      </c>
      <c r="E372" s="92">
        <f>SUM('CA brut produits &amp; sites'!E398:E409)</f>
        <v>15848.250000000002</v>
      </c>
      <c r="F372" s="92">
        <f>SUM('CA brut produits &amp; sites'!F398:F409)</f>
        <v>50846.19</v>
      </c>
      <c r="G372" s="92">
        <f>SUM('CA brut produits &amp; sites'!G398:G409)</f>
        <v>9248.32</v>
      </c>
      <c r="H372" s="92">
        <f>SUM('CA brut produits &amp; sites'!H398:H409)</f>
        <v>3846.6200000000003</v>
      </c>
      <c r="I372" s="92">
        <f>SUM('CA brut produits &amp; sites'!I398:I409)</f>
        <v>6009.11</v>
      </c>
      <c r="J372" s="92">
        <f>SUM('CA brut produits &amp; sites'!J398:J409)</f>
        <v>49649.35</v>
      </c>
      <c r="K372" s="92">
        <f>SUM('CA brut produits &amp; sites'!K398:K409)</f>
        <v>49281.35</v>
      </c>
      <c r="L372" s="92">
        <f>SUM('CA brut produits &amp; sites'!L398:L409)</f>
        <v>13870.460000000001</v>
      </c>
      <c r="M372" s="92">
        <f>SUM('CA brut produits &amp; sites'!M398:M409)</f>
        <v>1576.9599999999998</v>
      </c>
      <c r="N372" s="92">
        <f>SUM('CA brut produits &amp; sites'!N398:N409)</f>
        <v>0</v>
      </c>
      <c r="O372" s="92">
        <f>SUM('CA brut produits &amp; sites'!O398:O409)</f>
        <v>1.75</v>
      </c>
      <c r="P372" s="93">
        <f>SUM('CA brut produits &amp; sites'!P398:P409)</f>
        <v>2953.83</v>
      </c>
    </row>
    <row r="373" spans="1:16" x14ac:dyDescent="0.3">
      <c r="A373" s="94">
        <v>44075</v>
      </c>
      <c r="B373" s="146"/>
      <c r="C373" s="92">
        <f t="shared" ref="C373" si="58">SUM(D373:P373)</f>
        <v>385281.9</v>
      </c>
      <c r="D373" s="92">
        <f>SUM('CA brut produits &amp; sites'!D399:D410)</f>
        <v>191927.56</v>
      </c>
      <c r="E373" s="92">
        <f>SUM('CA brut produits &amp; sites'!E399:E410)</f>
        <v>14603.300000000003</v>
      </c>
      <c r="F373" s="92">
        <f>SUM('CA brut produits &amp; sites'!F399:F410)</f>
        <v>46523.960000000006</v>
      </c>
      <c r="G373" s="92">
        <f>SUM('CA brut produits &amp; sites'!G399:G410)</f>
        <v>8568.73</v>
      </c>
      <c r="H373" s="92">
        <f>SUM('CA brut produits &amp; sites'!H399:H410)</f>
        <v>6185.1100000000006</v>
      </c>
      <c r="I373" s="92">
        <f>SUM('CA brut produits &amp; sites'!I399:I410)</f>
        <v>6107.5</v>
      </c>
      <c r="J373" s="92">
        <f>SUM('CA brut produits &amp; sites'!J399:J410)</f>
        <v>51949.22</v>
      </c>
      <c r="K373" s="92">
        <f>SUM('CA brut produits &amp; sites'!K399:K410)</f>
        <v>42011.27</v>
      </c>
      <c r="L373" s="92">
        <f>SUM('CA brut produits &amp; sites'!L399:L410)</f>
        <v>12603.71</v>
      </c>
      <c r="M373" s="92">
        <f>SUM('CA brut produits &amp; sites'!M399:M410)</f>
        <v>2056.2399999999998</v>
      </c>
      <c r="N373" s="92">
        <f>SUM('CA brut produits &amp; sites'!N399:N410)</f>
        <v>0</v>
      </c>
      <c r="O373" s="92">
        <f>SUM('CA brut produits &amp; sites'!O399:O410)</f>
        <v>1.75</v>
      </c>
      <c r="P373" s="93">
        <f>SUM('CA brut produits &amp; sites'!P399:P410)</f>
        <v>2743.55</v>
      </c>
    </row>
    <row r="374" spans="1:16" x14ac:dyDescent="0.3">
      <c r="A374" s="94">
        <v>44105</v>
      </c>
      <c r="B374" s="146"/>
      <c r="C374" s="92">
        <f t="shared" ref="C374" si="59">SUM(D374:P374)</f>
        <v>360297.7</v>
      </c>
      <c r="D374" s="92">
        <f>SUM('CA brut produits &amp; sites'!D400:D411)</f>
        <v>179542.19999999998</v>
      </c>
      <c r="E374" s="92">
        <f>SUM('CA brut produits &amp; sites'!E400:E411)</f>
        <v>13926.390000000003</v>
      </c>
      <c r="F374" s="92">
        <f>SUM('CA brut produits &amp; sites'!F400:F411)</f>
        <v>45306.67</v>
      </c>
      <c r="G374" s="92">
        <f>SUM('CA brut produits &amp; sites'!G400:G411)</f>
        <v>7954.2400000000007</v>
      </c>
      <c r="H374" s="92">
        <f>SUM('CA brut produits &amp; sites'!H400:H411)</f>
        <v>8320.16</v>
      </c>
      <c r="I374" s="92">
        <f>SUM('CA brut produits &amp; sites'!I400:I411)</f>
        <v>3154.21</v>
      </c>
      <c r="J374" s="92">
        <f>SUM('CA brut produits &amp; sites'!J400:J411)</f>
        <v>46020.799999999996</v>
      </c>
      <c r="K374" s="92">
        <f>SUM('CA brut produits &amp; sites'!K400:K411)</f>
        <v>40823.760000000009</v>
      </c>
      <c r="L374" s="92">
        <f>SUM('CA brut produits &amp; sites'!L400:L411)</f>
        <v>10525.59</v>
      </c>
      <c r="M374" s="92">
        <f>SUM('CA brut produits &amp; sites'!M400:M411)</f>
        <v>2253.08</v>
      </c>
      <c r="N374" s="92">
        <f>SUM('CA brut produits &amp; sites'!N400:N411)</f>
        <v>0</v>
      </c>
      <c r="O374" s="92">
        <f>SUM('CA brut produits &amp; sites'!O400:O411)</f>
        <v>0</v>
      </c>
      <c r="P374" s="93">
        <f>SUM('CA brut produits &amp; sites'!P400:P411)</f>
        <v>2470.6</v>
      </c>
    </row>
    <row r="375" spans="1:16" x14ac:dyDescent="0.3">
      <c r="A375" s="94">
        <v>44136</v>
      </c>
      <c r="B375" s="146"/>
      <c r="C375" s="92">
        <f t="shared" ref="C375:C376" si="60">SUM(D375:P375)</f>
        <v>348799.06</v>
      </c>
      <c r="D375" s="92">
        <f>SUM('CA brut produits &amp; sites'!D401:D412)</f>
        <v>175170.99</v>
      </c>
      <c r="E375" s="92">
        <f>SUM('CA brut produits &amp; sites'!E401:E412)</f>
        <v>12971.34</v>
      </c>
      <c r="F375" s="92">
        <f>SUM('CA brut produits &amp; sites'!F401:F412)</f>
        <v>45992.430000000008</v>
      </c>
      <c r="G375" s="92">
        <f>SUM('CA brut produits &amp; sites'!G401:G412)</f>
        <v>7081.9800000000005</v>
      </c>
      <c r="H375" s="92">
        <f>SUM('CA brut produits &amp; sites'!H401:H412)</f>
        <v>8524.51</v>
      </c>
      <c r="I375" s="92">
        <f>SUM('CA brut produits &amp; sites'!I401:I412)</f>
        <v>4327.3999999999996</v>
      </c>
      <c r="J375" s="92">
        <f>SUM('CA brut produits &amp; sites'!J401:J412)</f>
        <v>43441.5</v>
      </c>
      <c r="K375" s="92">
        <f>SUM('CA brut produits &amp; sites'!K401:K412)</f>
        <v>36775.729999999996</v>
      </c>
      <c r="L375" s="92">
        <f>SUM('CA brut produits &amp; sites'!L401:L412)</f>
        <v>9744.9500000000007</v>
      </c>
      <c r="M375" s="92">
        <f>SUM('CA brut produits &amp; sites'!M401:M412)</f>
        <v>2554.85</v>
      </c>
      <c r="N375" s="92">
        <f>SUM('CA brut produits &amp; sites'!N401:N412)</f>
        <v>0</v>
      </c>
      <c r="O375" s="92">
        <f>SUM('CA brut produits &amp; sites'!O401:O412)</f>
        <v>0</v>
      </c>
      <c r="P375" s="93">
        <f>SUM('CA brut produits &amp; sites'!P401:P412)</f>
        <v>2213.38</v>
      </c>
    </row>
    <row r="376" spans="1:16" x14ac:dyDescent="0.3">
      <c r="A376" s="94">
        <v>44166</v>
      </c>
      <c r="B376" s="146"/>
      <c r="C376" s="92">
        <f t="shared" si="60"/>
        <v>349024.23</v>
      </c>
      <c r="D376" s="92">
        <f>SUM('CA brut produits &amp; sites'!D402:D413)</f>
        <v>174500.12</v>
      </c>
      <c r="E376" s="92">
        <f>SUM('CA brut produits &amp; sites'!E402:E413)</f>
        <v>12389.6</v>
      </c>
      <c r="F376" s="92">
        <f>SUM('CA brut produits &amp; sites'!F402:F413)</f>
        <v>44490.36</v>
      </c>
      <c r="G376" s="92">
        <f>SUM('CA brut produits &amp; sites'!G402:G413)</f>
        <v>6847.43</v>
      </c>
      <c r="H376" s="92">
        <f>SUM('CA brut produits &amp; sites'!H402:H413)</f>
        <v>11380.029999999999</v>
      </c>
      <c r="I376" s="92">
        <f>SUM('CA brut produits &amp; sites'!I402:I413)</f>
        <v>4332.6399999999994</v>
      </c>
      <c r="J376" s="92">
        <f>SUM('CA brut produits &amp; sites'!J402:J413)</f>
        <v>42645.5</v>
      </c>
      <c r="K376" s="92">
        <f>SUM('CA brut produits &amp; sites'!K402:K413)</f>
        <v>37898.629999999997</v>
      </c>
      <c r="L376" s="92">
        <f>SUM('CA brut produits &amp; sites'!L402:L413)</f>
        <v>9857.7899999999991</v>
      </c>
      <c r="M376" s="92">
        <f>SUM('CA brut produits &amp; sites'!M402:M413)</f>
        <v>2548.2399999999998</v>
      </c>
      <c r="N376" s="92">
        <f>SUM('CA brut produits &amp; sites'!N402:N413)</f>
        <v>0</v>
      </c>
      <c r="O376" s="92">
        <f>SUM('CA brut produits &amp; sites'!O402:O413)</f>
        <v>0</v>
      </c>
      <c r="P376" s="93">
        <f>SUM('CA brut produits &amp; sites'!P402:P413)</f>
        <v>2133.89</v>
      </c>
    </row>
    <row r="377" spans="1:16" x14ac:dyDescent="0.3">
      <c r="A377" s="94">
        <v>44197</v>
      </c>
      <c r="B377" s="146"/>
      <c r="C377" s="92">
        <f t="shared" ref="C377" si="61">SUM(D377:P377)</f>
        <v>333416.14999999997</v>
      </c>
      <c r="D377" s="92">
        <f>SUM('CA brut produits &amp; sites'!D403:D414)</f>
        <v>171194.05</v>
      </c>
      <c r="E377" s="92">
        <f>SUM('CA brut produits &amp; sites'!E403:E414)</f>
        <v>11876.089999999998</v>
      </c>
      <c r="F377" s="92">
        <f>SUM('CA brut produits &amp; sites'!F403:F414)</f>
        <v>45132.229999999996</v>
      </c>
      <c r="G377" s="92">
        <f>SUM('CA brut produits &amp; sites'!G403:G414)</f>
        <v>6367.72</v>
      </c>
      <c r="H377" s="92">
        <f>SUM('CA brut produits &amp; sites'!H403:H414)</f>
        <v>11523.18</v>
      </c>
      <c r="I377" s="92">
        <f>SUM('CA brut produits &amp; sites'!I403:I414)</f>
        <v>4208.96</v>
      </c>
      <c r="J377" s="92">
        <f>SUM('CA brut produits &amp; sites'!J403:J414)</f>
        <v>38838</v>
      </c>
      <c r="K377" s="92">
        <f>SUM('CA brut produits &amp; sites'!K403:K414)</f>
        <v>31561.120000000003</v>
      </c>
      <c r="L377" s="92">
        <f>SUM('CA brut produits &amp; sites'!L403:L414)</f>
        <v>8410.8799999999992</v>
      </c>
      <c r="M377" s="92">
        <f>SUM('CA brut produits &amp; sites'!M403:M414)</f>
        <v>2134.0499999999997</v>
      </c>
      <c r="N377" s="92">
        <f>SUM('CA brut produits &amp; sites'!N403:N414)</f>
        <v>0</v>
      </c>
      <c r="O377" s="92">
        <f>SUM('CA brut produits &amp; sites'!O403:O414)</f>
        <v>0</v>
      </c>
      <c r="P377" s="93">
        <f>SUM('CA brut produits &amp; sites'!P403:P414)</f>
        <v>2169.87</v>
      </c>
    </row>
    <row r="378" spans="1:16" x14ac:dyDescent="0.3">
      <c r="A378" s="94">
        <v>44228</v>
      </c>
      <c r="B378" s="146"/>
      <c r="C378" s="92">
        <f t="shared" ref="C378" si="62">SUM(D378:P378)</f>
        <v>307546.06999999995</v>
      </c>
      <c r="D378" s="92">
        <f>SUM('CA brut produits &amp; sites'!D404:D415)</f>
        <v>166162.91999999998</v>
      </c>
      <c r="E378" s="92">
        <f>SUM('CA brut produits &amp; sites'!E404:E415)</f>
        <v>11334.45</v>
      </c>
      <c r="F378" s="92">
        <f>SUM('CA brut produits &amp; sites'!F404:F415)</f>
        <v>46002.99</v>
      </c>
      <c r="G378" s="92">
        <f>SUM('CA brut produits &amp; sites'!G404:G415)</f>
        <v>5868.05</v>
      </c>
      <c r="H378" s="92">
        <f>SUM('CA brut produits &amp; sites'!H404:H415)</f>
        <v>11315.109999999999</v>
      </c>
      <c r="I378" s="92">
        <f>SUM('CA brut produits &amp; sites'!I404:I415)</f>
        <v>4684.24</v>
      </c>
      <c r="J378" s="92">
        <f>SUM('CA brut produits &amp; sites'!J404:J415)</f>
        <v>21409.64</v>
      </c>
      <c r="K378" s="92">
        <f>SUM('CA brut produits &amp; sites'!K404:K415)</f>
        <v>29923.760000000002</v>
      </c>
      <c r="L378" s="92">
        <f>SUM('CA brut produits &amp; sites'!L404:L415)</f>
        <v>6644.73</v>
      </c>
      <c r="M378" s="92">
        <f>SUM('CA brut produits &amp; sites'!M404:M415)</f>
        <v>2117.2999999999997</v>
      </c>
      <c r="N378" s="92">
        <f>SUM('CA brut produits &amp; sites'!N404:N415)</f>
        <v>0</v>
      </c>
      <c r="O378" s="92">
        <f>SUM('CA brut produits &amp; sites'!O404:O415)</f>
        <v>0</v>
      </c>
      <c r="P378" s="93">
        <f>SUM('CA brut produits &amp; sites'!P404:P415)</f>
        <v>2082.88</v>
      </c>
    </row>
    <row r="379" spans="1:16" x14ac:dyDescent="0.3">
      <c r="A379" s="94">
        <v>44256</v>
      </c>
      <c r="B379" s="146"/>
      <c r="C379" s="92">
        <f t="shared" ref="C379" si="63">SUM(D379:P379)</f>
        <v>304700.37</v>
      </c>
      <c r="D379" s="92">
        <f>SUM('CA brut produits &amp; sites'!D405:D416)</f>
        <v>152231.67000000001</v>
      </c>
      <c r="E379" s="92">
        <f>SUM('CA brut produits &amp; sites'!E405:E416)</f>
        <v>12376.880000000001</v>
      </c>
      <c r="F379" s="92">
        <f>SUM('CA brut produits &amp; sites'!F405:F416)</f>
        <v>50310.68</v>
      </c>
      <c r="G379" s="92">
        <f>SUM('CA brut produits &amp; sites'!G405:G416)</f>
        <v>7012.32</v>
      </c>
      <c r="H379" s="92">
        <f>SUM('CA brut produits &amp; sites'!H405:H416)</f>
        <v>11185.189999999999</v>
      </c>
      <c r="I379" s="92">
        <f>SUM('CA brut produits &amp; sites'!I405:I416)</f>
        <v>6864.88</v>
      </c>
      <c r="J379" s="92">
        <f>SUM('CA brut produits &amp; sites'!J405:J416)</f>
        <v>21554.14</v>
      </c>
      <c r="K379" s="92">
        <f>SUM('CA brut produits &amp; sites'!K405:K416)</f>
        <v>32269.51</v>
      </c>
      <c r="L379" s="92">
        <f>SUM('CA brut produits &amp; sites'!L405:L416)</f>
        <v>7063.61</v>
      </c>
      <c r="M379" s="92">
        <f>SUM('CA brut produits &amp; sites'!M405:M416)</f>
        <v>1763.2999999999997</v>
      </c>
      <c r="N379" s="92">
        <f>SUM('CA brut produits &amp; sites'!N405:N416)</f>
        <v>45</v>
      </c>
      <c r="O379" s="92">
        <f>SUM('CA brut produits &amp; sites'!O405:O416)</f>
        <v>0</v>
      </c>
      <c r="P379" s="93">
        <f>SUM('CA brut produits &amp; sites'!P405:P416)</f>
        <v>2023.19</v>
      </c>
    </row>
    <row r="380" spans="1:16" x14ac:dyDescent="0.3">
      <c r="A380" s="94">
        <v>44287</v>
      </c>
      <c r="B380" s="146"/>
      <c r="C380" s="92">
        <f t="shared" ref="C380" si="64">SUM(D380:P380)</f>
        <v>306324.49</v>
      </c>
      <c r="D380" s="92">
        <f>SUM('CA brut produits &amp; sites'!D406:D417)</f>
        <v>144028.14000000001</v>
      </c>
      <c r="E380" s="92">
        <f>SUM('CA brut produits &amp; sites'!E406:E417)</f>
        <v>13433.26</v>
      </c>
      <c r="F380" s="92">
        <f>SUM('CA brut produits &amp; sites'!F406:F417)</f>
        <v>53230.74</v>
      </c>
      <c r="G380" s="92">
        <f>SUM('CA brut produits &amp; sites'!G406:G417)</f>
        <v>7803.49</v>
      </c>
      <c r="H380" s="92">
        <f>SUM('CA brut produits &amp; sites'!H406:H417)</f>
        <v>13368.659999999998</v>
      </c>
      <c r="I380" s="92">
        <f>SUM('CA brut produits &amp; sites'!I406:I417)</f>
        <v>6945.68</v>
      </c>
      <c r="J380" s="92">
        <f>SUM('CA brut produits &amp; sites'!J406:J417)</f>
        <v>22409.19</v>
      </c>
      <c r="K380" s="92">
        <f>SUM('CA brut produits &amp; sites'!K406:K417)</f>
        <v>33227.07</v>
      </c>
      <c r="L380" s="92">
        <f>SUM('CA brut produits &amp; sites'!L406:L417)</f>
        <v>7768.53</v>
      </c>
      <c r="M380" s="92">
        <f>SUM('CA brut produits &amp; sites'!M406:M417)</f>
        <v>1686.5499999999997</v>
      </c>
      <c r="N380" s="92">
        <f>SUM('CA brut produits &amp; sites'!N406:N417)</f>
        <v>45</v>
      </c>
      <c r="O380" s="92">
        <f>SUM('CA brut produits &amp; sites'!O406:O417)</f>
        <v>0</v>
      </c>
      <c r="P380" s="93">
        <f>SUM('CA brut produits &amp; sites'!P406:P417)</f>
        <v>2378.1800000000003</v>
      </c>
    </row>
    <row r="381" spans="1:16" x14ac:dyDescent="0.3">
      <c r="A381" s="94">
        <v>44317</v>
      </c>
      <c r="B381" s="146"/>
      <c r="C381" s="92">
        <f t="shared" ref="C381" si="65">SUM(D381:P381)</f>
        <v>282828.51</v>
      </c>
      <c r="D381" s="92">
        <f>SUM('CA brut produits &amp; sites'!D407:D418)</f>
        <v>114730.6</v>
      </c>
      <c r="E381" s="92">
        <f>SUM('CA brut produits &amp; sites'!E407:E418)</f>
        <v>15909.01</v>
      </c>
      <c r="F381" s="92">
        <f>SUM('CA brut produits &amp; sites'!F407:F418)</f>
        <v>54121.45</v>
      </c>
      <c r="G381" s="92">
        <f>SUM('CA brut produits &amp; sites'!G407:G418)</f>
        <v>8386.9600000000009</v>
      </c>
      <c r="H381" s="92">
        <f>SUM('CA brut produits &amp; sites'!H407:H418)</f>
        <v>14059.089999999998</v>
      </c>
      <c r="I381" s="92">
        <f>SUM('CA brut produits &amp; sites'!I407:I418)</f>
        <v>7301.5300000000007</v>
      </c>
      <c r="J381" s="92">
        <f>SUM('CA brut produits &amp; sites'!J407:J418)</f>
        <v>20911.189999999999</v>
      </c>
      <c r="K381" s="92">
        <f>SUM('CA brut produits &amp; sites'!K407:K418)</f>
        <v>34303.53</v>
      </c>
      <c r="L381" s="92">
        <f>SUM('CA brut produits &amp; sites'!L407:L418)</f>
        <v>8469.59</v>
      </c>
      <c r="M381" s="92">
        <f>SUM('CA brut produits &amp; sites'!M407:M418)</f>
        <v>1728.2199999999998</v>
      </c>
      <c r="N381" s="92">
        <f>SUM('CA brut produits &amp; sites'!N407:N418)</f>
        <v>45</v>
      </c>
      <c r="O381" s="92">
        <f>SUM('CA brut produits &amp; sites'!O407:O418)</f>
        <v>0</v>
      </c>
      <c r="P381" s="93">
        <f>SUM('CA brut produits &amp; sites'!P407:P418)</f>
        <v>2862.34</v>
      </c>
    </row>
    <row r="382" spans="1:16" x14ac:dyDescent="0.3">
      <c r="A382" s="94">
        <v>44348</v>
      </c>
      <c r="B382" s="146"/>
      <c r="C382" s="92">
        <f t="shared" ref="C382" si="66">SUM(D382:P382)</f>
        <v>279876.93</v>
      </c>
      <c r="D382" s="92">
        <f>SUM('CA brut produits &amp; sites'!D408:D419)</f>
        <v>99370.57</v>
      </c>
      <c r="E382" s="92">
        <f>SUM('CA brut produits &amp; sites'!E408:E419)</f>
        <v>16847.27</v>
      </c>
      <c r="F382" s="92">
        <f>SUM('CA brut produits &amp; sites'!F408:F419)</f>
        <v>58066.009999999995</v>
      </c>
      <c r="G382" s="92">
        <f>SUM('CA brut produits &amp; sites'!G408:G419)</f>
        <v>9292.4100000000017</v>
      </c>
      <c r="H382" s="92">
        <f>SUM('CA brut produits &amp; sites'!H408:H419)</f>
        <v>15016.309999999998</v>
      </c>
      <c r="I382" s="92">
        <f>SUM('CA brut produits &amp; sites'!I408:I419)</f>
        <v>12587.77</v>
      </c>
      <c r="J382" s="92">
        <f>SUM('CA brut produits &amp; sites'!J408:J419)</f>
        <v>18370.189999999999</v>
      </c>
      <c r="K382" s="92">
        <f>SUM('CA brut produits &amp; sites'!K408:K419)</f>
        <v>36255.35</v>
      </c>
      <c r="L382" s="92">
        <f>SUM('CA brut produits &amp; sites'!L408:L419)</f>
        <v>9204.23</v>
      </c>
      <c r="M382" s="92">
        <f>SUM('CA brut produits &amp; sites'!M408:M419)</f>
        <v>1746.1399999999999</v>
      </c>
      <c r="N382" s="92">
        <f>SUM('CA brut produits &amp; sites'!N408:N419)</f>
        <v>45</v>
      </c>
      <c r="O382" s="92">
        <f>SUM('CA brut produits &amp; sites'!O408:O419)</f>
        <v>0</v>
      </c>
      <c r="P382" s="93">
        <f>SUM('CA brut produits &amp; sites'!P408:P419)</f>
        <v>3075.6800000000003</v>
      </c>
    </row>
    <row r="383" spans="1:16" x14ac:dyDescent="0.3">
      <c r="A383" s="94">
        <v>44378</v>
      </c>
      <c r="B383" s="146"/>
      <c r="C383" s="92">
        <f t="shared" ref="C383" si="67">SUM(D383:P383)</f>
        <v>287468.52</v>
      </c>
      <c r="D383" s="92">
        <f>SUM('CA brut produits &amp; sites'!D409:D420)</f>
        <v>98536.530000000013</v>
      </c>
      <c r="E383" s="92">
        <f>SUM('CA brut produits &amp; sites'!E409:E420)</f>
        <v>17717.560000000001</v>
      </c>
      <c r="F383" s="92">
        <f>SUM('CA brut produits &amp; sites'!F409:F420)</f>
        <v>63139.869999999995</v>
      </c>
      <c r="G383" s="92">
        <f>SUM('CA brut produits &amp; sites'!G409:G420)</f>
        <v>10150.160000000002</v>
      </c>
      <c r="H383" s="92">
        <f>SUM('CA brut produits &amp; sites'!H409:H420)</f>
        <v>15348.569999999998</v>
      </c>
      <c r="I383" s="92">
        <f>SUM('CA brut produits &amp; sites'!I409:I420)</f>
        <v>14040.77</v>
      </c>
      <c r="J383" s="92">
        <f>SUM('CA brut produits &amp; sites'!J409:J420)</f>
        <v>14566.95</v>
      </c>
      <c r="K383" s="92">
        <f>SUM('CA brut produits &amp; sites'!K409:K420)</f>
        <v>38722.920000000006</v>
      </c>
      <c r="L383" s="92">
        <f>SUM('CA brut produits &amp; sites'!L409:L420)</f>
        <v>10147</v>
      </c>
      <c r="M383" s="92">
        <f>SUM('CA brut produits &amp; sites'!M409:M420)</f>
        <v>1750.85</v>
      </c>
      <c r="N383" s="92">
        <f>SUM('CA brut produits &amp; sites'!N409:N420)</f>
        <v>45</v>
      </c>
      <c r="O383" s="92">
        <f>SUM('CA brut produits &amp; sites'!O409:O420)</f>
        <v>0</v>
      </c>
      <c r="P383" s="93">
        <f>SUM('CA brut produits &amp; sites'!P409:P420)</f>
        <v>3302.34</v>
      </c>
    </row>
    <row r="384" spans="1:16" x14ac:dyDescent="0.3">
      <c r="A384" s="94">
        <v>44409</v>
      </c>
      <c r="B384" s="146"/>
      <c r="C384" s="92">
        <f t="shared" ref="C384:C394" si="68">SUM(D384:P384)</f>
        <v>292342.32999999996</v>
      </c>
      <c r="D384" s="92">
        <f>SUM('CA brut produits &amp; sites'!D410:D421)</f>
        <v>92404.51999999999</v>
      </c>
      <c r="E384" s="92">
        <f>SUM('CA brut produits &amp; sites'!E410:E421)</f>
        <v>20262.690000000002</v>
      </c>
      <c r="F384" s="92">
        <f>SUM('CA brut produits &amp; sites'!F410:F421)</f>
        <v>66061.06</v>
      </c>
      <c r="G384" s="92">
        <f>SUM('CA brut produits &amp; sites'!G410:G421)</f>
        <v>10570.900000000001</v>
      </c>
      <c r="H384" s="92">
        <f>SUM('CA brut produits &amp; sites'!H410:H421)</f>
        <v>15680.949999999997</v>
      </c>
      <c r="I384" s="92">
        <f>SUM('CA brut produits &amp; sites'!I410:I421)</f>
        <v>14757.01</v>
      </c>
      <c r="J384" s="92">
        <f>SUM('CA brut produits &amp; sites'!J410:J421)</f>
        <v>14566.95</v>
      </c>
      <c r="K384" s="92">
        <f>SUM('CA brut produits &amp; sites'!K410:K421)</f>
        <v>42324.79</v>
      </c>
      <c r="L384" s="92">
        <f>SUM('CA brut produits &amp; sites'!L410:L421)</f>
        <v>10540.61</v>
      </c>
      <c r="M384" s="92">
        <f>SUM('CA brut produits &amp; sites'!M410:M421)</f>
        <v>1718.85</v>
      </c>
      <c r="N384" s="92">
        <f>SUM('CA brut produits &amp; sites'!N410:N421)</f>
        <v>45</v>
      </c>
      <c r="O384" s="92">
        <f>SUM('CA brut produits &amp; sites'!O410:O421)</f>
        <v>0</v>
      </c>
      <c r="P384" s="93">
        <f>SUM('CA brut produits &amp; sites'!P410:P421)</f>
        <v>3409</v>
      </c>
    </row>
    <row r="385" spans="1:16" x14ac:dyDescent="0.3">
      <c r="A385" s="94">
        <v>44440</v>
      </c>
      <c r="B385" s="146"/>
      <c r="C385" s="92">
        <f t="shared" si="68"/>
        <v>300820.24</v>
      </c>
      <c r="D385" s="92">
        <f>SUM('CA brut produits &amp; sites'!D411:D422)</f>
        <v>94672.67</v>
      </c>
      <c r="E385" s="92">
        <f>SUM('CA brut produits &amp; sites'!E411:E422)</f>
        <v>20026.59</v>
      </c>
      <c r="F385" s="92">
        <f>SUM('CA brut produits &amp; sites'!F411:F422)</f>
        <v>68778.820000000007</v>
      </c>
      <c r="G385" s="92">
        <f>SUM('CA brut produits &amp; sites'!G411:G422)</f>
        <v>10657.480000000003</v>
      </c>
      <c r="H385" s="92">
        <f>SUM('CA brut produits &amp; sites'!H411:H422)</f>
        <v>13298.4</v>
      </c>
      <c r="I385" s="92">
        <f>SUM('CA brut produits &amp; sites'!I411:I422)</f>
        <v>17582.84</v>
      </c>
      <c r="J385" s="92">
        <f>SUM('CA brut produits &amp; sites'!J411:J422)</f>
        <v>15049.95</v>
      </c>
      <c r="K385" s="92">
        <f>SUM('CA brut produits &amp; sites'!K411:K422)</f>
        <v>40519.96</v>
      </c>
      <c r="L385" s="92">
        <f>SUM('CA brut produits &amp; sites'!L411:L422)</f>
        <v>13023.77</v>
      </c>
      <c r="M385" s="92">
        <f>SUM('CA brut produits &amp; sites'!M411:M422)</f>
        <v>3757.8499999999995</v>
      </c>
      <c r="N385" s="92">
        <f>SUM('CA brut produits &amp; sites'!N411:N422)</f>
        <v>45</v>
      </c>
      <c r="O385" s="92">
        <f>SUM('CA brut produits &amp; sites'!O411:O422)</f>
        <v>0</v>
      </c>
      <c r="P385" s="93">
        <f>SUM('CA brut produits &amp; sites'!P411:P422)</f>
        <v>3406.91</v>
      </c>
    </row>
    <row r="386" spans="1:16" x14ac:dyDescent="0.3">
      <c r="A386" s="94">
        <v>44470</v>
      </c>
      <c r="B386" s="146"/>
      <c r="C386" s="92">
        <f t="shared" si="68"/>
        <v>290585.02000000008</v>
      </c>
      <c r="D386" s="92">
        <f>SUM('CA brut produits &amp; sites'!D412:D423)</f>
        <v>92038.67</v>
      </c>
      <c r="E386" s="92">
        <f>SUM('CA brut produits &amp; sites'!E412:E423)</f>
        <v>18875.72</v>
      </c>
      <c r="F386" s="92">
        <f>SUM('CA brut produits &amp; sites'!F412:F423)</f>
        <v>66247.62000000001</v>
      </c>
      <c r="G386" s="92">
        <f>SUM('CA brut produits &amp; sites'!G412:G423)</f>
        <v>10925.230000000003</v>
      </c>
      <c r="H386" s="92">
        <f>SUM('CA brut produits &amp; sites'!H412:H423)</f>
        <v>11861.030000000002</v>
      </c>
      <c r="I386" s="92">
        <f>SUM('CA brut produits &amp; sites'!I412:I423)</f>
        <v>17635.680000000004</v>
      </c>
      <c r="J386" s="92">
        <f>SUM('CA brut produits &amp; sites'!J412:J423)</f>
        <v>11745.35</v>
      </c>
      <c r="K386" s="92">
        <f>SUM('CA brut produits &amp; sites'!K412:K423)</f>
        <v>38688.790000000008</v>
      </c>
      <c r="L386" s="92">
        <f>SUM('CA brut produits &amp; sites'!L412:L423)</f>
        <v>14482.220000000001</v>
      </c>
      <c r="M386" s="92">
        <f>SUM('CA brut produits &amp; sites'!M412:M423)</f>
        <v>4542.8099999999995</v>
      </c>
      <c r="N386" s="92">
        <f>SUM('CA brut produits &amp; sites'!N412:N423)</f>
        <v>45</v>
      </c>
      <c r="O386" s="92">
        <f>SUM('CA brut produits &amp; sites'!O412:O423)</f>
        <v>0</v>
      </c>
      <c r="P386" s="93">
        <f>SUM('CA brut produits &amp; sites'!P412:P423)</f>
        <v>3496.8999999999996</v>
      </c>
    </row>
    <row r="387" spans="1:16" x14ac:dyDescent="0.3">
      <c r="A387" s="94">
        <v>44501</v>
      </c>
      <c r="B387" s="146"/>
      <c r="C387" s="92">
        <f t="shared" si="68"/>
        <v>295887.75</v>
      </c>
      <c r="D387" s="92">
        <f>SUM('CA brut produits &amp; sites'!D413:D424)</f>
        <v>95584.150000000009</v>
      </c>
      <c r="E387" s="92">
        <f>SUM('CA brut produits &amp; sites'!E413:E424)</f>
        <v>18779.449999999997</v>
      </c>
      <c r="F387" s="92">
        <f>SUM('CA brut produits &amp; sites'!F413:F424)</f>
        <v>64963.69</v>
      </c>
      <c r="G387" s="92">
        <f>SUM('CA brut produits &amp; sites'!G413:G424)</f>
        <v>11157.080000000002</v>
      </c>
      <c r="H387" s="92">
        <f>SUM('CA brut produits &amp; sites'!H413:H424)</f>
        <v>13044.330000000002</v>
      </c>
      <c r="I387" s="92">
        <f>SUM('CA brut produits &amp; sites'!I413:I424)</f>
        <v>17159.21</v>
      </c>
      <c r="J387" s="92">
        <f>SUM('CA brut produits &amp; sites'!J413:J424)</f>
        <v>13038.85</v>
      </c>
      <c r="K387" s="92">
        <f>SUM('CA brut produits &amp; sites'!K413:K424)</f>
        <v>39485.130000000005</v>
      </c>
      <c r="L387" s="92">
        <f>SUM('CA brut produits &amp; sites'!L413:L424)</f>
        <v>14438.94</v>
      </c>
      <c r="M387" s="92">
        <f>SUM('CA brut produits &amp; sites'!M413:M424)</f>
        <v>4506.6899999999987</v>
      </c>
      <c r="N387" s="92">
        <f>SUM('CA brut produits &amp; sites'!N413:N424)</f>
        <v>45</v>
      </c>
      <c r="O387" s="92">
        <f>SUM('CA brut produits &amp; sites'!O413:O424)</f>
        <v>0</v>
      </c>
      <c r="P387" s="93">
        <f>SUM('CA brut produits &amp; sites'!P413:P424)</f>
        <v>3685.2299999999996</v>
      </c>
    </row>
    <row r="388" spans="1:16" x14ac:dyDescent="0.3">
      <c r="A388" s="94">
        <v>44531</v>
      </c>
      <c r="B388" s="146"/>
      <c r="C388" s="92">
        <f t="shared" si="68"/>
        <v>319798.77999999997</v>
      </c>
      <c r="D388" s="92">
        <f>SUM('CA brut produits &amp; sites'!D414:D425)</f>
        <v>102726.85999999999</v>
      </c>
      <c r="E388" s="92">
        <f>SUM('CA brut produits &amp; sites'!E414:E425)</f>
        <v>18950.29</v>
      </c>
      <c r="F388" s="92">
        <f>SUM('CA brut produits &amp; sites'!F414:F425)</f>
        <v>69555.460000000006</v>
      </c>
      <c r="G388" s="92">
        <f>SUM('CA brut produits &amp; sites'!G414:G425)</f>
        <v>11182.450000000003</v>
      </c>
      <c r="H388" s="92">
        <f>SUM('CA brut produits &amp; sites'!H414:H425)</f>
        <v>10697.26</v>
      </c>
      <c r="I388" s="92">
        <f>SUM('CA brut produits &amp; sites'!I414:I425)</f>
        <v>22482.899999999998</v>
      </c>
      <c r="J388" s="92">
        <f>SUM('CA brut produits &amp; sites'!J414:J425)</f>
        <v>13738.85</v>
      </c>
      <c r="K388" s="92">
        <f>SUM('CA brut produits &amp; sites'!K414:K425)</f>
        <v>45064.19</v>
      </c>
      <c r="L388" s="92">
        <f>SUM('CA brut produits &amp; sites'!L414:L425)</f>
        <v>14909.95</v>
      </c>
      <c r="M388" s="92">
        <f>SUM('CA brut produits &amp; sites'!M414:M425)</f>
        <v>5270.3499999999995</v>
      </c>
      <c r="N388" s="92">
        <f>SUM('CA brut produits &amp; sites'!N414:N425)</f>
        <v>45</v>
      </c>
      <c r="O388" s="92">
        <f>SUM('CA brut produits &amp; sites'!O414:O425)</f>
        <v>0</v>
      </c>
      <c r="P388" s="93">
        <f>SUM('CA brut produits &amp; sites'!P414:P425)</f>
        <v>5175.2199999999993</v>
      </c>
    </row>
    <row r="389" spans="1:16" x14ac:dyDescent="0.3">
      <c r="A389" s="94">
        <v>44562</v>
      </c>
      <c r="B389" s="143"/>
      <c r="C389" s="92">
        <f t="shared" si="68"/>
        <v>319336.61000000004</v>
      </c>
      <c r="D389" s="92">
        <f>SUM('CA brut produits &amp; sites'!D415:D426)</f>
        <v>103029.4</v>
      </c>
      <c r="E389" s="92">
        <f>SUM('CA brut produits &amp; sites'!E415:E426)</f>
        <v>18845.260000000002</v>
      </c>
      <c r="F389" s="92">
        <f>SUM('CA brut produits &amp; sites'!F415:F426)</f>
        <v>68537.150000000009</v>
      </c>
      <c r="G389" s="92">
        <f>SUM('CA brut produits &amp; sites'!G415:G426)</f>
        <v>11652.600000000002</v>
      </c>
      <c r="H389" s="92">
        <f>SUM('CA brut produits &amp; sites'!H415:H426)</f>
        <v>10437.400000000001</v>
      </c>
      <c r="I389" s="92">
        <f>SUM('CA brut produits &amp; sites'!I415:I426)</f>
        <v>22084.869999999995</v>
      </c>
      <c r="J389" s="92">
        <f>SUM('CA brut produits &amp; sites'!J415:J426)</f>
        <v>12989.85</v>
      </c>
      <c r="K389" s="92">
        <f>SUM('CA brut produits &amp; sites'!K415:K426)</f>
        <v>44493.83</v>
      </c>
      <c r="L389" s="92">
        <f>SUM('CA brut produits &amp; sites'!L415:L426)</f>
        <v>16113.83</v>
      </c>
      <c r="M389" s="92">
        <f>SUM('CA brut produits &amp; sites'!M415:M426)</f>
        <v>6590.34</v>
      </c>
      <c r="N389" s="92">
        <f>SUM('CA brut produits &amp; sites'!N415:N426)</f>
        <v>45</v>
      </c>
      <c r="O389" s="92">
        <f>SUM('CA brut produits &amp; sites'!O415:O426)</f>
        <v>0</v>
      </c>
      <c r="P389" s="93">
        <f>SUM('CA brut produits &amp; sites'!P415:P426)</f>
        <v>4517.079999999999</v>
      </c>
    </row>
    <row r="390" spans="1:16" x14ac:dyDescent="0.3">
      <c r="A390" s="94">
        <v>44593</v>
      </c>
      <c r="B390" s="143"/>
      <c r="C390" s="92">
        <f t="shared" si="68"/>
        <v>320498.07</v>
      </c>
      <c r="D390" s="92">
        <f>SUM('CA brut produits &amp; sites'!D416:D427)</f>
        <v>102442.41000000002</v>
      </c>
      <c r="E390" s="92">
        <f>SUM('CA brut produits &amp; sites'!E416:E427)</f>
        <v>18603.150000000001</v>
      </c>
      <c r="F390" s="92">
        <f>SUM('CA brut produits &amp; sites'!F416:F427)</f>
        <v>67940.950000000012</v>
      </c>
      <c r="G390" s="92">
        <f>SUM('CA brut produits &amp; sites'!G416:G427)</f>
        <v>12021.05</v>
      </c>
      <c r="H390" s="92">
        <f>SUM('CA brut produits &amp; sites'!H416:H427)</f>
        <v>11066.460000000003</v>
      </c>
      <c r="I390" s="92">
        <f>SUM('CA brut produits &amp; sites'!I416:I427)</f>
        <v>22010.579999999998</v>
      </c>
      <c r="J390" s="92">
        <f>SUM('CA brut produits &amp; sites'!J416:J427)</f>
        <v>12268.85</v>
      </c>
      <c r="K390" s="92">
        <f>SUM('CA brut produits &amp; sites'!K416:K427)</f>
        <v>43993.71</v>
      </c>
      <c r="L390" s="92">
        <f>SUM('CA brut produits &amp; sites'!L416:L427)</f>
        <v>18004.350000000002</v>
      </c>
      <c r="M390" s="92">
        <f>SUM('CA brut produits &amp; sites'!M416:M427)</f>
        <v>7887.06</v>
      </c>
      <c r="N390" s="92">
        <f>SUM('CA brut produits &amp; sites'!N416:N427)</f>
        <v>45</v>
      </c>
      <c r="O390" s="92">
        <f>SUM('CA brut produits &amp; sites'!O416:O427)</f>
        <v>0</v>
      </c>
      <c r="P390" s="93">
        <f>SUM('CA brut produits &amp; sites'!P416:P427)</f>
        <v>4214.5</v>
      </c>
    </row>
    <row r="391" spans="1:16" x14ac:dyDescent="0.3">
      <c r="A391" s="94">
        <v>44621</v>
      </c>
      <c r="B391" s="143"/>
      <c r="C391" s="92">
        <f t="shared" si="68"/>
        <v>344207.13</v>
      </c>
      <c r="D391" s="92">
        <f>SUM('CA brut produits &amp; sites'!D417:D428)</f>
        <v>103435.63</v>
      </c>
      <c r="E391" s="92">
        <f>SUM('CA brut produits &amp; sites'!E417:E428)</f>
        <v>20512.54</v>
      </c>
      <c r="F391" s="92">
        <f>SUM('CA brut produits &amp; sites'!F417:F428)</f>
        <v>70749.440000000002</v>
      </c>
      <c r="G391" s="92">
        <f>SUM('CA brut produits &amp; sites'!G417:G428)</f>
        <v>12067.89</v>
      </c>
      <c r="H391" s="92">
        <f>SUM('CA brut produits &amp; sites'!H417:H428)</f>
        <v>11322.530000000002</v>
      </c>
      <c r="I391" s="92">
        <f>SUM('CA brut produits &amp; sites'!I417:I428)</f>
        <v>35186.92</v>
      </c>
      <c r="J391" s="92">
        <f>SUM('CA brut produits &amp; sites'!J417:J428)</f>
        <v>9189.85</v>
      </c>
      <c r="K391" s="92">
        <f>SUM('CA brut produits &amp; sites'!K417:K428)</f>
        <v>45478.929999999993</v>
      </c>
      <c r="L391" s="92">
        <f>SUM('CA brut produits &amp; sites'!L417:L428)</f>
        <v>22949.75</v>
      </c>
      <c r="M391" s="92">
        <f>SUM('CA brut produits &amp; sites'!M417:M428)</f>
        <v>9229.4600000000009</v>
      </c>
      <c r="N391" s="92">
        <f>SUM('CA brut produits &amp; sites'!N417:N428)</f>
        <v>0</v>
      </c>
      <c r="O391" s="92">
        <f>SUM('CA brut produits &amp; sites'!O417:O428)</f>
        <v>0</v>
      </c>
      <c r="P391" s="93">
        <f>SUM('CA brut produits &amp; sites'!P417:P428)</f>
        <v>4084.1900000000005</v>
      </c>
    </row>
    <row r="392" spans="1:16" x14ac:dyDescent="0.3">
      <c r="A392" s="94">
        <v>44652</v>
      </c>
      <c r="B392" s="143"/>
      <c r="C392" s="92">
        <f t="shared" si="68"/>
        <v>366180.19</v>
      </c>
      <c r="D392" s="92">
        <f>SUM('CA brut produits &amp; sites'!D418:D429)</f>
        <v>106774.15</v>
      </c>
      <c r="E392" s="92">
        <f>SUM('CA brut produits &amp; sites'!E418:E429)</f>
        <v>21179.13</v>
      </c>
      <c r="F392" s="92">
        <f>SUM('CA brut produits &amp; sites'!F418:F429)</f>
        <v>76886.700000000012</v>
      </c>
      <c r="G392" s="92">
        <f>SUM('CA brut produits &amp; sites'!G418:G429)</f>
        <v>12309.19</v>
      </c>
      <c r="H392" s="92">
        <f>SUM('CA brut produits &amp; sites'!H418:H429)</f>
        <v>10480.92</v>
      </c>
      <c r="I392" s="92">
        <f>SUM('CA brut produits &amp; sites'!I418:I429)</f>
        <v>45478.52</v>
      </c>
      <c r="J392" s="92">
        <f>SUM('CA brut produits &amp; sites'!J418:J429)</f>
        <v>7158</v>
      </c>
      <c r="K392" s="92">
        <f>SUM('CA brut produits &amp; sites'!K418:K429)</f>
        <v>46920.45</v>
      </c>
      <c r="L392" s="92">
        <f>SUM('CA brut produits &amp; sites'!L418:L429)</f>
        <v>24515.969999999998</v>
      </c>
      <c r="M392" s="92">
        <f>SUM('CA brut produits &amp; sites'!M418:M429)</f>
        <v>10481.060000000001</v>
      </c>
      <c r="N392" s="92">
        <f>SUM('CA brut produits &amp; sites'!N418:N429)</f>
        <v>0</v>
      </c>
      <c r="O392" s="92">
        <f>SUM('CA brut produits &amp; sites'!O418:O429)</f>
        <v>0</v>
      </c>
      <c r="P392" s="93">
        <f>SUM('CA brut produits &amp; sites'!P418:P429)</f>
        <v>3996.1</v>
      </c>
    </row>
    <row r="393" spans="1:16" x14ac:dyDescent="0.3">
      <c r="A393" s="94">
        <v>44682</v>
      </c>
      <c r="B393" s="143"/>
      <c r="C393" s="92">
        <f t="shared" si="68"/>
        <v>373050.81999999989</v>
      </c>
      <c r="D393" s="92">
        <f>SUM('CA brut produits &amp; sites'!D419:D430)</f>
        <v>107678.43000000001</v>
      </c>
      <c r="E393" s="92">
        <f>SUM('CA brut produits &amp; sites'!E419:E430)</f>
        <v>20216.260000000002</v>
      </c>
      <c r="F393" s="92">
        <f>SUM('CA brut produits &amp; sites'!F419:F430)</f>
        <v>82282.100000000006</v>
      </c>
      <c r="G393" s="92">
        <f>SUM('CA brut produits &amp; sites'!G419:G430)</f>
        <v>12442.8</v>
      </c>
      <c r="H393" s="92">
        <f>SUM('CA brut produits &amp; sites'!H419:H430)</f>
        <v>9003.1200000000008</v>
      </c>
      <c r="I393" s="92">
        <f>SUM('CA brut produits &amp; sites'!I419:I430)</f>
        <v>45443.869999999995</v>
      </c>
      <c r="J393" s="92">
        <f>SUM('CA brut produits &amp; sites'!J419:J430)</f>
        <v>7126</v>
      </c>
      <c r="K393" s="92">
        <f>SUM('CA brut produits &amp; sites'!K419:K430)</f>
        <v>46512.22</v>
      </c>
      <c r="L393" s="92">
        <f>SUM('CA brut produits &amp; sites'!L419:L430)</f>
        <v>26733.67</v>
      </c>
      <c r="M393" s="92">
        <f>SUM('CA brut produits &amp; sites'!M419:M430)</f>
        <v>12273.160000000002</v>
      </c>
      <c r="N393" s="92">
        <f>SUM('CA brut produits &amp; sites'!N419:N430)</f>
        <v>0</v>
      </c>
      <c r="O393" s="92">
        <f>SUM('CA brut produits &amp; sites'!O419:O430)</f>
        <v>0</v>
      </c>
      <c r="P393" s="93">
        <f>SUM('CA brut produits &amp; sites'!P419:P430)</f>
        <v>3339.19</v>
      </c>
    </row>
    <row r="394" spans="1:16" x14ac:dyDescent="0.3">
      <c r="A394" s="94">
        <v>44713</v>
      </c>
      <c r="B394" s="143"/>
      <c r="C394" s="92">
        <f t="shared" si="68"/>
        <v>384792.76</v>
      </c>
      <c r="D394" s="92">
        <f>SUM('CA brut produits &amp; sites'!D420:D431)</f>
        <v>108408.57</v>
      </c>
      <c r="E394" s="92">
        <f>SUM('CA brut produits &amp; sites'!E420:E431)</f>
        <v>21524.73</v>
      </c>
      <c r="F394" s="92">
        <f>SUM('CA brut produits &amp; sites'!F420:F431)</f>
        <v>81994.880000000005</v>
      </c>
      <c r="G394" s="92">
        <f>SUM('CA brut produits &amp; sites'!G420:G431)</f>
        <v>12782.159999999998</v>
      </c>
      <c r="H394" s="92">
        <f>SUM('CA brut produits &amp; sites'!H420:H431)</f>
        <v>9573.6</v>
      </c>
      <c r="I394" s="92">
        <f>SUM('CA brut produits &amp; sites'!I420:I431)</f>
        <v>46498.42</v>
      </c>
      <c r="J394" s="92">
        <f>SUM('CA brut produits &amp; sites'!J420:J431)</f>
        <v>7123.15</v>
      </c>
      <c r="K394" s="92">
        <f>SUM('CA brut produits &amp; sites'!K420:K431)</f>
        <v>47185.64</v>
      </c>
      <c r="L394" s="92">
        <f>SUM('CA brut produits &amp; sites'!L420:L431)</f>
        <v>30022.12</v>
      </c>
      <c r="M394" s="92">
        <f>SUM('CA brut produits &amp; sites'!M420:M431)</f>
        <v>16286.310000000001</v>
      </c>
      <c r="N394" s="92">
        <f>SUM('CA brut produits &amp; sites'!N420:N431)</f>
        <v>0</v>
      </c>
      <c r="O394" s="92">
        <f>SUM('CA brut produits &amp; sites'!O420:O431)</f>
        <v>0</v>
      </c>
      <c r="P394" s="93">
        <f>SUM('CA brut produits &amp; sites'!P420:P431)</f>
        <v>3393.18</v>
      </c>
    </row>
    <row r="395" spans="1:16" x14ac:dyDescent="0.3">
      <c r="A395" s="94">
        <v>44743</v>
      </c>
      <c r="B395" s="143"/>
      <c r="P395" s="93"/>
    </row>
    <row r="396" spans="1:16" x14ac:dyDescent="0.3">
      <c r="A396" s="94">
        <v>44774</v>
      </c>
      <c r="B396" s="143"/>
      <c r="P396" s="93"/>
    </row>
    <row r="397" spans="1:16" x14ac:dyDescent="0.3">
      <c r="A397" s="94">
        <v>44805</v>
      </c>
      <c r="B397" s="143"/>
      <c r="P397" s="93"/>
    </row>
    <row r="398" spans="1:16" x14ac:dyDescent="0.3">
      <c r="A398" s="94">
        <v>44835</v>
      </c>
      <c r="B398" s="143"/>
      <c r="P398" s="93"/>
    </row>
    <row r="399" spans="1:16" x14ac:dyDescent="0.3">
      <c r="A399" s="94">
        <v>44866</v>
      </c>
      <c r="B399" s="143"/>
      <c r="P399" s="93"/>
    </row>
    <row r="400" spans="1:16" x14ac:dyDescent="0.3">
      <c r="A400" s="94">
        <v>44896</v>
      </c>
      <c r="B400" s="143"/>
      <c r="P400" s="93"/>
    </row>
    <row r="401" spans="1:16" x14ac:dyDescent="0.3">
      <c r="A401" s="94"/>
      <c r="B401" s="143"/>
      <c r="P401" s="93"/>
    </row>
    <row r="402" spans="1:16" x14ac:dyDescent="0.3">
      <c r="A402" s="94"/>
      <c r="B402" s="143"/>
      <c r="P402" s="93"/>
    </row>
    <row r="403" spans="1:16" ht="15" thickBot="1" x14ac:dyDescent="0.35">
      <c r="A403" s="94"/>
      <c r="B403" s="143"/>
      <c r="P403" s="93"/>
    </row>
    <row r="404" spans="1:16" ht="15.45" customHeight="1" x14ac:dyDescent="0.3">
      <c r="A404" s="88">
        <v>41974</v>
      </c>
      <c r="B404" s="145" t="s">
        <v>19</v>
      </c>
      <c r="C404" s="95">
        <f t="shared" ref="C404:C440" si="69">SUM(D404:N404)</f>
        <v>434496.5</v>
      </c>
      <c r="D404" s="95">
        <f>SUM('CA brut produits &amp; sites'!D439:D450)</f>
        <v>158804.19</v>
      </c>
      <c r="E404" s="95">
        <f>SUM('CA brut produits &amp; sites'!E439:E450)</f>
        <v>54446.35</v>
      </c>
      <c r="F404" s="95">
        <f>SUM('CA brut produits &amp; sites'!F439:F450)</f>
        <v>53700.799999999996</v>
      </c>
      <c r="G404" s="95">
        <f>SUM('CA brut produits &amp; sites'!G439:G450)</f>
        <v>23705.430000000008</v>
      </c>
      <c r="H404" s="95">
        <f>SUM('CA brut produits &amp; sites'!H439:H450)</f>
        <v>8570.119999999999</v>
      </c>
      <c r="I404" s="95">
        <f>SUM('CA brut produits &amp; sites'!I439:I450)</f>
        <v>10804.61</v>
      </c>
      <c r="J404" s="95">
        <f>SUM('CA brut produits &amp; sites'!J439:J450)</f>
        <v>55438.25</v>
      </c>
      <c r="K404" s="95">
        <f>SUM('CA brut produits &amp; sites'!K439:K450)</f>
        <v>50396.77</v>
      </c>
      <c r="L404" s="95">
        <f>SUM('CA brut produits &amp; sites'!L439:L450)</f>
        <v>19888.18</v>
      </c>
      <c r="M404" s="95">
        <f>SUM('CA brut produits &amp; sites'!M439:M450)</f>
        <v>-1258.2</v>
      </c>
      <c r="N404" s="95">
        <f>SUM('CA brut produits &amp; sites'!N439:N450)</f>
        <v>0</v>
      </c>
      <c r="O404" s="95">
        <f>SUM('CA brut produits &amp; sites'!O439:O450)</f>
        <v>0</v>
      </c>
      <c r="P404" s="97">
        <f>SUM('CA brut produits &amp; sites'!P439:P450)</f>
        <v>0</v>
      </c>
    </row>
    <row r="405" spans="1:16" x14ac:dyDescent="0.3">
      <c r="A405" s="87">
        <v>42005</v>
      </c>
      <c r="B405" s="146"/>
      <c r="C405" s="92">
        <f t="shared" si="69"/>
        <v>454291.52000000008</v>
      </c>
      <c r="D405" s="92">
        <f>SUM('CA brut produits &amp; sites'!D440:D451)</f>
        <v>158363.72</v>
      </c>
      <c r="E405" s="92">
        <f>SUM('CA brut produits &amp; sites'!E440:E451)</f>
        <v>67971.170000000013</v>
      </c>
      <c r="F405" s="92">
        <f>SUM('CA brut produits &amp; sites'!F440:F451)</f>
        <v>54215.790000000008</v>
      </c>
      <c r="G405" s="92">
        <f>SUM('CA brut produits &amp; sites'!G440:G451)</f>
        <v>23613.700000000004</v>
      </c>
      <c r="H405" s="92">
        <f>SUM('CA brut produits &amp; sites'!H440:H451)</f>
        <v>8792.0400000000009</v>
      </c>
      <c r="I405" s="92">
        <f>SUM('CA brut produits &amp; sites'!I440:I451)</f>
        <v>11121.860000000002</v>
      </c>
      <c r="J405" s="92">
        <f>SUM('CA brut produits &amp; sites'!J440:J451)</f>
        <v>59582.75</v>
      </c>
      <c r="K405" s="92">
        <f>SUM('CA brut produits &amp; sites'!K440:K451)</f>
        <v>50678.28</v>
      </c>
      <c r="L405" s="92">
        <f>SUM('CA brut produits &amp; sites'!L440:L451)</f>
        <v>21014.260000000002</v>
      </c>
      <c r="M405" s="92">
        <f>SUM('CA brut produits &amp; sites'!M440:M451)</f>
        <v>-1062.0499999999997</v>
      </c>
      <c r="N405" s="92">
        <f>SUM('CA brut produits &amp; sites'!N440:N451)</f>
        <v>0</v>
      </c>
      <c r="O405" s="92">
        <f>SUM('CA brut produits &amp; sites'!O440:O451)</f>
        <v>0</v>
      </c>
      <c r="P405" s="93">
        <f>SUM('CA brut produits &amp; sites'!P440:P451)</f>
        <v>0</v>
      </c>
    </row>
    <row r="406" spans="1:16" x14ac:dyDescent="0.3">
      <c r="A406" s="87">
        <v>42036</v>
      </c>
      <c r="B406" s="146"/>
      <c r="C406" s="92">
        <f t="shared" si="69"/>
        <v>486627.23000000004</v>
      </c>
      <c r="D406" s="92">
        <f>SUM('CA brut produits &amp; sites'!D441:D452)</f>
        <v>165875.77000000002</v>
      </c>
      <c r="E406" s="92">
        <f>SUM('CA brut produits &amp; sites'!E441:E452)</f>
        <v>71767.33</v>
      </c>
      <c r="F406" s="92">
        <f>SUM('CA brut produits &amp; sites'!F441:F452)</f>
        <v>54853.840000000011</v>
      </c>
      <c r="G406" s="92">
        <f>SUM('CA brut produits &amp; sites'!G441:G452)</f>
        <v>24983.980000000003</v>
      </c>
      <c r="H406" s="92">
        <f>SUM('CA brut produits &amp; sites'!H441:H452)</f>
        <v>11469.54</v>
      </c>
      <c r="I406" s="92">
        <f>SUM('CA brut produits &amp; sites'!I441:I452)</f>
        <v>11873.930000000002</v>
      </c>
      <c r="J406" s="92">
        <f>SUM('CA brut produits &amp; sites'!J441:J452)</f>
        <v>64934.1</v>
      </c>
      <c r="K406" s="92">
        <f>SUM('CA brut produits &amp; sites'!K441:K452)</f>
        <v>56476.009999999995</v>
      </c>
      <c r="L406" s="92">
        <f>SUM('CA brut produits &amp; sites'!L441:L452)</f>
        <v>22319.030000000002</v>
      </c>
      <c r="M406" s="92">
        <f>SUM('CA brut produits &amp; sites'!M441:M452)</f>
        <v>2073.7000000000003</v>
      </c>
      <c r="N406" s="92">
        <f>SUM('CA brut produits &amp; sites'!N441:N452)</f>
        <v>0</v>
      </c>
      <c r="O406" s="92">
        <f>SUM('CA brut produits &amp; sites'!O441:O452)</f>
        <v>0</v>
      </c>
      <c r="P406" s="93">
        <f>SUM('CA brut produits &amp; sites'!P441:P452)</f>
        <v>0</v>
      </c>
    </row>
    <row r="407" spans="1:16" x14ac:dyDescent="0.3">
      <c r="A407" s="87">
        <v>42064</v>
      </c>
      <c r="B407" s="146"/>
      <c r="C407" s="92">
        <f t="shared" si="69"/>
        <v>497945.91</v>
      </c>
      <c r="D407" s="92">
        <f>SUM('CA brut produits &amp; sites'!D442:D453)</f>
        <v>180520.78999999998</v>
      </c>
      <c r="E407" s="92">
        <f>SUM('CA brut produits &amp; sites'!E442:E453)</f>
        <v>74914.650000000009</v>
      </c>
      <c r="F407" s="92">
        <f>SUM('CA brut produits &amp; sites'!F442:F453)</f>
        <v>57891.070000000014</v>
      </c>
      <c r="G407" s="92">
        <f>SUM('CA brut produits &amp; sites'!G442:G453)</f>
        <v>24715.820000000003</v>
      </c>
      <c r="H407" s="92">
        <f>SUM('CA brut produits &amp; sites'!H442:H453)</f>
        <v>11515.380000000001</v>
      </c>
      <c r="I407" s="92">
        <f>SUM('CA brut produits &amp; sites'!I442:I453)</f>
        <v>11903.520000000002</v>
      </c>
      <c r="J407" s="92">
        <f>SUM('CA brut produits &amp; sites'!J442:J453)</f>
        <v>47488.4</v>
      </c>
      <c r="K407" s="92">
        <f>SUM('CA brut produits &amp; sites'!K442:K453)</f>
        <v>62002.129999999976</v>
      </c>
      <c r="L407" s="92">
        <f>SUM('CA brut produits &amp; sites'!L442:L453)</f>
        <v>24184.55</v>
      </c>
      <c r="M407" s="92">
        <f>SUM('CA brut produits &amp; sites'!M442:M453)</f>
        <v>2809.6000000000004</v>
      </c>
      <c r="N407" s="92">
        <f>SUM('CA brut produits &amp; sites'!N442:N453)</f>
        <v>0</v>
      </c>
      <c r="O407" s="92">
        <f>SUM('CA brut produits &amp; sites'!O442:O453)</f>
        <v>0</v>
      </c>
      <c r="P407" s="93">
        <f>SUM('CA brut produits &amp; sites'!P442:P453)</f>
        <v>0</v>
      </c>
    </row>
    <row r="408" spans="1:16" x14ac:dyDescent="0.3">
      <c r="A408" s="87">
        <v>42095</v>
      </c>
      <c r="B408" s="146"/>
      <c r="C408" s="92">
        <f t="shared" si="69"/>
        <v>507682.20999999996</v>
      </c>
      <c r="D408" s="92">
        <f>SUM('CA brut produits &amp; sites'!D443:D454)</f>
        <v>181119.31999999998</v>
      </c>
      <c r="E408" s="92">
        <f>SUM('CA brut produits &amp; sites'!E443:E454)</f>
        <v>78807.64</v>
      </c>
      <c r="F408" s="92">
        <f>SUM('CA brut produits &amp; sites'!F443:F454)</f>
        <v>57046.200000000012</v>
      </c>
      <c r="G408" s="92">
        <f>SUM('CA brut produits &amp; sites'!G443:G454)</f>
        <v>24538.070000000003</v>
      </c>
      <c r="H408" s="92">
        <f>SUM('CA brut produits &amp; sites'!H443:H454)</f>
        <v>12800.960000000001</v>
      </c>
      <c r="I408" s="92">
        <f>SUM('CA brut produits &amp; sites'!I443:I454)</f>
        <v>11758.030000000002</v>
      </c>
      <c r="J408" s="92">
        <f>SUM('CA brut produits &amp; sites'!J443:J454)</f>
        <v>46634.73</v>
      </c>
      <c r="K408" s="92">
        <f>SUM('CA brut produits &amp; sites'!K443:K454)</f>
        <v>68124.419999999984</v>
      </c>
      <c r="L408" s="92">
        <f>SUM('CA brut produits &amp; sites'!L443:L454)</f>
        <v>24025.54</v>
      </c>
      <c r="M408" s="92">
        <f>SUM('CA brut produits &amp; sites'!M443:M454)</f>
        <v>2827.3000000000006</v>
      </c>
      <c r="N408" s="92">
        <f>SUM('CA brut produits &amp; sites'!N443:N454)</f>
        <v>0</v>
      </c>
      <c r="O408" s="92">
        <f>SUM('CA brut produits &amp; sites'!O443:O454)</f>
        <v>0</v>
      </c>
      <c r="P408" s="93">
        <f>SUM('CA brut produits &amp; sites'!P443:P454)</f>
        <v>0</v>
      </c>
    </row>
    <row r="409" spans="1:16" x14ac:dyDescent="0.3">
      <c r="A409" s="87">
        <v>42125</v>
      </c>
      <c r="B409" s="146"/>
      <c r="C409" s="92">
        <f t="shared" si="69"/>
        <v>517306.1</v>
      </c>
      <c r="D409" s="92">
        <f>SUM('CA brut produits &amp; sites'!D444:D455)</f>
        <v>178971.77000000002</v>
      </c>
      <c r="E409" s="92">
        <f>SUM('CA brut produits &amp; sites'!E444:E455)</f>
        <v>81401.109999999986</v>
      </c>
      <c r="F409" s="92">
        <f>SUM('CA brut produits &amp; sites'!F444:F455)</f>
        <v>61483.310000000012</v>
      </c>
      <c r="G409" s="92">
        <f>SUM('CA brut produits &amp; sites'!G444:G455)</f>
        <v>24441.489999999998</v>
      </c>
      <c r="H409" s="92">
        <f>SUM('CA brut produits &amp; sites'!H444:H455)</f>
        <v>14438.640000000001</v>
      </c>
      <c r="I409" s="92">
        <f>SUM('CA brut produits &amp; sites'!I444:I455)</f>
        <v>11951.540000000003</v>
      </c>
      <c r="J409" s="92">
        <f>SUM('CA brut produits &amp; sites'!J444:J455)</f>
        <v>48969.98</v>
      </c>
      <c r="K409" s="92">
        <f>SUM('CA brut produits &amp; sites'!K444:K455)</f>
        <v>66172.829999999987</v>
      </c>
      <c r="L409" s="92">
        <f>SUM('CA brut produits &amp; sites'!L444:L455)</f>
        <v>24425.780000000002</v>
      </c>
      <c r="M409" s="92">
        <f>SUM('CA brut produits &amp; sites'!M444:M455)</f>
        <v>5049.6499999999996</v>
      </c>
      <c r="N409" s="92">
        <f>SUM('CA brut produits &amp; sites'!N444:N455)</f>
        <v>0</v>
      </c>
      <c r="O409" s="92">
        <f>SUM('CA brut produits &amp; sites'!O444:O455)</f>
        <v>0</v>
      </c>
      <c r="P409" s="93">
        <f>SUM('CA brut produits &amp; sites'!P444:P455)</f>
        <v>0</v>
      </c>
    </row>
    <row r="410" spans="1:16" x14ac:dyDescent="0.3">
      <c r="A410" s="87">
        <v>42156</v>
      </c>
      <c r="B410" s="146"/>
      <c r="C410" s="92">
        <f t="shared" si="69"/>
        <v>545435.94000000006</v>
      </c>
      <c r="D410" s="92">
        <f>SUM('CA brut produits &amp; sites'!D445:D456)</f>
        <v>178793.81000000003</v>
      </c>
      <c r="E410" s="92">
        <f>SUM('CA brut produits &amp; sites'!E445:E456)</f>
        <v>79241.639999999985</v>
      </c>
      <c r="F410" s="92">
        <f>SUM('CA brut produits &amp; sites'!F445:F456)</f>
        <v>62454.630000000005</v>
      </c>
      <c r="G410" s="92">
        <f>SUM('CA brut produits &amp; sites'!G445:G456)</f>
        <v>24736.52</v>
      </c>
      <c r="H410" s="92">
        <f>SUM('CA brut produits &amp; sites'!H445:H456)</f>
        <v>15365.080000000002</v>
      </c>
      <c r="I410" s="92">
        <f>SUM('CA brut produits &amp; sites'!I445:I456)</f>
        <v>15241.320000000003</v>
      </c>
      <c r="J410" s="92">
        <f>SUM('CA brut produits &amp; sites'!J445:J456)</f>
        <v>64808.430000000008</v>
      </c>
      <c r="K410" s="92">
        <f>SUM('CA brut produits &amp; sites'!K445:K456)</f>
        <v>73520.00999999998</v>
      </c>
      <c r="L410" s="92">
        <f>SUM('CA brut produits &amp; sites'!L445:L456)</f>
        <v>25719.050000000003</v>
      </c>
      <c r="M410" s="92">
        <f>SUM('CA brut produits &amp; sites'!M445:M456)</f>
        <v>5555.45</v>
      </c>
      <c r="N410" s="92">
        <f>SUM('CA brut produits &amp; sites'!N445:N456)</f>
        <v>0</v>
      </c>
      <c r="O410" s="92">
        <f>SUM('CA brut produits &amp; sites'!O445:O456)</f>
        <v>0</v>
      </c>
      <c r="P410" s="93">
        <f>SUM('CA brut produits &amp; sites'!P445:P456)</f>
        <v>0</v>
      </c>
    </row>
    <row r="411" spans="1:16" x14ac:dyDescent="0.3">
      <c r="A411" s="87">
        <v>42186</v>
      </c>
      <c r="B411" s="146"/>
      <c r="C411" s="92">
        <f t="shared" si="69"/>
        <v>554859.39000000013</v>
      </c>
      <c r="D411" s="92">
        <f>SUM('CA brut produits &amp; sites'!D446:D457)</f>
        <v>178326.77000000002</v>
      </c>
      <c r="E411" s="92">
        <f>SUM('CA brut produits &amp; sites'!E446:E457)</f>
        <v>80751.88</v>
      </c>
      <c r="F411" s="92">
        <f>SUM('CA brut produits &amp; sites'!F446:F457)</f>
        <v>62300.959999999999</v>
      </c>
      <c r="G411" s="92">
        <f>SUM('CA brut produits &amp; sites'!G446:G457)</f>
        <v>20505.170000000002</v>
      </c>
      <c r="H411" s="92">
        <f>SUM('CA brut produits &amp; sites'!H446:H457)</f>
        <v>16608.080000000002</v>
      </c>
      <c r="I411" s="92">
        <f>SUM('CA brut produits &amp; sites'!I446:I457)</f>
        <v>17775.880000000005</v>
      </c>
      <c r="J411" s="92">
        <f>SUM('CA brut produits &amp; sites'!J446:J457)</f>
        <v>69110.780000000013</v>
      </c>
      <c r="K411" s="92">
        <f>SUM('CA brut produits &amp; sites'!K446:K457)</f>
        <v>77950.669999999984</v>
      </c>
      <c r="L411" s="92">
        <f>SUM('CA brut produits &amp; sites'!L446:L457)</f>
        <v>24722.050000000003</v>
      </c>
      <c r="M411" s="92">
        <f>SUM('CA brut produits &amp; sites'!M446:M457)</f>
        <v>6807.15</v>
      </c>
      <c r="N411" s="92">
        <f>SUM('CA brut produits &amp; sites'!N446:N457)</f>
        <v>0</v>
      </c>
      <c r="O411" s="92">
        <f>SUM('CA brut produits &amp; sites'!O446:O457)</f>
        <v>0</v>
      </c>
      <c r="P411" s="93">
        <f>SUM('CA brut produits &amp; sites'!P446:P457)</f>
        <v>0</v>
      </c>
    </row>
    <row r="412" spans="1:16" x14ac:dyDescent="0.3">
      <c r="A412" s="87">
        <v>42217</v>
      </c>
      <c r="B412" s="146"/>
      <c r="C412" s="92">
        <f t="shared" si="69"/>
        <v>574984.22000000009</v>
      </c>
      <c r="D412" s="92">
        <f>SUM('CA brut produits &amp; sites'!D447:D458)</f>
        <v>186368.28000000003</v>
      </c>
      <c r="E412" s="92">
        <f>SUM('CA brut produits &amp; sites'!E447:E458)</f>
        <v>83086.540000000008</v>
      </c>
      <c r="F412" s="92">
        <f>SUM('CA brut produits &amp; sites'!F447:F458)</f>
        <v>61809.170000000006</v>
      </c>
      <c r="G412" s="92">
        <f>SUM('CA brut produits &amp; sites'!G447:G458)</f>
        <v>19861.800000000003</v>
      </c>
      <c r="H412" s="92">
        <f>SUM('CA brut produits &amp; sites'!H447:H458)</f>
        <v>16674.080000000002</v>
      </c>
      <c r="I412" s="92">
        <f>SUM('CA brut produits &amp; sites'!I447:I458)</f>
        <v>23720.53</v>
      </c>
      <c r="J412" s="92">
        <f>SUM('CA brut produits &amp; sites'!J447:J458)</f>
        <v>72388.780000000013</v>
      </c>
      <c r="K412" s="92">
        <f>SUM('CA brut produits &amp; sites'!K447:K458)</f>
        <v>80104.409999999989</v>
      </c>
      <c r="L412" s="92">
        <f>SUM('CA brut produits &amp; sites'!L447:L458)</f>
        <v>24133.630000000005</v>
      </c>
      <c r="M412" s="92">
        <f>SUM('CA brut produits &amp; sites'!M447:M458)</f>
        <v>6837</v>
      </c>
      <c r="N412" s="92">
        <f>SUM('CA brut produits &amp; sites'!N447:N458)</f>
        <v>0</v>
      </c>
      <c r="O412" s="92">
        <f>SUM('CA brut produits &amp; sites'!O447:O458)</f>
        <v>0</v>
      </c>
      <c r="P412" s="93">
        <f>SUM('CA brut produits &amp; sites'!P447:P458)</f>
        <v>0</v>
      </c>
    </row>
    <row r="413" spans="1:16" x14ac:dyDescent="0.3">
      <c r="A413" s="87">
        <v>42248</v>
      </c>
      <c r="B413" s="146"/>
      <c r="C413" s="92">
        <f t="shared" si="69"/>
        <v>612974.23999999987</v>
      </c>
      <c r="D413" s="92">
        <f>SUM('CA brut produits &amp; sites'!D448:D459)</f>
        <v>197454.37</v>
      </c>
      <c r="E413" s="92">
        <f>SUM('CA brut produits &amp; sites'!E448:E459)</f>
        <v>84338.219999999972</v>
      </c>
      <c r="F413" s="92">
        <f>SUM('CA brut produits &amp; sites'!F448:F459)</f>
        <v>60894.509999999995</v>
      </c>
      <c r="G413" s="92">
        <f>SUM('CA brut produits &amp; sites'!G448:G459)</f>
        <v>19604.190000000002</v>
      </c>
      <c r="H413" s="92">
        <f>SUM('CA brut produits &amp; sites'!H448:H459)</f>
        <v>21503.27</v>
      </c>
      <c r="I413" s="92">
        <f>SUM('CA brut produits &amp; sites'!I448:I459)</f>
        <v>24014.600000000002</v>
      </c>
      <c r="J413" s="92">
        <f>SUM('CA brut produits &amp; sites'!J448:J459)</f>
        <v>91336.23000000001</v>
      </c>
      <c r="K413" s="92">
        <f>SUM('CA brut produits &amp; sites'!K448:K459)</f>
        <v>81799.27999999997</v>
      </c>
      <c r="L413" s="92">
        <f>SUM('CA brut produits &amp; sites'!L448:L459)</f>
        <v>25163.62</v>
      </c>
      <c r="M413" s="92">
        <f>SUM('CA brut produits &amp; sites'!M448:M459)</f>
        <v>6865.9500000000007</v>
      </c>
      <c r="N413" s="92">
        <f>SUM('CA brut produits &amp; sites'!N448:N459)</f>
        <v>0</v>
      </c>
      <c r="O413" s="92">
        <f>SUM('CA brut produits &amp; sites'!O448:O459)</f>
        <v>0</v>
      </c>
      <c r="P413" s="93">
        <f>SUM('CA brut produits &amp; sites'!P448:P459)</f>
        <v>0</v>
      </c>
    </row>
    <row r="414" spans="1:16" x14ac:dyDescent="0.3">
      <c r="A414" s="87">
        <v>42278</v>
      </c>
      <c r="B414" s="146"/>
      <c r="C414" s="92">
        <f t="shared" si="69"/>
        <v>600634.78999999992</v>
      </c>
      <c r="D414" s="92">
        <f>SUM('CA brut produits &amp; sites'!D449:D460)</f>
        <v>201893.6</v>
      </c>
      <c r="E414" s="92">
        <f>SUM('CA brut produits &amp; sites'!E449:E460)</f>
        <v>80229.219999999987</v>
      </c>
      <c r="F414" s="92">
        <f>SUM('CA brut produits &amp; sites'!F449:F460)</f>
        <v>60428.090000000004</v>
      </c>
      <c r="G414" s="92">
        <f>SUM('CA brut produits &amp; sites'!G449:G460)</f>
        <v>19431.5</v>
      </c>
      <c r="H414" s="92">
        <f>SUM('CA brut produits &amp; sites'!H449:H460)</f>
        <v>22099.440000000002</v>
      </c>
      <c r="I414" s="92">
        <f>SUM('CA brut produits &amp; sites'!I449:I460)</f>
        <v>24540.05</v>
      </c>
      <c r="J414" s="92">
        <f>SUM('CA brut produits &amp; sites'!J449:J460)</f>
        <v>78554.030000000013</v>
      </c>
      <c r="K414" s="92">
        <f>SUM('CA brut produits &amp; sites'!K449:K460)</f>
        <v>81894.689999999988</v>
      </c>
      <c r="L414" s="92">
        <f>SUM('CA brut produits &amp; sites'!L449:L460)</f>
        <v>24834.070000000003</v>
      </c>
      <c r="M414" s="92">
        <f>SUM('CA brut produits &amp; sites'!M449:M460)</f>
        <v>6730.1</v>
      </c>
      <c r="N414" s="92">
        <f>SUM('CA brut produits &amp; sites'!N449:N460)</f>
        <v>0</v>
      </c>
      <c r="O414" s="92">
        <f>SUM('CA brut produits &amp; sites'!O449:O460)</f>
        <v>0</v>
      </c>
      <c r="P414" s="93">
        <f>SUM('CA brut produits &amp; sites'!P449:P460)</f>
        <v>0</v>
      </c>
    </row>
    <row r="415" spans="1:16" x14ac:dyDescent="0.3">
      <c r="A415" s="87">
        <v>42309</v>
      </c>
      <c r="B415" s="146"/>
      <c r="C415" s="92">
        <f t="shared" si="69"/>
        <v>630769.16999999993</v>
      </c>
      <c r="D415" s="92">
        <f>SUM('CA brut produits &amp; sites'!D450:D461)</f>
        <v>213515.06</v>
      </c>
      <c r="E415" s="92">
        <f>SUM('CA brut produits &amp; sites'!E450:E461)</f>
        <v>86090.539999999979</v>
      </c>
      <c r="F415" s="92">
        <f>SUM('CA brut produits &amp; sites'!F450:F461)</f>
        <v>60074.87000000001</v>
      </c>
      <c r="G415" s="92">
        <f>SUM('CA brut produits &amp; sites'!G450:G461)</f>
        <v>20768.190000000002</v>
      </c>
      <c r="H415" s="92">
        <f>SUM('CA brut produits &amp; sites'!H450:H461)</f>
        <v>22974.880000000001</v>
      </c>
      <c r="I415" s="92">
        <f>SUM('CA brut produits &amp; sites'!I450:I461)</f>
        <v>24784.240000000005</v>
      </c>
      <c r="J415" s="92">
        <f>SUM('CA brut produits &amp; sites'!J450:J461)</f>
        <v>87648.080000000016</v>
      </c>
      <c r="K415" s="92">
        <f>SUM('CA brut produits &amp; sites'!K450:K461)</f>
        <v>84880.779999999984</v>
      </c>
      <c r="L415" s="92">
        <f>SUM('CA brut produits &amp; sites'!L450:L461)</f>
        <v>23206.080000000002</v>
      </c>
      <c r="M415" s="92">
        <f>SUM('CA brut produits &amp; sites'!M450:M461)</f>
        <v>6826.4500000000007</v>
      </c>
      <c r="N415" s="92">
        <f>SUM('CA brut produits &amp; sites'!N450:N461)</f>
        <v>0</v>
      </c>
      <c r="O415" s="92">
        <f>SUM('CA brut produits &amp; sites'!O450:O461)</f>
        <v>0</v>
      </c>
      <c r="P415" s="93">
        <f>SUM('CA brut produits &amp; sites'!P450:P461)</f>
        <v>0</v>
      </c>
    </row>
    <row r="416" spans="1:16" x14ac:dyDescent="0.3">
      <c r="A416" s="87">
        <v>42339</v>
      </c>
      <c r="B416" s="146"/>
      <c r="C416" s="92">
        <f t="shared" si="69"/>
        <v>635530.78999999992</v>
      </c>
      <c r="D416" s="92">
        <f>SUM('CA brut produits &amp; sites'!D451:D462)</f>
        <v>218185.18999999997</v>
      </c>
      <c r="E416" s="92">
        <f>SUM('CA brut produits &amp; sites'!E451:E462)</f>
        <v>81863.589999999982</v>
      </c>
      <c r="F416" s="92">
        <f>SUM('CA brut produits &amp; sites'!F451:F462)</f>
        <v>61597.590000000011</v>
      </c>
      <c r="G416" s="92">
        <f>SUM('CA brut produits &amp; sites'!G451:G462)</f>
        <v>20630.920000000002</v>
      </c>
      <c r="H416" s="92">
        <f>SUM('CA brut produits &amp; sites'!H451:H462)</f>
        <v>23593.359999999997</v>
      </c>
      <c r="I416" s="92">
        <f>SUM('CA brut produits &amp; sites'!I451:I462)</f>
        <v>18132.96</v>
      </c>
      <c r="J416" s="92">
        <f>SUM('CA brut produits &amp; sites'!J451:J462)</f>
        <v>98246.430000000022</v>
      </c>
      <c r="K416" s="92">
        <f>SUM('CA brut produits &amp; sites'!K451:K462)</f>
        <v>84082.179999999978</v>
      </c>
      <c r="L416" s="92">
        <f>SUM('CA brut produits &amp; sites'!L451:L462)</f>
        <v>22268.07</v>
      </c>
      <c r="M416" s="92">
        <f>SUM('CA brut produits &amp; sites'!M451:M462)</f>
        <v>6930.5000000000009</v>
      </c>
      <c r="N416" s="92">
        <f>SUM('CA brut produits &amp; sites'!N451:N462)</f>
        <v>0</v>
      </c>
      <c r="O416" s="92">
        <f>SUM('CA brut produits &amp; sites'!O451:O462)</f>
        <v>0</v>
      </c>
      <c r="P416" s="93">
        <f>SUM('CA brut produits &amp; sites'!P451:P462)</f>
        <v>0</v>
      </c>
    </row>
    <row r="417" spans="1:16" x14ac:dyDescent="0.3">
      <c r="A417" s="87">
        <v>42370</v>
      </c>
      <c r="B417" s="146"/>
      <c r="C417" s="92">
        <f t="shared" si="69"/>
        <v>631766.67999999993</v>
      </c>
      <c r="D417" s="92">
        <f>SUM('CA brut produits &amp; sites'!D452:D463)</f>
        <v>229380.56</v>
      </c>
      <c r="E417" s="92">
        <f>SUM('CA brut produits &amp; sites'!E452:E463)</f>
        <v>67974.729999999981</v>
      </c>
      <c r="F417" s="92">
        <f>SUM('CA brut produits &amp; sites'!F452:F463)</f>
        <v>63350.87</v>
      </c>
      <c r="G417" s="92">
        <f>SUM('CA brut produits &amp; sites'!G452:G463)</f>
        <v>20062.88</v>
      </c>
      <c r="H417" s="92">
        <f>SUM('CA brut produits &amp; sites'!H452:H463)</f>
        <v>25088.079999999998</v>
      </c>
      <c r="I417" s="92">
        <f>SUM('CA brut produits &amp; sites'!I452:I463)</f>
        <v>18231.369999999995</v>
      </c>
      <c r="J417" s="92">
        <f>SUM('CA brut produits &amp; sites'!J452:J463)</f>
        <v>94894.53</v>
      </c>
      <c r="K417" s="92">
        <f>SUM('CA brut produits &amp; sites'!K452:K463)</f>
        <v>83719.589999999982</v>
      </c>
      <c r="L417" s="92">
        <f>SUM('CA brut produits &amp; sites'!L452:L463)</f>
        <v>22312.87</v>
      </c>
      <c r="M417" s="92">
        <f>SUM('CA brut produits &amp; sites'!M452:M463)</f>
        <v>6751.2000000000016</v>
      </c>
      <c r="N417" s="92">
        <f>SUM('CA brut produits &amp; sites'!N452:N463)</f>
        <v>0</v>
      </c>
      <c r="O417" s="92">
        <f>SUM('CA brut produits &amp; sites'!O452:O463)</f>
        <v>0</v>
      </c>
      <c r="P417" s="93">
        <f>SUM('CA brut produits &amp; sites'!P452:P463)</f>
        <v>0</v>
      </c>
    </row>
    <row r="418" spans="1:16" x14ac:dyDescent="0.3">
      <c r="A418" s="87">
        <v>42401</v>
      </c>
      <c r="B418" s="146"/>
      <c r="C418" s="92">
        <f t="shared" si="69"/>
        <v>631925.52999999991</v>
      </c>
      <c r="D418" s="92">
        <f>SUM('CA brut produits &amp; sites'!D453:D464)</f>
        <v>236425.18999999994</v>
      </c>
      <c r="E418" s="92">
        <f>SUM('CA brut produits &amp; sites'!E453:E464)</f>
        <v>66063.450000000012</v>
      </c>
      <c r="F418" s="92">
        <f>SUM('CA brut produits &amp; sites'!F453:F464)</f>
        <v>62174.25</v>
      </c>
      <c r="G418" s="92">
        <f>SUM('CA brut produits &amp; sites'!G453:G464)</f>
        <v>17943.450000000004</v>
      </c>
      <c r="H418" s="92">
        <f>SUM('CA brut produits &amp; sites'!H453:H464)</f>
        <v>22833.079999999998</v>
      </c>
      <c r="I418" s="92">
        <f>SUM('CA brut produits &amp; sites'!I453:I464)</f>
        <v>19647.07</v>
      </c>
      <c r="J418" s="92">
        <f>SUM('CA brut produits &amp; sites'!J453:J464)</f>
        <v>102063.67999999999</v>
      </c>
      <c r="K418" s="92">
        <f>SUM('CA brut produits &amp; sites'!K453:K464)</f>
        <v>80939.03</v>
      </c>
      <c r="L418" s="92">
        <f>SUM('CA brut produits &amp; sites'!L453:L464)</f>
        <v>20231.830000000002</v>
      </c>
      <c r="M418" s="92">
        <f>SUM('CA brut produits &amp; sites'!M453:M464)</f>
        <v>3604.5000000000005</v>
      </c>
      <c r="N418" s="92">
        <f>SUM('CA brut produits &amp; sites'!N453:N464)</f>
        <v>0</v>
      </c>
      <c r="O418" s="92">
        <f>SUM('CA brut produits &amp; sites'!O453:O464)</f>
        <v>0</v>
      </c>
      <c r="P418" s="93">
        <f>SUM('CA brut produits &amp; sites'!P453:P464)</f>
        <v>0</v>
      </c>
    </row>
    <row r="419" spans="1:16" x14ac:dyDescent="0.3">
      <c r="A419" s="87">
        <v>42430</v>
      </c>
      <c r="B419" s="146"/>
      <c r="C419" s="92">
        <f t="shared" si="69"/>
        <v>645360.93999999994</v>
      </c>
      <c r="D419" s="92">
        <f>SUM('CA brut produits &amp; sites'!D454:D465)</f>
        <v>238766.98999999996</v>
      </c>
      <c r="E419" s="92">
        <f>SUM('CA brut produits &amp; sites'!E454:E465)</f>
        <v>65992.62999999999</v>
      </c>
      <c r="F419" s="92">
        <f>SUM('CA brut produits &amp; sites'!F454:F465)</f>
        <v>62184.369999999995</v>
      </c>
      <c r="G419" s="92">
        <f>SUM('CA brut produits &amp; sites'!G454:G465)</f>
        <v>17427.509999999998</v>
      </c>
      <c r="H419" s="92">
        <f>SUM('CA brut produits &amp; sites'!H454:H465)</f>
        <v>21698.800000000003</v>
      </c>
      <c r="I419" s="92">
        <f>SUM('CA brut produits &amp; sites'!I454:I465)</f>
        <v>18968.649999999998</v>
      </c>
      <c r="J419" s="92">
        <f>SUM('CA brut produits &amp; sites'!J454:J465)</f>
        <v>118096.48000000001</v>
      </c>
      <c r="K419" s="92">
        <f>SUM('CA brut produits &amp; sites'!K454:K465)</f>
        <v>81009.5</v>
      </c>
      <c r="L419" s="92">
        <f>SUM('CA brut produits &amp; sites'!L454:L465)</f>
        <v>18336.11</v>
      </c>
      <c r="M419" s="92">
        <f>SUM('CA brut produits &amp; sites'!M454:M465)</f>
        <v>2879.9</v>
      </c>
      <c r="N419" s="92">
        <f>SUM('CA brut produits &amp; sites'!N454:N465)</f>
        <v>0</v>
      </c>
      <c r="O419" s="92">
        <f>SUM('CA brut produits &amp; sites'!O454:O465)</f>
        <v>0</v>
      </c>
      <c r="P419" s="93">
        <f>SUM('CA brut produits &amp; sites'!P454:P465)</f>
        <v>0</v>
      </c>
    </row>
    <row r="420" spans="1:16" x14ac:dyDescent="0.3">
      <c r="A420" s="87">
        <v>42461</v>
      </c>
      <c r="B420" s="146"/>
      <c r="C420" s="92">
        <f t="shared" si="69"/>
        <v>654599.52000000014</v>
      </c>
      <c r="D420" s="92">
        <f>SUM('CA brut produits &amp; sites'!D455:D466)</f>
        <v>252175.08999999994</v>
      </c>
      <c r="E420" s="92">
        <f>SUM('CA brut produits &amp; sites'!E455:E466)</f>
        <v>62538.42</v>
      </c>
      <c r="F420" s="92">
        <f>SUM('CA brut produits &amp; sites'!F455:F466)</f>
        <v>59887.520000000004</v>
      </c>
      <c r="G420" s="92">
        <f>SUM('CA brut produits &amp; sites'!G455:G466)</f>
        <v>16709.399999999998</v>
      </c>
      <c r="H420" s="92">
        <f>SUM('CA brut produits &amp; sites'!H455:H466)</f>
        <v>19551.22</v>
      </c>
      <c r="I420" s="92">
        <f>SUM('CA brut produits &amp; sites'!I455:I466)</f>
        <v>18797.61</v>
      </c>
      <c r="J420" s="92">
        <f>SUM('CA brut produits &amp; sites'!J455:J466)</f>
        <v>127242.05000000002</v>
      </c>
      <c r="K420" s="92">
        <f>SUM('CA brut produits &amp; sites'!K455:K466)</f>
        <v>76904.570000000022</v>
      </c>
      <c r="L420" s="92">
        <f>SUM('CA brut produits &amp; sites'!L455:L466)</f>
        <v>17953.740000000002</v>
      </c>
      <c r="M420" s="92">
        <f>SUM('CA brut produits &amp; sites'!M455:M466)</f>
        <v>2839.9000000000005</v>
      </c>
      <c r="N420" s="92">
        <f>SUM('CA brut produits &amp; sites'!N455:N466)</f>
        <v>0</v>
      </c>
      <c r="O420" s="92">
        <f>SUM('CA brut produits &amp; sites'!O455:O466)</f>
        <v>0</v>
      </c>
      <c r="P420" s="93">
        <f>SUM('CA brut produits &amp; sites'!P455:P466)</f>
        <v>0</v>
      </c>
    </row>
    <row r="421" spans="1:16" x14ac:dyDescent="0.3">
      <c r="A421" s="87">
        <v>42491</v>
      </c>
      <c r="B421" s="146"/>
      <c r="C421" s="92">
        <f t="shared" si="69"/>
        <v>651334.36</v>
      </c>
      <c r="D421" s="92">
        <f>SUM('CA brut produits &amp; sites'!D456:D467)</f>
        <v>261708.53</v>
      </c>
      <c r="E421" s="92">
        <f>SUM('CA brut produits &amp; sites'!E456:E467)</f>
        <v>56954.879999999997</v>
      </c>
      <c r="F421" s="92">
        <f>SUM('CA brut produits &amp; sites'!F456:F467)</f>
        <v>54454.990000000005</v>
      </c>
      <c r="G421" s="92">
        <f>SUM('CA brut produits &amp; sites'!G456:G467)</f>
        <v>16319.66</v>
      </c>
      <c r="H421" s="92">
        <f>SUM('CA brut produits &amp; sites'!H456:H467)</f>
        <v>19889.740000000002</v>
      </c>
      <c r="I421" s="92">
        <f>SUM('CA brut produits &amp; sites'!I456:I467)</f>
        <v>19443.770000000004</v>
      </c>
      <c r="J421" s="92">
        <f>SUM('CA brut produits &amp; sites'!J456:J467)</f>
        <v>127748.20000000001</v>
      </c>
      <c r="K421" s="92">
        <f>SUM('CA brut produits &amp; sites'!K456:K467)</f>
        <v>75066.87000000001</v>
      </c>
      <c r="L421" s="92">
        <f>SUM('CA brut produits &amp; sites'!L456:L467)</f>
        <v>17001.320000000003</v>
      </c>
      <c r="M421" s="92">
        <f>SUM('CA brut produits &amp; sites'!M456:M467)</f>
        <v>2746.4</v>
      </c>
      <c r="N421" s="92">
        <f>SUM('CA brut produits &amp; sites'!N456:N467)</f>
        <v>0</v>
      </c>
      <c r="O421" s="92">
        <f>SUM('CA brut produits &amp; sites'!O456:O467)</f>
        <v>0</v>
      </c>
      <c r="P421" s="93">
        <f>SUM('CA brut produits &amp; sites'!P456:P467)</f>
        <v>0</v>
      </c>
    </row>
    <row r="422" spans="1:16" x14ac:dyDescent="0.3">
      <c r="A422" s="87">
        <v>42522</v>
      </c>
      <c r="B422" s="146"/>
      <c r="C422" s="92">
        <f t="shared" si="69"/>
        <v>631420.73999999987</v>
      </c>
      <c r="D422" s="92">
        <f>SUM('CA brut produits &amp; sites'!D457:D468)</f>
        <v>268217.27</v>
      </c>
      <c r="E422" s="92">
        <f>SUM('CA brut produits &amp; sites'!E457:E468)</f>
        <v>54032.850000000006</v>
      </c>
      <c r="F422" s="92">
        <f>SUM('CA brut produits &amp; sites'!F457:F468)</f>
        <v>49064.7</v>
      </c>
      <c r="G422" s="92">
        <f>SUM('CA brut produits &amp; sites'!G457:G468)</f>
        <v>14981.81</v>
      </c>
      <c r="H422" s="92">
        <f>SUM('CA brut produits &amp; sites'!H457:H468)</f>
        <v>20157.439999999999</v>
      </c>
      <c r="I422" s="92">
        <f>SUM('CA brut produits &amp; sites'!I457:I468)</f>
        <v>16712.37</v>
      </c>
      <c r="J422" s="92">
        <f>SUM('CA brut produits &amp; sites'!J457:J468)</f>
        <v>120728.75</v>
      </c>
      <c r="K422" s="92">
        <f>SUM('CA brut produits &amp; sites'!K457:K468)</f>
        <v>70020.750000000029</v>
      </c>
      <c r="L422" s="92">
        <f>SUM('CA brut produits &amp; sites'!L457:L468)</f>
        <v>15256.850000000002</v>
      </c>
      <c r="M422" s="92">
        <f>SUM('CA brut produits &amp; sites'!M457:M468)</f>
        <v>2247.9499999999998</v>
      </c>
      <c r="N422" s="92">
        <f>SUM('CA brut produits &amp; sites'!N457:N468)</f>
        <v>0</v>
      </c>
      <c r="O422" s="92">
        <f>SUM('CA brut produits &amp; sites'!O457:O468)</f>
        <v>0</v>
      </c>
      <c r="P422" s="93">
        <f>SUM('CA brut produits &amp; sites'!P457:P468)</f>
        <v>0</v>
      </c>
    </row>
    <row r="423" spans="1:16" x14ac:dyDescent="0.3">
      <c r="A423" s="87">
        <v>42552</v>
      </c>
      <c r="B423" s="146"/>
      <c r="C423" s="92">
        <f t="shared" si="69"/>
        <v>641710.74000000011</v>
      </c>
      <c r="D423" s="92">
        <f>SUM('CA brut produits &amp; sites'!D458:D469)</f>
        <v>266085.47000000003</v>
      </c>
      <c r="E423" s="92">
        <f>SUM('CA brut produits &amp; sites'!E458:E469)</f>
        <v>48761.89</v>
      </c>
      <c r="F423" s="92">
        <f>SUM('CA brut produits &amp; sites'!F458:F469)</f>
        <v>49462.420000000006</v>
      </c>
      <c r="G423" s="92">
        <f>SUM('CA brut produits &amp; sites'!G458:G469)</f>
        <v>14355.520000000002</v>
      </c>
      <c r="H423" s="92">
        <f>SUM('CA brut produits &amp; sites'!H458:H469)</f>
        <v>19441.840000000004</v>
      </c>
      <c r="I423" s="92">
        <f>SUM('CA brut produits &amp; sites'!I458:I469)</f>
        <v>13791.509999999998</v>
      </c>
      <c r="J423" s="92">
        <f>SUM('CA brut produits &amp; sites'!J458:J469)</f>
        <v>145651.9</v>
      </c>
      <c r="K423" s="92">
        <f>SUM('CA brut produits &amp; sites'!K458:K469)</f>
        <v>67061.080000000016</v>
      </c>
      <c r="L423" s="92">
        <f>SUM('CA brut produits &amp; sites'!L458:L469)</f>
        <v>14956.29</v>
      </c>
      <c r="M423" s="92">
        <f>SUM('CA brut produits &amp; sites'!M458:M469)</f>
        <v>2142.8199999999997</v>
      </c>
      <c r="N423" s="92">
        <f>SUM('CA brut produits &amp; sites'!N458:N469)</f>
        <v>0</v>
      </c>
      <c r="O423" s="92">
        <f>SUM('CA brut produits &amp; sites'!O458:O469)</f>
        <v>0</v>
      </c>
      <c r="P423" s="93">
        <f>SUM('CA brut produits &amp; sites'!P458:P469)</f>
        <v>0</v>
      </c>
    </row>
    <row r="424" spans="1:16" x14ac:dyDescent="0.3">
      <c r="A424" s="87">
        <v>42583</v>
      </c>
      <c r="B424" s="146"/>
      <c r="C424" s="92">
        <f t="shared" si="69"/>
        <v>713753.47000000009</v>
      </c>
      <c r="D424" s="92">
        <f>SUM('CA brut produits &amp; sites'!D459:D470)</f>
        <v>271488.02</v>
      </c>
      <c r="E424" s="92">
        <f>SUM('CA brut produits &amp; sites'!E459:E470)</f>
        <v>46259.839999999997</v>
      </c>
      <c r="F424" s="92">
        <f>SUM('CA brut produits &amp; sites'!F459:F470)</f>
        <v>49627.640000000007</v>
      </c>
      <c r="G424" s="92">
        <f>SUM('CA brut produits &amp; sites'!G459:G470)</f>
        <v>14282.570000000003</v>
      </c>
      <c r="H424" s="92">
        <f>SUM('CA brut produits &amp; sites'!H459:H470)</f>
        <v>19619.440000000002</v>
      </c>
      <c r="I424" s="92">
        <f>SUM('CA brut produits &amp; sites'!I459:I470)</f>
        <v>7695.7700000000023</v>
      </c>
      <c r="J424" s="92">
        <f>SUM('CA brut produits &amp; sites'!J459:J470)</f>
        <v>222677.3</v>
      </c>
      <c r="K424" s="92">
        <f>SUM('CA brut produits &amp; sites'!K459:K470)</f>
        <v>65168.570000000022</v>
      </c>
      <c r="L424" s="92">
        <f>SUM('CA brut produits &amp; sites'!L459:L470)</f>
        <v>14551.5</v>
      </c>
      <c r="M424" s="92">
        <f>SUM('CA brut produits &amp; sites'!M459:M470)</f>
        <v>2382.8200000000002</v>
      </c>
      <c r="N424" s="92">
        <f>SUM('CA brut produits &amp; sites'!N459:N470)</f>
        <v>0</v>
      </c>
      <c r="O424" s="92">
        <f>SUM('CA brut produits &amp; sites'!O459:O470)</f>
        <v>0</v>
      </c>
      <c r="P424" s="93">
        <f>SUM('CA brut produits &amp; sites'!P459:P470)</f>
        <v>0</v>
      </c>
    </row>
    <row r="425" spans="1:16" x14ac:dyDescent="0.3">
      <c r="A425" s="87">
        <v>42614</v>
      </c>
      <c r="B425" s="146"/>
      <c r="C425" s="92">
        <f t="shared" si="69"/>
        <v>729351.9600000002</v>
      </c>
      <c r="D425" s="92">
        <f>SUM('CA brut produits &amp; sites'!D460:D471)</f>
        <v>291587.57000000007</v>
      </c>
      <c r="E425" s="92">
        <f>SUM('CA brut produits &amp; sites'!E460:E471)</f>
        <v>43491.119999999995</v>
      </c>
      <c r="F425" s="92">
        <f>SUM('CA brut produits &amp; sites'!F460:F471)</f>
        <v>49032.140000000007</v>
      </c>
      <c r="G425" s="92">
        <f>SUM('CA brut produits &amp; sites'!G460:G471)</f>
        <v>13818.980000000003</v>
      </c>
      <c r="H425" s="92">
        <f>SUM('CA brut produits &amp; sites'!H460:H471)</f>
        <v>15033.69</v>
      </c>
      <c r="I425" s="92">
        <f>SUM('CA brut produits &amp; sites'!I460:I471)</f>
        <v>9351.2200000000012</v>
      </c>
      <c r="J425" s="92">
        <f>SUM('CA brut produits &amp; sites'!J460:J471)</f>
        <v>229137.15</v>
      </c>
      <c r="K425" s="92">
        <f>SUM('CA brut produits &amp; sites'!K460:K471)</f>
        <v>62888.880000000019</v>
      </c>
      <c r="L425" s="92">
        <f>SUM('CA brut produits &amp; sites'!L460:L471)</f>
        <v>12575.79</v>
      </c>
      <c r="M425" s="92">
        <f>SUM('CA brut produits &amp; sites'!M460:M471)</f>
        <v>2435.42</v>
      </c>
      <c r="N425" s="92">
        <f>SUM('CA brut produits &amp; sites'!N460:N471)</f>
        <v>0</v>
      </c>
      <c r="O425" s="92">
        <f>SUM('CA brut produits &amp; sites'!O460:O471)</f>
        <v>0</v>
      </c>
      <c r="P425" s="93">
        <f>SUM('CA brut produits &amp; sites'!P460:P471)</f>
        <v>0</v>
      </c>
    </row>
    <row r="426" spans="1:16" x14ac:dyDescent="0.3">
      <c r="A426" s="87">
        <v>42644</v>
      </c>
      <c r="B426" s="146"/>
      <c r="C426" s="92">
        <f t="shared" si="69"/>
        <v>749541.92</v>
      </c>
      <c r="D426" s="92">
        <f>SUM('CA brut produits &amp; sites'!D461:D472)</f>
        <v>303074.47000000009</v>
      </c>
      <c r="E426" s="92">
        <f>SUM('CA brut produits &amp; sites'!E461:E472)</f>
        <v>42263.18</v>
      </c>
      <c r="F426" s="92">
        <f>SUM('CA brut produits &amp; sites'!F461:F472)</f>
        <v>48986.05</v>
      </c>
      <c r="G426" s="92">
        <f>SUM('CA brut produits &amp; sites'!G461:G472)</f>
        <v>13749.080000000002</v>
      </c>
      <c r="H426" s="92">
        <f>SUM('CA brut produits &amp; sites'!H461:H472)</f>
        <v>15417.060000000001</v>
      </c>
      <c r="I426" s="92">
        <f>SUM('CA brut produits &amp; sites'!I461:I472)</f>
        <v>8649.1</v>
      </c>
      <c r="J426" s="92">
        <f>SUM('CA brut produits &amp; sites'!J461:J472)</f>
        <v>239622.05</v>
      </c>
      <c r="K426" s="92">
        <f>SUM('CA brut produits &amp; sites'!K461:K472)</f>
        <v>63809.440000000024</v>
      </c>
      <c r="L426" s="92">
        <f>SUM('CA brut produits &amp; sites'!L461:L472)</f>
        <v>11538.570000000002</v>
      </c>
      <c r="M426" s="92">
        <f>SUM('CA brut produits &amp; sites'!M461:M472)</f>
        <v>2432.92</v>
      </c>
      <c r="N426" s="92">
        <f>SUM('CA brut produits &amp; sites'!N461:N472)</f>
        <v>0</v>
      </c>
      <c r="O426" s="92">
        <f>SUM('CA brut produits &amp; sites'!O461:O472)</f>
        <v>0</v>
      </c>
      <c r="P426" s="93">
        <f>SUM('CA brut produits &amp; sites'!P461:P472)</f>
        <v>0</v>
      </c>
    </row>
    <row r="427" spans="1:16" x14ac:dyDescent="0.3">
      <c r="A427" s="87">
        <v>42675</v>
      </c>
      <c r="B427" s="146"/>
      <c r="C427" s="92">
        <f t="shared" si="69"/>
        <v>816340.02000000014</v>
      </c>
      <c r="D427" s="92">
        <f>SUM('CA brut produits &amp; sites'!D462:D473)</f>
        <v>357101.39000000007</v>
      </c>
      <c r="E427" s="92">
        <f>SUM('CA brut produits &amp; sites'!E462:E473)</f>
        <v>37894.980000000003</v>
      </c>
      <c r="F427" s="92">
        <f>SUM('CA brut produits &amp; sites'!F462:F473)</f>
        <v>51131.420000000006</v>
      </c>
      <c r="G427" s="92">
        <f>SUM('CA brut produits &amp; sites'!G462:G473)</f>
        <v>12206.760000000002</v>
      </c>
      <c r="H427" s="92">
        <f>SUM('CA brut produits &amp; sites'!H462:H473)</f>
        <v>17490.12</v>
      </c>
      <c r="I427" s="92">
        <f>SUM('CA brut produits &amp; sites'!I462:I473)</f>
        <v>8099.0800000000017</v>
      </c>
      <c r="J427" s="92">
        <f>SUM('CA brut produits &amp; sites'!J462:J473)</f>
        <v>258342.91</v>
      </c>
      <c r="K427" s="92">
        <f>SUM('CA brut produits &amp; sites'!K462:K473)</f>
        <v>60613.010000000009</v>
      </c>
      <c r="L427" s="92">
        <f>SUM('CA brut produits &amp; sites'!L462:L473)</f>
        <v>11093.430000000004</v>
      </c>
      <c r="M427" s="92">
        <f>SUM('CA brut produits &amp; sites'!M462:M473)</f>
        <v>2366.92</v>
      </c>
      <c r="N427" s="92">
        <f>SUM('CA brut produits &amp; sites'!N462:N473)</f>
        <v>0</v>
      </c>
      <c r="O427" s="92">
        <f>SUM('CA brut produits &amp; sites'!O462:O473)</f>
        <v>0</v>
      </c>
      <c r="P427" s="93">
        <f>SUM('CA brut produits &amp; sites'!P462:P473)</f>
        <v>0</v>
      </c>
    </row>
    <row r="428" spans="1:16" x14ac:dyDescent="0.3">
      <c r="A428" s="87">
        <v>42705</v>
      </c>
      <c r="B428" s="146"/>
      <c r="C428" s="92">
        <f t="shared" si="69"/>
        <v>830850.69000000018</v>
      </c>
      <c r="D428" s="92">
        <f>SUM('CA brut produits &amp; sites'!D463:D474)</f>
        <v>368742.72000000009</v>
      </c>
      <c r="E428" s="92">
        <f>SUM('CA brut produits &amp; sites'!E463:E474)</f>
        <v>40680.82</v>
      </c>
      <c r="F428" s="92">
        <f>SUM('CA brut produits &amp; sites'!F463:F474)</f>
        <v>48295.79</v>
      </c>
      <c r="G428" s="92">
        <f>SUM('CA brut produits &amp; sites'!G463:G474)</f>
        <v>12152.2</v>
      </c>
      <c r="H428" s="92">
        <f>SUM('CA brut produits &amp; sites'!H463:H474)</f>
        <v>16339.220000000003</v>
      </c>
      <c r="I428" s="92">
        <f>SUM('CA brut produits &amp; sites'!I463:I474)</f>
        <v>8024.2700000000013</v>
      </c>
      <c r="J428" s="92">
        <f>SUM('CA brut produits &amp; sites'!J463:J474)</f>
        <v>260565.50999999998</v>
      </c>
      <c r="K428" s="92">
        <f>SUM('CA brut produits &amp; sites'!K463:K474)</f>
        <v>62669.590000000011</v>
      </c>
      <c r="L428" s="92">
        <f>SUM('CA brut produits &amp; sites'!L463:L474)</f>
        <v>11019.800000000001</v>
      </c>
      <c r="M428" s="92">
        <f>SUM('CA brut produits &amp; sites'!M463:M474)</f>
        <v>2360.77</v>
      </c>
      <c r="N428" s="92">
        <f>SUM('CA brut produits &amp; sites'!N463:N474)</f>
        <v>0</v>
      </c>
      <c r="O428" s="92">
        <f>SUM('CA brut produits &amp; sites'!O463:O474)</f>
        <v>0</v>
      </c>
      <c r="P428" s="93">
        <f>SUM('CA brut produits &amp; sites'!P463:P474)</f>
        <v>0</v>
      </c>
    </row>
    <row r="429" spans="1:16" ht="14.7" customHeight="1" x14ac:dyDescent="0.3">
      <c r="A429" s="87">
        <v>42736</v>
      </c>
      <c r="B429" s="146"/>
      <c r="C429" s="92">
        <f t="shared" si="69"/>
        <v>829249.91000000015</v>
      </c>
      <c r="D429" s="92">
        <f>SUM('CA brut produits &amp; sites'!D464:D475)</f>
        <v>372647.38000000006</v>
      </c>
      <c r="E429" s="92">
        <f>SUM('CA brut produits &amp; sites'!E464:E475)</f>
        <v>38306.93</v>
      </c>
      <c r="F429" s="92">
        <f>SUM('CA brut produits &amp; sites'!F464:F475)</f>
        <v>47249.19</v>
      </c>
      <c r="G429" s="92">
        <f>SUM('CA brut produits &amp; sites'!G464:G475)</f>
        <v>12308.329999999998</v>
      </c>
      <c r="H429" s="92">
        <f>SUM('CA brut produits &amp; sites'!H464:H475)</f>
        <v>15158.520000000002</v>
      </c>
      <c r="I429" s="92">
        <f>SUM('CA brut produits &amp; sites'!I464:I475)</f>
        <v>7501.8300000000017</v>
      </c>
      <c r="J429" s="92">
        <f>SUM('CA brut produits &amp; sites'!J464:J475)</f>
        <v>266201.23</v>
      </c>
      <c r="K429" s="92">
        <f>SUM('CA brut produits &amp; sites'!K464:K475)</f>
        <v>62117.220000000008</v>
      </c>
      <c r="L429" s="92">
        <f>SUM('CA brut produits &amp; sites'!L464:L475)</f>
        <v>9389.56</v>
      </c>
      <c r="M429" s="92">
        <f>SUM('CA brut produits &amp; sites'!M464:M475)</f>
        <v>-1630.2799999999997</v>
      </c>
      <c r="N429" s="92">
        <f>SUM('CA brut produits &amp; sites'!N464:N475)</f>
        <v>0</v>
      </c>
      <c r="O429" s="92">
        <f>SUM('CA brut produits &amp; sites'!O464:O475)</f>
        <v>0</v>
      </c>
      <c r="P429" s="93">
        <f>SUM('CA brut produits &amp; sites'!P464:P475)</f>
        <v>0</v>
      </c>
    </row>
    <row r="430" spans="1:16" x14ac:dyDescent="0.3">
      <c r="A430" s="87">
        <v>42767</v>
      </c>
      <c r="B430" s="146"/>
      <c r="C430" s="92">
        <f t="shared" si="69"/>
        <v>858663.8</v>
      </c>
      <c r="D430" s="92">
        <f>SUM('CA brut produits &amp; sites'!D465:D476)</f>
        <v>365326.10000000003</v>
      </c>
      <c r="E430" s="92">
        <f>SUM('CA brut produits &amp; sites'!E465:E476)</f>
        <v>34988.71</v>
      </c>
      <c r="F430" s="92">
        <f>SUM('CA brut produits &amp; sites'!F465:F476)</f>
        <v>49839.72</v>
      </c>
      <c r="G430" s="92">
        <f>SUM('CA brut produits &amp; sites'!G465:G476)</f>
        <v>11856.13</v>
      </c>
      <c r="H430" s="92">
        <f>SUM('CA brut produits &amp; sites'!H465:H476)</f>
        <v>15632.810000000001</v>
      </c>
      <c r="I430" s="92">
        <f>SUM('CA brut produits &amp; sites'!I465:I476)</f>
        <v>5085.9500000000007</v>
      </c>
      <c r="J430" s="92">
        <f>SUM('CA brut produits &amp; sites'!J465:J476)</f>
        <v>308852.73</v>
      </c>
      <c r="K430" s="92">
        <f>SUM('CA brut produits &amp; sites'!K465:K476)</f>
        <v>59264.570000000007</v>
      </c>
      <c r="L430" s="92">
        <f>SUM('CA brut produits &amp; sites'!L465:L476)</f>
        <v>9503.409999999998</v>
      </c>
      <c r="M430" s="92">
        <f>SUM('CA brut produits &amp; sites'!M465:M476)</f>
        <v>-1686.3300000000002</v>
      </c>
      <c r="N430" s="92">
        <f>SUM('CA brut produits &amp; sites'!N465:N476)</f>
        <v>0</v>
      </c>
      <c r="O430" s="92">
        <f>SUM('CA brut produits &amp; sites'!O465:O476)</f>
        <v>0</v>
      </c>
      <c r="P430" s="93">
        <f>SUM('CA brut produits &amp; sites'!P465:P476)</f>
        <v>0</v>
      </c>
    </row>
    <row r="431" spans="1:16" x14ac:dyDescent="0.3">
      <c r="A431" s="87">
        <v>42795</v>
      </c>
      <c r="B431" s="146"/>
      <c r="C431" s="92">
        <f t="shared" si="69"/>
        <v>835774.93</v>
      </c>
      <c r="D431" s="92">
        <f>SUM('CA brut produits &amp; sites'!D466:D477)</f>
        <v>358244.62000000005</v>
      </c>
      <c r="E431" s="92">
        <f>SUM('CA brut produits &amp; sites'!E466:E477)</f>
        <v>31849.469999999994</v>
      </c>
      <c r="F431" s="92">
        <f>SUM('CA brut produits &amp; sites'!F466:F477)</f>
        <v>46515.62</v>
      </c>
      <c r="G431" s="92">
        <f>SUM('CA brut produits &amp; sites'!G466:G477)</f>
        <v>11060.64</v>
      </c>
      <c r="H431" s="92">
        <f>SUM('CA brut produits &amp; sites'!H466:H477)</f>
        <v>17848.91</v>
      </c>
      <c r="I431" s="92">
        <f>SUM('CA brut produits &amp; sites'!I466:I477)</f>
        <v>4696.59</v>
      </c>
      <c r="J431" s="92">
        <f>SUM('CA brut produits &amp; sites'!J466:J477)</f>
        <v>304410.33</v>
      </c>
      <c r="K431" s="92">
        <f>SUM('CA brut produits &amp; sites'!K466:K477)</f>
        <v>54746.01</v>
      </c>
      <c r="L431" s="92">
        <f>SUM('CA brut produits &amp; sites'!L466:L477)</f>
        <v>8109.2199999999993</v>
      </c>
      <c r="M431" s="92">
        <f>SUM('CA brut produits &amp; sites'!M466:M477)</f>
        <v>-1706.4800000000005</v>
      </c>
      <c r="N431" s="92">
        <f>SUM('CA brut produits &amp; sites'!N466:N477)</f>
        <v>0</v>
      </c>
      <c r="O431" s="92">
        <f>SUM('CA brut produits &amp; sites'!O466:O477)</f>
        <v>0</v>
      </c>
      <c r="P431" s="93">
        <f>SUM('CA brut produits &amp; sites'!P466:P477)</f>
        <v>0</v>
      </c>
    </row>
    <row r="432" spans="1:16" x14ac:dyDescent="0.3">
      <c r="A432" s="87">
        <v>42826</v>
      </c>
      <c r="B432" s="146"/>
      <c r="C432" s="92">
        <f t="shared" si="69"/>
        <v>830904.96</v>
      </c>
      <c r="D432" s="92">
        <f>SUM('CA brut produits &amp; sites'!D467:D478)</f>
        <v>349058.63000000006</v>
      </c>
      <c r="E432" s="92">
        <f>SUM('CA brut produits &amp; sites'!E467:E478)</f>
        <v>26936.14</v>
      </c>
      <c r="F432" s="92">
        <f>SUM('CA brut produits &amp; sites'!F467:F478)</f>
        <v>48306.04</v>
      </c>
      <c r="G432" s="92">
        <f>SUM('CA brut produits &amp; sites'!G467:G478)</f>
        <v>11005.89</v>
      </c>
      <c r="H432" s="92">
        <f>SUM('CA brut produits &amp; sites'!H467:H478)</f>
        <v>18594.939999999999</v>
      </c>
      <c r="I432" s="92">
        <f>SUM('CA brut produits &amp; sites'!I467:I478)</f>
        <v>5249.5500000000011</v>
      </c>
      <c r="J432" s="92">
        <f>SUM('CA brut produits &amp; sites'!J467:J478)</f>
        <v>310526.83999999997</v>
      </c>
      <c r="K432" s="92">
        <f>SUM('CA brut produits &amp; sites'!K467:K478)</f>
        <v>55516.95</v>
      </c>
      <c r="L432" s="92">
        <f>SUM('CA brut produits &amp; sites'!L467:L478)</f>
        <v>7235.66</v>
      </c>
      <c r="M432" s="92">
        <f>SUM('CA brut produits &amp; sites'!M467:M478)</f>
        <v>-1525.6800000000005</v>
      </c>
      <c r="N432" s="92">
        <f>SUM('CA brut produits &amp; sites'!N467:N478)</f>
        <v>0</v>
      </c>
      <c r="O432" s="92">
        <f>SUM('CA brut produits &amp; sites'!O467:O478)</f>
        <v>0</v>
      </c>
      <c r="P432" s="93">
        <f>SUM('CA brut produits &amp; sites'!P467:P478)</f>
        <v>0</v>
      </c>
    </row>
    <row r="433" spans="1:16" x14ac:dyDescent="0.3">
      <c r="A433" s="87">
        <v>42856</v>
      </c>
      <c r="B433" s="146"/>
      <c r="C433" s="92">
        <f t="shared" si="69"/>
        <v>820277.72000000009</v>
      </c>
      <c r="D433" s="92">
        <f>SUM('CA brut produits &amp; sites'!D468:D479)</f>
        <v>340349.53</v>
      </c>
      <c r="E433" s="92">
        <f>SUM('CA brut produits &amp; sites'!E468:E479)</f>
        <v>26890.77</v>
      </c>
      <c r="F433" s="92">
        <f>SUM('CA brut produits &amp; sites'!F468:F479)</f>
        <v>48502.45</v>
      </c>
      <c r="G433" s="92">
        <f>SUM('CA brut produits &amp; sites'!G468:G479)</f>
        <v>10863.32</v>
      </c>
      <c r="H433" s="92">
        <f>SUM('CA brut produits &amp; sites'!H468:H479)</f>
        <v>18303.82</v>
      </c>
      <c r="I433" s="92">
        <f>SUM('CA brut produits &amp; sites'!I468:I479)</f>
        <v>4265.24</v>
      </c>
      <c r="J433" s="92">
        <f>SUM('CA brut produits &amp; sites'!J468:J479)</f>
        <v>311881.63999999996</v>
      </c>
      <c r="K433" s="92">
        <f>SUM('CA brut produits &amp; sites'!K468:K479)</f>
        <v>53645.41</v>
      </c>
      <c r="L433" s="92">
        <f>SUM('CA brut produits &amp; sites'!L468:L479)</f>
        <v>7145.12</v>
      </c>
      <c r="M433" s="92">
        <f>SUM('CA brut produits &amp; sites'!M468:M479)</f>
        <v>-1569.5800000000004</v>
      </c>
      <c r="N433" s="92">
        <f>SUM('CA brut produits &amp; sites'!N468:N479)</f>
        <v>0</v>
      </c>
      <c r="O433" s="92">
        <f>SUM('CA brut produits &amp; sites'!O468:O479)</f>
        <v>0</v>
      </c>
      <c r="P433" s="93">
        <f>SUM('CA brut produits &amp; sites'!P468:P479)</f>
        <v>0</v>
      </c>
    </row>
    <row r="434" spans="1:16" x14ac:dyDescent="0.3">
      <c r="A434" s="87">
        <v>42887</v>
      </c>
      <c r="B434" s="146"/>
      <c r="C434" s="92">
        <f t="shared" si="69"/>
        <v>823049.44999999984</v>
      </c>
      <c r="D434" s="92">
        <f>SUM('CA brut produits &amp; sites'!D469:D480)</f>
        <v>328264.79000000004</v>
      </c>
      <c r="E434" s="92">
        <f>SUM('CA brut produits &amp; sites'!E469:E480)</f>
        <v>23528.68</v>
      </c>
      <c r="F434" s="92">
        <f>SUM('CA brut produits &amp; sites'!F469:F480)</f>
        <v>51407.03</v>
      </c>
      <c r="G434" s="92">
        <f>SUM('CA brut produits &amp; sites'!G469:G480)</f>
        <v>12228.1</v>
      </c>
      <c r="H434" s="92">
        <f>SUM('CA brut produits &amp; sites'!H469:H480)</f>
        <v>17473.95</v>
      </c>
      <c r="I434" s="92">
        <f>SUM('CA brut produits &amp; sites'!I469:I480)</f>
        <v>3636.7099999999996</v>
      </c>
      <c r="J434" s="92">
        <f>SUM('CA brut produits &amp; sites'!J469:J480)</f>
        <v>322090.13999999996</v>
      </c>
      <c r="K434" s="92">
        <f>SUM('CA brut produits &amp; sites'!K469:K480)</f>
        <v>59001.08</v>
      </c>
      <c r="L434" s="92">
        <f>SUM('CA brut produits &amp; sites'!L469:L480)</f>
        <v>7011.9999999999991</v>
      </c>
      <c r="M434" s="92">
        <f>SUM('CA brut produits &amp; sites'!M469:M480)</f>
        <v>-1593.0300000000002</v>
      </c>
      <c r="N434" s="92">
        <f>SUM('CA brut produits &amp; sites'!N469:N480)</f>
        <v>0</v>
      </c>
      <c r="O434" s="92">
        <f>SUM('CA brut produits &amp; sites'!O469:O480)</f>
        <v>0</v>
      </c>
      <c r="P434" s="93">
        <f>SUM('CA brut produits &amp; sites'!P469:P480)</f>
        <v>0</v>
      </c>
    </row>
    <row r="435" spans="1:16" x14ac:dyDescent="0.3">
      <c r="A435" s="87">
        <v>42917</v>
      </c>
      <c r="B435" s="146"/>
      <c r="C435" s="92">
        <f t="shared" si="69"/>
        <v>812098.59000000008</v>
      </c>
      <c r="D435" s="92">
        <f>SUM('CA brut produits &amp; sites'!D470:D481)</f>
        <v>337267.06999999995</v>
      </c>
      <c r="E435" s="92">
        <f>SUM('CA brut produits &amp; sites'!E470:E481)</f>
        <v>23326.850000000002</v>
      </c>
      <c r="F435" s="92">
        <f>SUM('CA brut produits &amp; sites'!F470:F481)</f>
        <v>55769.95</v>
      </c>
      <c r="G435" s="92">
        <f>SUM('CA brut produits &amp; sites'!G470:G481)</f>
        <v>13021.120000000003</v>
      </c>
      <c r="H435" s="92">
        <f>SUM('CA brut produits &amp; sites'!H470:H481)</f>
        <v>17384.219999999998</v>
      </c>
      <c r="I435" s="92">
        <f>SUM('CA brut produits &amp; sites'!I470:I481)</f>
        <v>3709.3999999999992</v>
      </c>
      <c r="J435" s="92">
        <f>SUM('CA brut produits &amp; sites'!J470:J481)</f>
        <v>296568.64</v>
      </c>
      <c r="K435" s="92">
        <f>SUM('CA brut produits &amp; sites'!K470:K481)</f>
        <v>60060.279999999992</v>
      </c>
      <c r="L435" s="92">
        <f>SUM('CA brut produits &amp; sites'!L470:L481)</f>
        <v>7643.01</v>
      </c>
      <c r="M435" s="92">
        <f>SUM('CA brut produits &amp; sites'!M470:M481)</f>
        <v>-2651.9500000000003</v>
      </c>
      <c r="N435" s="92">
        <f>SUM('CA brut produits &amp; sites'!N470:N481)</f>
        <v>0</v>
      </c>
      <c r="O435" s="92">
        <f>SUM('CA brut produits &amp; sites'!O470:O481)</f>
        <v>0</v>
      </c>
      <c r="P435" s="93">
        <f>SUM('CA brut produits &amp; sites'!P470:P481)</f>
        <v>0</v>
      </c>
    </row>
    <row r="436" spans="1:16" x14ac:dyDescent="0.3">
      <c r="A436" s="87">
        <v>42948</v>
      </c>
      <c r="B436" s="146"/>
      <c r="C436" s="92">
        <f t="shared" si="69"/>
        <v>745639.34</v>
      </c>
      <c r="D436" s="92">
        <f>SUM('CA brut produits &amp; sites'!D471:D482)</f>
        <v>335786.79</v>
      </c>
      <c r="E436" s="92">
        <f>SUM('CA brut produits &amp; sites'!E471:E482)</f>
        <v>23882.400000000001</v>
      </c>
      <c r="F436" s="92">
        <f>SUM('CA brut produits &amp; sites'!F471:F482)</f>
        <v>57491.179999999993</v>
      </c>
      <c r="G436" s="92">
        <f>SUM('CA brut produits &amp; sites'!G471:G482)</f>
        <v>12904.11</v>
      </c>
      <c r="H436" s="92">
        <f>SUM('CA brut produits &amp; sites'!H471:H482)</f>
        <v>18036.27</v>
      </c>
      <c r="I436" s="92">
        <f>SUM('CA brut produits &amp; sites'!I471:I482)</f>
        <v>4491.9799999999996</v>
      </c>
      <c r="J436" s="92">
        <f>SUM('CA brut produits &amp; sites'!J471:J482)</f>
        <v>227474.74000000002</v>
      </c>
      <c r="K436" s="92">
        <f>SUM('CA brut produits &amp; sites'!K471:K482)</f>
        <v>59916.37999999999</v>
      </c>
      <c r="L436" s="92">
        <f>SUM('CA brut produits &amp; sites'!L471:L482)</f>
        <v>8513.7899999999991</v>
      </c>
      <c r="M436" s="92">
        <f>SUM('CA brut produits &amp; sites'!M471:M482)</f>
        <v>-2858.3</v>
      </c>
      <c r="N436" s="92">
        <f>SUM('CA brut produits &amp; sites'!N471:N482)</f>
        <v>0</v>
      </c>
      <c r="O436" s="92">
        <f>SUM('CA brut produits &amp; sites'!O471:O482)</f>
        <v>0</v>
      </c>
      <c r="P436" s="93">
        <f>SUM('CA brut produits &amp; sites'!P471:P482)</f>
        <v>0</v>
      </c>
    </row>
    <row r="437" spans="1:16" x14ac:dyDescent="0.3">
      <c r="A437" s="87">
        <v>42979</v>
      </c>
      <c r="B437" s="146"/>
      <c r="C437" s="92">
        <f t="shared" si="69"/>
        <v>737079.43</v>
      </c>
      <c r="D437" s="92">
        <f>SUM('CA brut produits &amp; sites'!D472:D483)</f>
        <v>322938.33999999997</v>
      </c>
      <c r="E437" s="92">
        <f>SUM('CA brut produits &amp; sites'!E472:E483)</f>
        <v>26075.160000000003</v>
      </c>
      <c r="F437" s="92">
        <f>SUM('CA brut produits &amp; sites'!F472:F483)</f>
        <v>58080.409999999989</v>
      </c>
      <c r="G437" s="92">
        <f>SUM('CA brut produits &amp; sites'!G472:G483)</f>
        <v>13418.27</v>
      </c>
      <c r="H437" s="92">
        <f>SUM('CA brut produits &amp; sites'!H472:H483)</f>
        <v>18262.910000000003</v>
      </c>
      <c r="I437" s="92">
        <f>SUM('CA brut produits &amp; sites'!I472:I483)</f>
        <v>2350.2700000000004</v>
      </c>
      <c r="J437" s="92">
        <f>SUM('CA brut produits &amp; sites'!J472:J483)</f>
        <v>227065.94000000003</v>
      </c>
      <c r="K437" s="92">
        <f>SUM('CA brut produits &amp; sites'!K472:K483)</f>
        <v>62575.96</v>
      </c>
      <c r="L437" s="92">
        <f>SUM('CA brut produits &amp; sites'!L472:L483)</f>
        <v>9261.77</v>
      </c>
      <c r="M437" s="92">
        <f>SUM('CA brut produits &amp; sites'!M472:M483)</f>
        <v>-2949.6</v>
      </c>
      <c r="N437" s="92">
        <f>SUM('CA brut produits &amp; sites'!N472:N483)</f>
        <v>0</v>
      </c>
      <c r="O437" s="92">
        <f>SUM('CA brut produits &amp; sites'!O472:O483)</f>
        <v>0</v>
      </c>
      <c r="P437" s="93">
        <f>SUM('CA brut produits &amp; sites'!P472:P483)</f>
        <v>0</v>
      </c>
    </row>
    <row r="438" spans="1:16" x14ac:dyDescent="0.3">
      <c r="A438" s="87">
        <v>43009</v>
      </c>
      <c r="B438" s="146"/>
      <c r="C438" s="92">
        <f t="shared" si="69"/>
        <v>761541.32000000007</v>
      </c>
      <c r="D438" s="92">
        <f>SUM('CA brut produits &amp; sites'!D473:D484)</f>
        <v>323248.94</v>
      </c>
      <c r="E438" s="92">
        <f>SUM('CA brut produits &amp; sites'!E473:E484)</f>
        <v>25997.09</v>
      </c>
      <c r="F438" s="92">
        <f>SUM('CA brut produits &amp; sites'!F473:F484)</f>
        <v>58650.529999999992</v>
      </c>
      <c r="G438" s="92">
        <f>SUM('CA brut produits &amp; sites'!G473:G484)</f>
        <v>14018.58</v>
      </c>
      <c r="H438" s="92">
        <f>SUM('CA brut produits &amp; sites'!H473:H484)</f>
        <v>17512.95</v>
      </c>
      <c r="I438" s="92">
        <f>SUM('CA brut produits &amp; sites'!I473:I484)</f>
        <v>2343.5300000000002</v>
      </c>
      <c r="J438" s="92">
        <f>SUM('CA brut produits &amp; sites'!J473:J484)</f>
        <v>249512.53999999998</v>
      </c>
      <c r="K438" s="92">
        <f>SUM('CA brut produits &amp; sites'!K473:K484)</f>
        <v>62867.630000000005</v>
      </c>
      <c r="L438" s="92">
        <f>SUM('CA brut produits &amp; sites'!L473:L484)</f>
        <v>10258.879999999999</v>
      </c>
      <c r="M438" s="92">
        <f>SUM('CA brut produits &amp; sites'!M473:M484)</f>
        <v>-2869.3500000000004</v>
      </c>
      <c r="N438" s="92">
        <f>SUM('CA brut produits &amp; sites'!N473:N484)</f>
        <v>0</v>
      </c>
      <c r="O438" s="92">
        <f>SUM('CA brut produits &amp; sites'!O473:O484)</f>
        <v>0</v>
      </c>
      <c r="P438" s="93">
        <f>SUM('CA brut produits &amp; sites'!P473:P484)</f>
        <v>0</v>
      </c>
    </row>
    <row r="439" spans="1:16" x14ac:dyDescent="0.3">
      <c r="A439" s="87">
        <v>43040</v>
      </c>
      <c r="B439" s="146"/>
      <c r="C439" s="92">
        <f t="shared" si="69"/>
        <v>819748.34000000008</v>
      </c>
      <c r="D439" s="92">
        <f>SUM('CA brut produits &amp; sites'!D474:D485)</f>
        <v>265305.5</v>
      </c>
      <c r="E439" s="92">
        <f>SUM('CA brut produits &amp; sites'!E474:E485)</f>
        <v>23883.34</v>
      </c>
      <c r="F439" s="92">
        <f>SUM('CA brut produits &amp; sites'!F474:F485)</f>
        <v>58028.02</v>
      </c>
      <c r="G439" s="92">
        <f>SUM('CA brut produits &amp; sites'!G474:G485)</f>
        <v>16269.3</v>
      </c>
      <c r="H439" s="92">
        <f>SUM('CA brut produits &amp; sites'!H474:H485)</f>
        <v>15095.949999999999</v>
      </c>
      <c r="I439" s="92">
        <f>SUM('CA brut produits &amp; sites'!I474:I485)</f>
        <v>2593.7599999999998</v>
      </c>
      <c r="J439" s="92">
        <f>SUM('CA brut produits &amp; sites'!J474:J485)</f>
        <v>367188.38</v>
      </c>
      <c r="K439" s="92">
        <f>SUM('CA brut produits &amp; sites'!K474:K485)</f>
        <v>62675.770000000004</v>
      </c>
      <c r="L439" s="92">
        <f>SUM('CA brut produits &amp; sites'!L474:L485)</f>
        <v>11594.92</v>
      </c>
      <c r="M439" s="92">
        <f>SUM('CA brut produits &amp; sites'!M474:M485)</f>
        <v>-2886.6</v>
      </c>
      <c r="N439" s="92">
        <f>SUM('CA brut produits &amp; sites'!N474:N485)</f>
        <v>0</v>
      </c>
      <c r="O439" s="92">
        <f>SUM('CA brut produits &amp; sites'!O474:O485)</f>
        <v>0</v>
      </c>
      <c r="P439" s="93">
        <f>SUM('CA brut produits &amp; sites'!P474:P485)</f>
        <v>0</v>
      </c>
    </row>
    <row r="440" spans="1:16" ht="16.95" customHeight="1" x14ac:dyDescent="0.3">
      <c r="A440" s="87">
        <v>43070</v>
      </c>
      <c r="B440" s="146"/>
      <c r="C440" s="92">
        <f t="shared" si="69"/>
        <v>805144.61</v>
      </c>
      <c r="D440" s="92">
        <f>SUM('CA brut produits &amp; sites'!D475:D486)</f>
        <v>261850.41999999998</v>
      </c>
      <c r="E440" s="92">
        <f>SUM('CA brut produits &amp; sites'!E475:E486)</f>
        <v>20047.980000000003</v>
      </c>
      <c r="F440" s="92">
        <f>SUM('CA brut produits &amp; sites'!F475:F486)</f>
        <v>60327.180000000008</v>
      </c>
      <c r="G440" s="92">
        <f>SUM('CA brut produits &amp; sites'!G475:G486)</f>
        <v>16934.239999999998</v>
      </c>
      <c r="H440" s="92">
        <f>SUM('CA brut produits &amp; sites'!H475:H486)</f>
        <v>17215.77</v>
      </c>
      <c r="I440" s="92">
        <f>SUM('CA brut produits &amp; sites'!I475:I486)</f>
        <v>2742.4999999999995</v>
      </c>
      <c r="J440" s="92">
        <f>SUM('CA brut produits &amp; sites'!J475:J486)</f>
        <v>353402.93</v>
      </c>
      <c r="K440" s="92">
        <f>SUM('CA brut produits &amp; sites'!K475:K486)</f>
        <v>61727.360000000008</v>
      </c>
      <c r="L440" s="92">
        <f>SUM('CA brut produits &amp; sites'!L475:L486)</f>
        <v>13873.080000000002</v>
      </c>
      <c r="M440" s="92">
        <f>SUM('CA brut produits &amp; sites'!M475:M486)</f>
        <v>-2976.85</v>
      </c>
      <c r="N440" s="92">
        <f>SUM('CA brut produits &amp; sites'!N475:N486)</f>
        <v>0</v>
      </c>
      <c r="O440" s="92">
        <f>SUM('CA brut produits &amp; sites'!O475:O486)</f>
        <v>0</v>
      </c>
      <c r="P440" s="93">
        <f>SUM('CA brut produits &amp; sites'!P475:P486)</f>
        <v>0</v>
      </c>
    </row>
    <row r="441" spans="1:16" x14ac:dyDescent="0.3">
      <c r="A441" s="87">
        <v>43101</v>
      </c>
      <c r="B441" s="146"/>
      <c r="C441" s="92">
        <f t="shared" ref="C441:C468" si="70">SUM(D441:P441)</f>
        <v>807342.77</v>
      </c>
      <c r="D441" s="92">
        <f>SUM('CA brut produits &amp; sites'!D476:D487)</f>
        <v>256490.56</v>
      </c>
      <c r="E441" s="92">
        <f>SUM('CA brut produits &amp; sites'!E476:E487)</f>
        <v>22183.08</v>
      </c>
      <c r="F441" s="92">
        <f>SUM('CA brut produits &amp; sites'!F476:F487)</f>
        <v>58449.460000000006</v>
      </c>
      <c r="G441" s="92">
        <f>SUM('CA brut produits &amp; sites'!G476:G487)</f>
        <v>17186.46</v>
      </c>
      <c r="H441" s="92">
        <f>SUM('CA brut produits &amp; sites'!H476:H487)</f>
        <v>17175.150000000001</v>
      </c>
      <c r="I441" s="92">
        <f>SUM('CA brut produits &amp; sites'!I476:I487)</f>
        <v>3112.66</v>
      </c>
      <c r="J441" s="92">
        <f>SUM('CA brut produits &amp; sites'!J476:J487)</f>
        <v>350522.61</v>
      </c>
      <c r="K441" s="92">
        <f>SUM('CA brut produits &amp; sites'!K476:K487)</f>
        <v>63242.73</v>
      </c>
      <c r="L441" s="92">
        <f>SUM('CA brut produits &amp; sites'!L476:L487)</f>
        <v>17386.41</v>
      </c>
      <c r="M441" s="92">
        <f>SUM('CA brut produits &amp; sites'!M476:M487)</f>
        <v>1038.6499999999999</v>
      </c>
      <c r="N441" s="92">
        <f>SUM('CA brut produits &amp; sites'!N476:N487)</f>
        <v>0</v>
      </c>
      <c r="O441" s="92">
        <f>SUM('CA brut produits &amp; sites'!O476:O487)</f>
        <v>0</v>
      </c>
      <c r="P441" s="93">
        <f>SUM('CA brut produits &amp; sites'!P476:P487)</f>
        <v>555</v>
      </c>
    </row>
    <row r="442" spans="1:16" ht="14.7" customHeight="1" x14ac:dyDescent="0.3">
      <c r="A442" s="87">
        <v>43132</v>
      </c>
      <c r="B442" s="146"/>
      <c r="C442" s="92">
        <f t="shared" si="70"/>
        <v>775768.01</v>
      </c>
      <c r="D442" s="92">
        <f>SUM('CA brut produits &amp; sites'!D477:D488)</f>
        <v>268191.46999999997</v>
      </c>
      <c r="E442" s="92">
        <f>SUM('CA brut produits &amp; sites'!E477:E488)</f>
        <v>22693.710000000003</v>
      </c>
      <c r="F442" s="92">
        <f>SUM('CA brut produits &amp; sites'!F477:F488)</f>
        <v>55517.98000000001</v>
      </c>
      <c r="G442" s="92">
        <f>SUM('CA brut produits &amp; sites'!G477:G488)</f>
        <v>17626.309999999998</v>
      </c>
      <c r="H442" s="92">
        <f>SUM('CA brut produits &amp; sites'!H477:H488)</f>
        <v>17818.66</v>
      </c>
      <c r="I442" s="92">
        <f>SUM('CA brut produits &amp; sites'!I477:I488)</f>
        <v>3089.09</v>
      </c>
      <c r="J442" s="92">
        <f>SUM('CA brut produits &amp; sites'!J477:J488)</f>
        <v>302707.40999999997</v>
      </c>
      <c r="K442" s="92">
        <f>SUM('CA brut produits &amp; sites'!K477:K488)</f>
        <v>65700.260000000009</v>
      </c>
      <c r="L442" s="92">
        <f>SUM('CA brut produits &amp; sites'!L477:L488)</f>
        <v>20848.519999999997</v>
      </c>
      <c r="M442" s="92">
        <f>SUM('CA brut produits &amp; sites'!M477:M488)</f>
        <v>937.09999999999991</v>
      </c>
      <c r="N442" s="92">
        <f>SUM('CA brut produits &amp; sites'!N477:N488)</f>
        <v>0</v>
      </c>
      <c r="O442" s="92">
        <f>SUM('CA brut produits &amp; sites'!O477:O488)</f>
        <v>0</v>
      </c>
      <c r="P442" s="93">
        <f>SUM('CA brut produits &amp; sites'!P477:P488)</f>
        <v>637.5</v>
      </c>
    </row>
    <row r="443" spans="1:16" x14ac:dyDescent="0.3">
      <c r="A443" s="87">
        <v>43160</v>
      </c>
      <c r="B443" s="146"/>
      <c r="C443" s="92">
        <f t="shared" si="70"/>
        <v>839300.21</v>
      </c>
      <c r="D443" s="92">
        <f>SUM('CA brut produits &amp; sites'!D478:D489)</f>
        <v>263686.25</v>
      </c>
      <c r="E443" s="92">
        <f>SUM('CA brut produits &amp; sites'!E478:E489)</f>
        <v>30445.81</v>
      </c>
      <c r="F443" s="92">
        <f>SUM('CA brut produits &amp; sites'!F478:F489)</f>
        <v>56012.460000000006</v>
      </c>
      <c r="G443" s="92">
        <f>SUM('CA brut produits &amp; sites'!G478:G489)</f>
        <v>18166.990000000002</v>
      </c>
      <c r="H443" s="92">
        <f>SUM('CA brut produits &amp; sites'!H478:H489)</f>
        <v>18894.539999999997</v>
      </c>
      <c r="I443" s="92">
        <f>SUM('CA brut produits &amp; sites'!I478:I489)</f>
        <v>3415.7</v>
      </c>
      <c r="J443" s="92">
        <f>SUM('CA brut produits &amp; sites'!J478:J489)</f>
        <v>356450.21</v>
      </c>
      <c r="K443" s="92">
        <f>SUM('CA brut produits &amp; sites'!K478:K489)</f>
        <v>66200.37</v>
      </c>
      <c r="L443" s="92">
        <f>SUM('CA brut produits &amp; sites'!L478:L489)</f>
        <v>24250.730000000003</v>
      </c>
      <c r="M443" s="92">
        <f>SUM('CA brut produits &amp; sites'!M478:M489)</f>
        <v>914.65</v>
      </c>
      <c r="N443" s="92">
        <f>SUM('CA brut produits &amp; sites'!N478:N489)</f>
        <v>0</v>
      </c>
      <c r="O443" s="92">
        <f>SUM('CA brut produits &amp; sites'!O478:O489)</f>
        <v>0</v>
      </c>
      <c r="P443" s="93">
        <f>SUM('CA brut produits &amp; sites'!P478:P489)</f>
        <v>862.5</v>
      </c>
    </row>
    <row r="444" spans="1:16" x14ac:dyDescent="0.3">
      <c r="A444" s="87">
        <v>43191</v>
      </c>
      <c r="B444" s="146"/>
      <c r="C444" s="92">
        <f t="shared" si="70"/>
        <v>841549.58</v>
      </c>
      <c r="D444" s="92">
        <f>SUM('CA brut produits &amp; sites'!D479:D490)</f>
        <v>271487.52</v>
      </c>
      <c r="E444" s="92">
        <f>SUM('CA brut produits &amp; sites'!E479:E490)</f>
        <v>30009.730000000003</v>
      </c>
      <c r="F444" s="92">
        <f>SUM('CA brut produits &amp; sites'!F479:F490)</f>
        <v>59908.970000000016</v>
      </c>
      <c r="G444" s="92">
        <f>SUM('CA brut produits &amp; sites'!G479:G490)</f>
        <v>18831.68</v>
      </c>
      <c r="H444" s="92">
        <f>SUM('CA brut produits &amp; sites'!H479:H490)</f>
        <v>19501.91</v>
      </c>
      <c r="I444" s="92">
        <f>SUM('CA brut produits &amp; sites'!I479:I490)</f>
        <v>2840.9700000000003</v>
      </c>
      <c r="J444" s="92">
        <f>SUM('CA brut produits &amp; sites'!J479:J490)</f>
        <v>341970.2</v>
      </c>
      <c r="K444" s="92">
        <f>SUM('CA brut produits &amp; sites'!K479:K490)</f>
        <v>66688.11</v>
      </c>
      <c r="L444" s="92">
        <f>SUM('CA brut produits &amp; sites'!L479:L490)</f>
        <v>28149.489999999998</v>
      </c>
      <c r="M444" s="92">
        <f>SUM('CA brut produits &amp; sites'!M479:M490)</f>
        <v>968.5</v>
      </c>
      <c r="N444" s="92">
        <f>SUM('CA brut produits &amp; sites'!N479:N490)</f>
        <v>0</v>
      </c>
      <c r="O444" s="92">
        <f>SUM('CA brut produits &amp; sites'!O479:O490)</f>
        <v>0</v>
      </c>
      <c r="P444" s="93">
        <f>SUM('CA brut produits &amp; sites'!P479:P490)</f>
        <v>1192.5</v>
      </c>
    </row>
    <row r="445" spans="1:16" x14ac:dyDescent="0.3">
      <c r="A445" s="87">
        <v>43221</v>
      </c>
      <c r="B445" s="146"/>
      <c r="C445" s="92">
        <f t="shared" si="70"/>
        <v>843663.75999999989</v>
      </c>
      <c r="D445" s="92">
        <f>SUM('CA brut produits &amp; sites'!D480:D491)</f>
        <v>270497.02999999997</v>
      </c>
      <c r="E445" s="92">
        <f>SUM('CA brut produits &amp; sites'!E480:E491)</f>
        <v>29017.260000000002</v>
      </c>
      <c r="F445" s="92">
        <f>SUM('CA brut produits &amp; sites'!F480:F491)</f>
        <v>60841.170000000013</v>
      </c>
      <c r="G445" s="92">
        <f>SUM('CA brut produits &amp; sites'!G480:G491)</f>
        <v>18911.310000000001</v>
      </c>
      <c r="H445" s="92">
        <f>SUM('CA brut produits &amp; sites'!H480:H491)</f>
        <v>18471.809999999998</v>
      </c>
      <c r="I445" s="92">
        <f>SUM('CA brut produits &amp; sites'!I480:I491)</f>
        <v>2867.6100000000006</v>
      </c>
      <c r="J445" s="92">
        <f>SUM('CA brut produits &amp; sites'!J480:J491)</f>
        <v>342499</v>
      </c>
      <c r="K445" s="92">
        <f>SUM('CA brut produits &amp; sites'!K480:K491)</f>
        <v>67289.37</v>
      </c>
      <c r="L445" s="92">
        <f>SUM('CA brut produits &amp; sites'!L480:L491)</f>
        <v>30025.5</v>
      </c>
      <c r="M445" s="92">
        <f>SUM('CA brut produits &amp; sites'!M480:M491)</f>
        <v>491.20000000000005</v>
      </c>
      <c r="N445" s="92">
        <f>SUM('CA brut produits &amp; sites'!N480:N491)</f>
        <v>0</v>
      </c>
      <c r="O445" s="92">
        <f>SUM('CA brut produits &amp; sites'!O480:O491)</f>
        <v>0</v>
      </c>
      <c r="P445" s="93">
        <f>SUM('CA brut produits &amp; sites'!P480:P491)</f>
        <v>2752.5</v>
      </c>
    </row>
    <row r="446" spans="1:16" x14ac:dyDescent="0.3">
      <c r="A446" s="87">
        <v>43252</v>
      </c>
      <c r="B446" s="146"/>
      <c r="C446" s="92">
        <f t="shared" si="70"/>
        <v>850756.94000000006</v>
      </c>
      <c r="D446" s="92">
        <f>SUM('CA brut produits &amp; sites'!D481:D492)</f>
        <v>276696.06</v>
      </c>
      <c r="E446" s="92">
        <f>SUM('CA brut produits &amp; sites'!E481:E492)</f>
        <v>28674.84</v>
      </c>
      <c r="F446" s="92">
        <f>SUM('CA brut produits &amp; sites'!F481:F492)</f>
        <v>62879.369999999995</v>
      </c>
      <c r="G446" s="92">
        <f>SUM('CA brut produits &amp; sites'!G481:G492)</f>
        <v>18174.600000000002</v>
      </c>
      <c r="H446" s="92">
        <f>SUM('CA brut produits &amp; sites'!H481:H492)</f>
        <v>18729.329999999998</v>
      </c>
      <c r="I446" s="92">
        <f>SUM('CA brut produits &amp; sites'!I481:I492)</f>
        <v>2727.13</v>
      </c>
      <c r="J446" s="92">
        <f>SUM('CA brut produits &amp; sites'!J481:J492)</f>
        <v>344193.15</v>
      </c>
      <c r="K446" s="92">
        <f>SUM('CA brut produits &amp; sites'!K481:K492)</f>
        <v>59578.879999999997</v>
      </c>
      <c r="L446" s="92">
        <f>SUM('CA brut produits &amp; sites'!L481:L492)</f>
        <v>34079.78</v>
      </c>
      <c r="M446" s="92">
        <f>SUM('CA brut produits &amp; sites'!M481:M492)</f>
        <v>566.29999999999995</v>
      </c>
      <c r="N446" s="92">
        <f>SUM('CA brut produits &amp; sites'!N481:N492)</f>
        <v>1295</v>
      </c>
      <c r="O446" s="92">
        <f>SUM('CA brut produits &amp; sites'!O481:O492)</f>
        <v>0</v>
      </c>
      <c r="P446" s="93">
        <f>SUM('CA brut produits &amp; sites'!P481:P492)</f>
        <v>3162.5</v>
      </c>
    </row>
    <row r="447" spans="1:16" x14ac:dyDescent="0.3">
      <c r="A447" s="87">
        <v>43282</v>
      </c>
      <c r="B447" s="146"/>
      <c r="C447" s="92">
        <f t="shared" si="70"/>
        <v>870089.13000000012</v>
      </c>
      <c r="D447" s="92">
        <f>SUM('CA brut produits &amp; sites'!D482:D493)</f>
        <v>279960.67000000004</v>
      </c>
      <c r="E447" s="92">
        <f>SUM('CA brut produits &amp; sites'!E482:E493)</f>
        <v>28738.81</v>
      </c>
      <c r="F447" s="92">
        <f>SUM('CA brut produits &amp; sites'!F482:F493)</f>
        <v>63873.669999999991</v>
      </c>
      <c r="G447" s="92">
        <f>SUM('CA brut produits &amp; sites'!G482:G493)</f>
        <v>18747.21</v>
      </c>
      <c r="H447" s="92">
        <f>SUM('CA brut produits &amp; sites'!H482:H493)</f>
        <v>18934.63</v>
      </c>
      <c r="I447" s="92">
        <f>SUM('CA brut produits &amp; sites'!I482:I493)</f>
        <v>2640.9700000000003</v>
      </c>
      <c r="J447" s="92">
        <f>SUM('CA brut produits &amp; sites'!J482:J493)</f>
        <v>358128.65</v>
      </c>
      <c r="K447" s="92">
        <f>SUM('CA brut produits &amp; sites'!K482:K493)</f>
        <v>58684.87</v>
      </c>
      <c r="L447" s="92">
        <f>SUM('CA brut produits &amp; sites'!L482:L493)</f>
        <v>35205.85</v>
      </c>
      <c r="M447" s="92">
        <f>SUM('CA brut produits &amp; sites'!M482:M493)</f>
        <v>626.29999999999995</v>
      </c>
      <c r="N447" s="92">
        <f>SUM('CA brut produits &amp; sites'!N482:N493)</f>
        <v>1295</v>
      </c>
      <c r="O447" s="92">
        <f>SUM('CA brut produits &amp; sites'!O482:O493)</f>
        <v>0</v>
      </c>
      <c r="P447" s="93">
        <f>SUM('CA brut produits &amp; sites'!P482:P493)</f>
        <v>3252.5</v>
      </c>
    </row>
    <row r="448" spans="1:16" x14ac:dyDescent="0.3">
      <c r="A448" s="87">
        <v>43313</v>
      </c>
      <c r="B448" s="146"/>
      <c r="C448" s="92">
        <f t="shared" si="70"/>
        <v>869220.05</v>
      </c>
      <c r="D448" s="92">
        <f>SUM('CA brut produits &amp; sites'!D483:D494)</f>
        <v>276070.50000000006</v>
      </c>
      <c r="E448" s="92">
        <f>SUM('CA brut produits &amp; sites'!E483:E494)</f>
        <v>28495.119999999999</v>
      </c>
      <c r="F448" s="92">
        <f>SUM('CA brut produits &amp; sites'!F483:F494)</f>
        <v>66113.539999999994</v>
      </c>
      <c r="G448" s="92">
        <f>SUM('CA brut produits &amp; sites'!G483:G494)</f>
        <v>18602.46</v>
      </c>
      <c r="H448" s="92">
        <f>SUM('CA brut produits &amp; sites'!H483:H494)</f>
        <v>18044.98</v>
      </c>
      <c r="I448" s="92">
        <f>SUM('CA brut produits &amp; sites'!I483:I494)</f>
        <v>1685.7499999999998</v>
      </c>
      <c r="J448" s="92">
        <f>SUM('CA brut produits &amp; sites'!J483:J494)</f>
        <v>359525.65</v>
      </c>
      <c r="K448" s="92">
        <f>SUM('CA brut produits &amp; sites'!K483:K494)</f>
        <v>59137.48000000001</v>
      </c>
      <c r="L448" s="92">
        <f>SUM('CA brut produits &amp; sites'!L483:L494)</f>
        <v>36115.67</v>
      </c>
      <c r="M448" s="92">
        <f>SUM('CA brut produits &amp; sites'!M483:M494)</f>
        <v>631.34999999999991</v>
      </c>
      <c r="N448" s="92">
        <f>SUM('CA brut produits &amp; sites'!N483:N494)</f>
        <v>1295</v>
      </c>
      <c r="O448" s="92">
        <f>SUM('CA brut produits &amp; sites'!O483:O494)</f>
        <v>0</v>
      </c>
      <c r="P448" s="93">
        <f>SUM('CA brut produits &amp; sites'!P483:P494)</f>
        <v>3502.55</v>
      </c>
    </row>
    <row r="449" spans="1:16" x14ac:dyDescent="0.3">
      <c r="A449" s="87">
        <v>43344</v>
      </c>
      <c r="B449" s="146"/>
      <c r="C449" s="92">
        <f t="shared" si="70"/>
        <v>852951.98</v>
      </c>
      <c r="D449" s="92">
        <f>SUM('CA brut produits &amp; sites'!D484:D495)</f>
        <v>276558.39</v>
      </c>
      <c r="E449" s="92">
        <f>SUM('CA brut produits &amp; sites'!E484:E495)</f>
        <v>28040.769999999997</v>
      </c>
      <c r="F449" s="92">
        <f>SUM('CA brut produits &amp; sites'!F484:F495)</f>
        <v>66536.350000000006</v>
      </c>
      <c r="G449" s="92">
        <f>SUM('CA brut produits &amp; sites'!G484:G495)</f>
        <v>18160.189999999999</v>
      </c>
      <c r="H449" s="92">
        <f>SUM('CA brut produits &amp; sites'!H484:H495)</f>
        <v>17053.59</v>
      </c>
      <c r="I449" s="92">
        <f>SUM('CA brut produits &amp; sites'!I484:I495)</f>
        <v>1679.9899999999998</v>
      </c>
      <c r="J449" s="92">
        <f>SUM('CA brut produits &amp; sites'!J484:J495)</f>
        <v>345050.15</v>
      </c>
      <c r="K449" s="92">
        <f>SUM('CA brut produits &amp; sites'!K484:K495)</f>
        <v>57409.709999999992</v>
      </c>
      <c r="L449" s="92">
        <f>SUM('CA brut produits &amp; sites'!L484:L495)</f>
        <v>36643.840000000004</v>
      </c>
      <c r="M449" s="92">
        <f>SUM('CA brut produits &amp; sites'!M484:M495)</f>
        <v>676.45</v>
      </c>
      <c r="N449" s="92">
        <f>SUM('CA brut produits &amp; sites'!N484:N495)</f>
        <v>1295</v>
      </c>
      <c r="O449" s="92">
        <f>SUM('CA brut produits &amp; sites'!O484:O495)</f>
        <v>0</v>
      </c>
      <c r="P449" s="93">
        <f>SUM('CA brut produits &amp; sites'!P484:P495)</f>
        <v>3847.55</v>
      </c>
    </row>
    <row r="450" spans="1:16" x14ac:dyDescent="0.3">
      <c r="A450" s="87">
        <v>43374</v>
      </c>
      <c r="B450" s="146"/>
      <c r="C450" s="92">
        <f t="shared" si="70"/>
        <v>849158.2</v>
      </c>
      <c r="D450" s="92">
        <f>SUM('CA brut produits &amp; sites'!D485:D496)</f>
        <v>265802.87</v>
      </c>
      <c r="E450" s="92">
        <f>SUM('CA brut produits &amp; sites'!E485:E496)</f>
        <v>33019.189999999995</v>
      </c>
      <c r="F450" s="92">
        <f>SUM('CA brut produits &amp; sites'!F485:F496)</f>
        <v>66299.47</v>
      </c>
      <c r="G450" s="92">
        <f>SUM('CA brut produits &amp; sites'!G485:G496)</f>
        <v>17228.089999999997</v>
      </c>
      <c r="H450" s="92">
        <f>SUM('CA brut produits &amp; sites'!H485:H496)</f>
        <v>17131.439999999999</v>
      </c>
      <c r="I450" s="92">
        <f>SUM('CA brut produits &amp; sites'!I485:I496)</f>
        <v>1646.6999999999998</v>
      </c>
      <c r="J450" s="92">
        <f>SUM('CA brut produits &amp; sites'!J485:J496)</f>
        <v>349284.35</v>
      </c>
      <c r="K450" s="92">
        <f>SUM('CA brut produits &amp; sites'!K485:K496)</f>
        <v>55128.249999999993</v>
      </c>
      <c r="L450" s="92">
        <f>SUM('CA brut produits &amp; sites'!L485:L496)</f>
        <v>37146.839999999997</v>
      </c>
      <c r="M450" s="92">
        <f>SUM('CA brut produits &amp; sites'!M485:M496)</f>
        <v>703.45</v>
      </c>
      <c r="N450" s="92">
        <f>SUM('CA brut produits &amp; sites'!N485:N496)</f>
        <v>1295</v>
      </c>
      <c r="O450" s="92">
        <f>SUM('CA brut produits &amp; sites'!O485:O496)</f>
        <v>0</v>
      </c>
      <c r="P450" s="93">
        <f>SUM('CA brut produits &amp; sites'!P485:P496)</f>
        <v>4472.55</v>
      </c>
    </row>
    <row r="451" spans="1:16" x14ac:dyDescent="0.3">
      <c r="A451" s="87">
        <v>43405</v>
      </c>
      <c r="B451" s="146"/>
      <c r="C451" s="92">
        <f t="shared" si="70"/>
        <v>750876.4800000001</v>
      </c>
      <c r="D451" s="92">
        <f>SUM('CA brut produits &amp; sites'!D486:D497)</f>
        <v>280023.39999999997</v>
      </c>
      <c r="E451" s="92">
        <f>SUM('CA brut produits &amp; sites'!E486:E497)</f>
        <v>31880.63</v>
      </c>
      <c r="F451" s="92">
        <f>SUM('CA brut produits &amp; sites'!F486:F497)</f>
        <v>66488.55</v>
      </c>
      <c r="G451" s="92">
        <f>SUM('CA brut produits &amp; sites'!G486:G497)</f>
        <v>15282.759999999998</v>
      </c>
      <c r="H451" s="92">
        <f>SUM('CA brut produits &amp; sites'!H486:H497)</f>
        <v>20836.169999999998</v>
      </c>
      <c r="I451" s="92">
        <f>SUM('CA brut produits &amp; sites'!I486:I497)</f>
        <v>1901.15</v>
      </c>
      <c r="J451" s="92">
        <f>SUM('CA brut produits &amp; sites'!J486:J497)</f>
        <v>235204.1</v>
      </c>
      <c r="K451" s="92">
        <f>SUM('CA brut produits &amp; sites'!K486:K497)</f>
        <v>55194.18</v>
      </c>
      <c r="L451" s="92">
        <f>SUM('CA brut produits &amp; sites'!L486:L497)</f>
        <v>37312.639999999999</v>
      </c>
      <c r="M451" s="92">
        <f>SUM('CA brut produits &amp; sites'!M486:M497)</f>
        <v>740.34999999999991</v>
      </c>
      <c r="N451" s="92">
        <f>SUM('CA brut produits &amp; sites'!N486:N497)</f>
        <v>1295</v>
      </c>
      <c r="O451" s="92">
        <f>SUM('CA brut produits &amp; sites'!O486:O497)</f>
        <v>0</v>
      </c>
      <c r="P451" s="93">
        <f>SUM('CA brut produits &amp; sites'!P486:P497)</f>
        <v>4717.55</v>
      </c>
    </row>
    <row r="452" spans="1:16" x14ac:dyDescent="0.3">
      <c r="A452" s="94">
        <v>43435</v>
      </c>
      <c r="B452" s="146"/>
      <c r="C452" s="92">
        <f t="shared" si="70"/>
        <v>777346.89000000013</v>
      </c>
      <c r="D452" s="92">
        <f>SUM('CA brut produits &amp; sites'!D487:D498)</f>
        <v>276222.08999999997</v>
      </c>
      <c r="E452" s="92">
        <f>SUM('CA brut produits &amp; sites'!E487:E498)</f>
        <v>32671.79</v>
      </c>
      <c r="F452" s="92">
        <f>SUM('CA brut produits &amp; sites'!F487:F498)</f>
        <v>64985.840000000004</v>
      </c>
      <c r="G452" s="92">
        <f>SUM('CA brut produits &amp; sites'!G487:G498)</f>
        <v>14212.089999999998</v>
      </c>
      <c r="H452" s="92">
        <f>SUM('CA brut produits &amp; sites'!H487:H498)</f>
        <v>19930.609999999997</v>
      </c>
      <c r="I452" s="92">
        <f>SUM('CA brut produits &amp; sites'!I487:I498)</f>
        <v>4629.92</v>
      </c>
      <c r="J452" s="92">
        <f>SUM('CA brut produits &amp; sites'!J487:J498)</f>
        <v>267966.84999999998</v>
      </c>
      <c r="K452" s="92">
        <f>SUM('CA brut produits &amp; sites'!K487:K498)</f>
        <v>53598.92</v>
      </c>
      <c r="L452" s="92">
        <f>SUM('CA brut produits &amp; sites'!L487:L498)</f>
        <v>36172.179999999993</v>
      </c>
      <c r="M452" s="92">
        <f>SUM('CA brut produits &amp; sites'!M487:M498)</f>
        <v>756.55000000000007</v>
      </c>
      <c r="N452" s="92">
        <f>SUM('CA brut produits &amp; sites'!N487:N498)</f>
        <v>1295</v>
      </c>
      <c r="O452" s="92">
        <f>SUM('CA brut produits &amp; sites'!O487:O498)</f>
        <v>0</v>
      </c>
      <c r="P452" s="93">
        <f>SUM('CA brut produits &amp; sites'!P487:P498)</f>
        <v>4905.05</v>
      </c>
    </row>
    <row r="453" spans="1:16" x14ac:dyDescent="0.3">
      <c r="A453" s="94">
        <v>43466</v>
      </c>
      <c r="B453" s="146"/>
      <c r="C453" s="92">
        <f t="shared" si="70"/>
        <v>788482.79999999993</v>
      </c>
      <c r="D453" s="92">
        <f>SUM('CA brut produits &amp; sites'!D488:D499)</f>
        <v>280602.11</v>
      </c>
      <c r="E453" s="92">
        <f>SUM('CA brut produits &amp; sites'!E488:E499)</f>
        <v>31539.08</v>
      </c>
      <c r="F453" s="92">
        <f>SUM('CA brut produits &amp; sites'!F488:F499)</f>
        <v>69012.22</v>
      </c>
      <c r="G453" s="92">
        <f>SUM('CA brut produits &amp; sites'!G488:G499)</f>
        <v>14109.22</v>
      </c>
      <c r="H453" s="92">
        <f>SUM('CA brut produits &amp; sites'!H488:H499)</f>
        <v>20883.190000000002</v>
      </c>
      <c r="I453" s="92">
        <f>SUM('CA brut produits &amp; sites'!I488:I499)</f>
        <v>4277.3600000000006</v>
      </c>
      <c r="J453" s="92">
        <f>SUM('CA brut produits &amp; sites'!J488:J499)</f>
        <v>271449.34999999998</v>
      </c>
      <c r="K453" s="92">
        <f>SUM('CA brut produits &amp; sites'!K488:K499)</f>
        <v>54246.2</v>
      </c>
      <c r="L453" s="92">
        <f>SUM('CA brut produits &amp; sites'!L488:L499)</f>
        <v>32970.449999999997</v>
      </c>
      <c r="M453" s="92">
        <f>SUM('CA brut produits &amp; sites'!M488:M499)</f>
        <v>739.84999999999991</v>
      </c>
      <c r="N453" s="92">
        <f>SUM('CA brut produits &amp; sites'!N488:N499)</f>
        <v>3575</v>
      </c>
      <c r="O453" s="92">
        <f>SUM('CA brut produits &amp; sites'!O488:O499)</f>
        <v>668.72</v>
      </c>
      <c r="P453" s="93">
        <f>SUM('CA brut produits &amp; sites'!P488:P499)</f>
        <v>4410.05</v>
      </c>
    </row>
    <row r="454" spans="1:16" x14ac:dyDescent="0.3">
      <c r="A454" s="94">
        <v>43497</v>
      </c>
      <c r="B454" s="146"/>
      <c r="C454" s="92">
        <f t="shared" si="70"/>
        <v>813017.93</v>
      </c>
      <c r="D454" s="92">
        <f>SUM('CA brut produits &amp; sites'!D489:D500)</f>
        <v>310586.19</v>
      </c>
      <c r="E454" s="92">
        <f>SUM('CA brut produits &amp; sites'!E489:E500)</f>
        <v>31125.240000000005</v>
      </c>
      <c r="F454" s="92">
        <f>SUM('CA brut produits &amp; sites'!F489:F500)</f>
        <v>67997.36</v>
      </c>
      <c r="G454" s="92">
        <f>SUM('CA brut produits &amp; sites'!G489:G500)</f>
        <v>13531.22</v>
      </c>
      <c r="H454" s="92">
        <f>SUM('CA brut produits &amp; sites'!H489:H500)</f>
        <v>20933.389999999996</v>
      </c>
      <c r="I454" s="92">
        <f>SUM('CA brut produits &amp; sites'!I489:I500)</f>
        <v>4858.8100000000013</v>
      </c>
      <c r="J454" s="92">
        <f>SUM('CA brut produits &amp; sites'!J489:J500)</f>
        <v>270692.55</v>
      </c>
      <c r="K454" s="92">
        <f>SUM('CA brut produits &amp; sites'!K489:K500)</f>
        <v>52934.559999999998</v>
      </c>
      <c r="L454" s="92">
        <f>SUM('CA brut produits &amp; sites'!L489:L500)</f>
        <v>29714.62</v>
      </c>
      <c r="M454" s="92">
        <f>SUM('CA brut produits &amp; sites'!M489:M500)</f>
        <v>906.10000000000014</v>
      </c>
      <c r="N454" s="92">
        <f>SUM('CA brut produits &amp; sites'!N489:N500)</f>
        <v>3575</v>
      </c>
      <c r="O454" s="92">
        <f>SUM('CA brut produits &amp; sites'!O489:O500)</f>
        <v>1790.34</v>
      </c>
      <c r="P454" s="93">
        <f>SUM('CA brut produits &amp; sites'!P489:P500)</f>
        <v>4372.55</v>
      </c>
    </row>
    <row r="455" spans="1:16" x14ac:dyDescent="0.3">
      <c r="A455" s="94">
        <v>43525</v>
      </c>
      <c r="B455" s="146"/>
      <c r="C455" s="92">
        <f t="shared" si="70"/>
        <v>768539.85000000009</v>
      </c>
      <c r="D455" s="92">
        <f>SUM('CA brut produits &amp; sites'!D490:D501)</f>
        <v>320238.83</v>
      </c>
      <c r="E455" s="92">
        <f>SUM('CA brut produits &amp; sites'!E490:E501)</f>
        <v>28959.370000000003</v>
      </c>
      <c r="F455" s="92">
        <f>SUM('CA brut produits &amp; sites'!F490:F501)</f>
        <v>66889.12000000001</v>
      </c>
      <c r="G455" s="92">
        <f>SUM('CA brut produits &amp; sites'!G490:G501)</f>
        <v>12745.060000000001</v>
      </c>
      <c r="H455" s="92">
        <f>SUM('CA brut produits &amp; sites'!H490:H501)</f>
        <v>19242.89</v>
      </c>
      <c r="I455" s="92">
        <f>SUM('CA brut produits &amp; sites'!I490:I501)</f>
        <v>5206.3</v>
      </c>
      <c r="J455" s="92">
        <f>SUM('CA brut produits &amp; sites'!J490:J501)</f>
        <v>222109.05</v>
      </c>
      <c r="K455" s="92">
        <f>SUM('CA brut produits &amp; sites'!K490:K501)</f>
        <v>52734.590000000004</v>
      </c>
      <c r="L455" s="92">
        <f>SUM('CA brut produits &amp; sites'!L490:L501)</f>
        <v>26822.67</v>
      </c>
      <c r="M455" s="92">
        <f>SUM('CA brut produits &amp; sites'!M490:M501)</f>
        <v>910.25</v>
      </c>
      <c r="N455" s="92">
        <f>SUM('CA brut produits &amp; sites'!N490:N501)</f>
        <v>5285</v>
      </c>
      <c r="O455" s="92">
        <f>SUM('CA brut produits &amp; sites'!O490:O501)</f>
        <v>3219.17</v>
      </c>
      <c r="P455" s="93">
        <f>SUM('CA brut produits &amp; sites'!P490:P501)</f>
        <v>4177.55</v>
      </c>
    </row>
    <row r="456" spans="1:16" x14ac:dyDescent="0.3">
      <c r="A456" s="94">
        <v>43556</v>
      </c>
      <c r="B456" s="146"/>
      <c r="C456" s="92">
        <f t="shared" si="70"/>
        <v>742632.05999999994</v>
      </c>
      <c r="D456" s="92">
        <f>SUM('CA brut produits &amp; sites'!D491:D502)</f>
        <v>308199.87</v>
      </c>
      <c r="E456" s="92">
        <f>SUM('CA brut produits &amp; sites'!E491:E502)</f>
        <v>29625.539999999997</v>
      </c>
      <c r="F456" s="92">
        <f>SUM('CA brut produits &amp; sites'!F491:F502)</f>
        <v>62556.56</v>
      </c>
      <c r="G456" s="92">
        <f>SUM('CA brut produits &amp; sites'!G491:G502)</f>
        <v>11763.029999999999</v>
      </c>
      <c r="H456" s="92">
        <f>SUM('CA brut produits &amp; sites'!H491:H502)</f>
        <v>17948.939999999999</v>
      </c>
      <c r="I456" s="92">
        <f>SUM('CA brut produits &amp; sites'!I491:I502)</f>
        <v>5202.6100000000006</v>
      </c>
      <c r="J456" s="92">
        <f>SUM('CA brut produits &amp; sites'!J491:J502)</f>
        <v>217617.65</v>
      </c>
      <c r="K456" s="92">
        <f>SUM('CA brut produits &amp; sites'!K491:K502)</f>
        <v>51569.29</v>
      </c>
      <c r="L456" s="92">
        <f>SUM('CA brut produits &amp; sites'!L491:L502)</f>
        <v>23525.580000000005</v>
      </c>
      <c r="M456" s="92">
        <f>SUM('CA brut produits &amp; sites'!M491:M502)</f>
        <v>849.45</v>
      </c>
      <c r="N456" s="92">
        <f>SUM('CA brut produits &amp; sites'!N491:N502)</f>
        <v>5855</v>
      </c>
      <c r="O456" s="92">
        <f>SUM('CA brut produits &amp; sites'!O491:O502)</f>
        <v>3995.9900000000002</v>
      </c>
      <c r="P456" s="93">
        <f>SUM('CA brut produits &amp; sites'!P491:P502)</f>
        <v>3922.55</v>
      </c>
    </row>
    <row r="457" spans="1:16" x14ac:dyDescent="0.3">
      <c r="A457" s="94">
        <v>43586</v>
      </c>
      <c r="B457" s="146"/>
      <c r="C457" s="92">
        <f t="shared" si="70"/>
        <v>744621.33000000007</v>
      </c>
      <c r="D457" s="92">
        <f>SUM('CA brut produits &amp; sites'!D492:D503)</f>
        <v>305698.46000000002</v>
      </c>
      <c r="E457" s="92">
        <f>SUM('CA brut produits &amp; sites'!E492:E503)</f>
        <v>29868.350000000002</v>
      </c>
      <c r="F457" s="92">
        <f>SUM('CA brut produits &amp; sites'!F492:F503)</f>
        <v>60493.960000000014</v>
      </c>
      <c r="G457" s="92">
        <f>SUM('CA brut produits &amp; sites'!G492:G503)</f>
        <v>11976.37</v>
      </c>
      <c r="H457" s="92">
        <f>SUM('CA brut produits &amp; sites'!H492:H503)</f>
        <v>19431.489999999998</v>
      </c>
      <c r="I457" s="92">
        <f>SUM('CA brut produits &amp; sites'!I492:I503)</f>
        <v>12784.810000000001</v>
      </c>
      <c r="J457" s="92">
        <f>SUM('CA brut produits &amp; sites'!J492:J503)</f>
        <v>216609.15</v>
      </c>
      <c r="K457" s="92">
        <f>SUM('CA brut produits &amp; sites'!K492:K503)</f>
        <v>52518.91</v>
      </c>
      <c r="L457" s="92">
        <f>SUM('CA brut produits &amp; sites'!L492:L503)</f>
        <v>21402.089999999997</v>
      </c>
      <c r="M457" s="92">
        <f>SUM('CA brut produits &amp; sites'!M492:M503)</f>
        <v>1337.4</v>
      </c>
      <c r="N457" s="92">
        <f>SUM('CA brut produits &amp; sites'!N492:N503)</f>
        <v>5855</v>
      </c>
      <c r="O457" s="92">
        <f>SUM('CA brut produits &amp; sites'!O492:O503)</f>
        <v>4282.79</v>
      </c>
      <c r="P457" s="93">
        <f>SUM('CA brut produits &amp; sites'!P492:P503)</f>
        <v>2362.5500000000002</v>
      </c>
    </row>
    <row r="458" spans="1:16" x14ac:dyDescent="0.3">
      <c r="A458" s="94">
        <v>43617</v>
      </c>
      <c r="B458" s="146"/>
      <c r="C458" s="92">
        <f t="shared" si="70"/>
        <v>752161.51000000013</v>
      </c>
      <c r="D458" s="92">
        <f>SUM('CA brut produits &amp; sites'!D493:D504)</f>
        <v>321835.05000000005</v>
      </c>
      <c r="E458" s="92">
        <f>SUM('CA brut produits &amp; sites'!E493:E504)</f>
        <v>30522.359999999997</v>
      </c>
      <c r="F458" s="92">
        <f>SUM('CA brut produits &amp; sites'!F493:F504)</f>
        <v>57171.83</v>
      </c>
      <c r="G458" s="92">
        <f>SUM('CA brut produits &amp; sites'!G493:G504)</f>
        <v>11128.889999999998</v>
      </c>
      <c r="H458" s="92">
        <f>SUM('CA brut produits &amp; sites'!H493:H504)</f>
        <v>17655.080000000002</v>
      </c>
      <c r="I458" s="92">
        <f>SUM('CA brut produits &amp; sites'!I493:I504)</f>
        <v>13187.57</v>
      </c>
      <c r="J458" s="92">
        <f>SUM('CA brut produits &amp; sites'!J493:J504)</f>
        <v>217702.5</v>
      </c>
      <c r="K458" s="92">
        <f>SUM('CA brut produits &amp; sites'!K493:K504)</f>
        <v>51145.030000000006</v>
      </c>
      <c r="L458" s="92">
        <f>SUM('CA brut produits &amp; sites'!L493:L504)</f>
        <v>17635.870000000003</v>
      </c>
      <c r="M458" s="92">
        <f>SUM('CA brut produits &amp; sites'!M493:M504)</f>
        <v>1172.8500000000001</v>
      </c>
      <c r="N458" s="92">
        <f>SUM('CA brut produits &amp; sites'!N493:N504)</f>
        <v>4750</v>
      </c>
      <c r="O458" s="92">
        <f>SUM('CA brut produits &amp; sites'!O493:O504)</f>
        <v>4381.93</v>
      </c>
      <c r="P458" s="93">
        <f>SUM('CA brut produits &amp; sites'!P493:P504)</f>
        <v>3872.55</v>
      </c>
    </row>
    <row r="459" spans="1:16" x14ac:dyDescent="0.3">
      <c r="A459" s="94">
        <v>43647</v>
      </c>
      <c r="B459" s="146"/>
      <c r="C459" s="92">
        <f t="shared" si="70"/>
        <v>734528.97</v>
      </c>
      <c r="D459" s="92">
        <f>SUM('CA brut produits &amp; sites'!D494:D505)</f>
        <v>320819.3</v>
      </c>
      <c r="E459" s="92">
        <f>SUM('CA brut produits &amp; sites'!E494:E505)</f>
        <v>33284.29</v>
      </c>
      <c r="F459" s="92">
        <f>SUM('CA brut produits &amp; sites'!F494:F505)</f>
        <v>50164.439999999995</v>
      </c>
      <c r="G459" s="92">
        <f>SUM('CA brut produits &amp; sites'!G494:G505)</f>
        <v>9333.8299999999981</v>
      </c>
      <c r="H459" s="92">
        <f>SUM('CA brut produits &amp; sites'!H494:H505)</f>
        <v>18151.010000000002</v>
      </c>
      <c r="I459" s="92">
        <f>SUM('CA brut produits &amp; sites'!I494:I505)</f>
        <v>13220.789999999999</v>
      </c>
      <c r="J459" s="92">
        <f>SUM('CA brut produits &amp; sites'!J494:J505)</f>
        <v>207449.5</v>
      </c>
      <c r="K459" s="92">
        <f>SUM('CA brut produits &amp; sites'!K494:K505)</f>
        <v>51031.790000000008</v>
      </c>
      <c r="L459" s="92">
        <f>SUM('CA brut produits &amp; sites'!L494:L505)</f>
        <v>15595.520000000002</v>
      </c>
      <c r="M459" s="92">
        <f>SUM('CA brut produits &amp; sites'!M494:M505)</f>
        <v>1012.6999999999999</v>
      </c>
      <c r="N459" s="92">
        <f>SUM('CA brut produits &amp; sites'!N494:N505)</f>
        <v>5890</v>
      </c>
      <c r="O459" s="92">
        <f>SUM('CA brut produits &amp; sites'!O494:O505)</f>
        <v>4488.25</v>
      </c>
      <c r="P459" s="93">
        <f>SUM('CA brut produits &amp; sites'!P494:P505)</f>
        <v>4087.55</v>
      </c>
    </row>
    <row r="460" spans="1:16" x14ac:dyDescent="0.3">
      <c r="A460" s="94">
        <v>43678</v>
      </c>
      <c r="B460" s="146"/>
      <c r="C460" s="92">
        <f t="shared" si="70"/>
        <v>742224.89999999991</v>
      </c>
      <c r="D460" s="92">
        <f>SUM('CA brut produits &amp; sites'!D495:D506)</f>
        <v>321217.98999999993</v>
      </c>
      <c r="E460" s="92">
        <f>SUM('CA brut produits &amp; sites'!E495:E506)</f>
        <v>33266.61</v>
      </c>
      <c r="F460" s="92">
        <f>SUM('CA brut produits &amp; sites'!F495:F506)</f>
        <v>45974.8</v>
      </c>
      <c r="G460" s="92">
        <f>SUM('CA brut produits &amp; sites'!G495:G506)</f>
        <v>9052.98</v>
      </c>
      <c r="H460" s="92">
        <f>SUM('CA brut produits &amp; sites'!H495:H506)</f>
        <v>19117.510000000002</v>
      </c>
      <c r="I460" s="92">
        <f>SUM('CA brut produits &amp; sites'!I495:I506)</f>
        <v>13335.63</v>
      </c>
      <c r="J460" s="92">
        <f>SUM('CA brut produits &amp; sites'!J495:J506)</f>
        <v>220357.5</v>
      </c>
      <c r="K460" s="92">
        <f>SUM('CA brut produits &amp; sites'!K495:K506)</f>
        <v>49570.130000000005</v>
      </c>
      <c r="L460" s="92">
        <f>SUM('CA brut produits &amp; sites'!L495:L506)</f>
        <v>14332.000000000004</v>
      </c>
      <c r="M460" s="92">
        <f>SUM('CA brut produits &amp; sites'!M495:M506)</f>
        <v>925.2</v>
      </c>
      <c r="N460" s="92">
        <f>SUM('CA brut produits &amp; sites'!N495:N506)</f>
        <v>6650</v>
      </c>
      <c r="O460" s="92">
        <f>SUM('CA brut produits &amp; sites'!O495:O506)</f>
        <v>4587.05</v>
      </c>
      <c r="P460" s="93">
        <f>SUM('CA brut produits &amp; sites'!P495:P506)</f>
        <v>3837.5</v>
      </c>
    </row>
    <row r="461" spans="1:16" x14ac:dyDescent="0.3">
      <c r="A461" s="94">
        <v>43709</v>
      </c>
      <c r="B461" s="146"/>
      <c r="C461" s="92">
        <f t="shared" si="70"/>
        <v>765145.73</v>
      </c>
      <c r="D461" s="92">
        <f>SUM('CA brut produits &amp; sites'!D496:D507)</f>
        <v>323773.7</v>
      </c>
      <c r="E461" s="92">
        <f>SUM('CA brut produits &amp; sites'!E496:E507)</f>
        <v>30785.649999999998</v>
      </c>
      <c r="F461" s="92">
        <f>SUM('CA brut produits &amp; sites'!F496:F507)</f>
        <v>45021.64</v>
      </c>
      <c r="G461" s="92">
        <f>SUM('CA brut produits &amp; sites'!G496:G507)</f>
        <v>8741.7100000000009</v>
      </c>
      <c r="H461" s="92">
        <f>SUM('CA brut produits &amp; sites'!H496:H507)</f>
        <v>21708.050000000003</v>
      </c>
      <c r="I461" s="92">
        <f>SUM('CA brut produits &amp; sites'!I496:I507)</f>
        <v>13571.769999999999</v>
      </c>
      <c r="J461" s="92">
        <f>SUM('CA brut produits &amp; sites'!J496:J507)</f>
        <v>238203.5</v>
      </c>
      <c r="K461" s="92">
        <f>SUM('CA brut produits &amp; sites'!K496:K507)</f>
        <v>52013.41</v>
      </c>
      <c r="L461" s="92">
        <f>SUM('CA brut produits &amp; sites'!L496:L507)</f>
        <v>13938.720000000001</v>
      </c>
      <c r="M461" s="92">
        <f>SUM('CA brut produits &amp; sites'!M496:M507)</f>
        <v>813.85</v>
      </c>
      <c r="N461" s="92">
        <f>SUM('CA brut produits &amp; sites'!N496:N507)</f>
        <v>7980</v>
      </c>
      <c r="O461" s="92">
        <f>SUM('CA brut produits &amp; sites'!O496:O507)</f>
        <v>4931.2300000000005</v>
      </c>
      <c r="P461" s="93">
        <f>SUM('CA brut produits &amp; sites'!P496:P507)</f>
        <v>3662.5</v>
      </c>
    </row>
    <row r="462" spans="1:16" x14ac:dyDescent="0.3">
      <c r="A462" s="94">
        <v>43739</v>
      </c>
      <c r="B462" s="146"/>
      <c r="C462" s="92">
        <f t="shared" si="70"/>
        <v>765887.38</v>
      </c>
      <c r="D462" s="92">
        <f>SUM('CA brut produits &amp; sites'!D497:D508)</f>
        <v>339057</v>
      </c>
      <c r="E462" s="92">
        <f>SUM('CA brut produits &amp; sites'!E497:E508)</f>
        <v>25526.639999999996</v>
      </c>
      <c r="F462" s="92">
        <f>SUM('CA brut produits &amp; sites'!F497:F508)</f>
        <v>44880.770000000004</v>
      </c>
      <c r="G462" s="92">
        <f>SUM('CA brut produits &amp; sites'!G497:G508)</f>
        <v>8859.4599999999991</v>
      </c>
      <c r="H462" s="92">
        <f>SUM('CA brut produits &amp; sites'!H497:H508)</f>
        <v>22739.040000000001</v>
      </c>
      <c r="I462" s="92">
        <f>SUM('CA brut produits &amp; sites'!I497:I508)</f>
        <v>13476.869999999999</v>
      </c>
      <c r="J462" s="92">
        <f>SUM('CA brut produits &amp; sites'!J497:J508)</f>
        <v>228074.5</v>
      </c>
      <c r="K462" s="92">
        <f>SUM('CA brut produits &amp; sites'!K497:K508)</f>
        <v>52785.630000000005</v>
      </c>
      <c r="L462" s="92">
        <f>SUM('CA brut produits &amp; sites'!L497:L508)</f>
        <v>13049.18</v>
      </c>
      <c r="M462" s="92">
        <f>SUM('CA brut produits &amp; sites'!M497:M508)</f>
        <v>689.1</v>
      </c>
      <c r="N462" s="92">
        <f>SUM('CA brut produits &amp; sites'!N497:N508)</f>
        <v>8360</v>
      </c>
      <c r="O462" s="92">
        <f>SUM('CA brut produits &amp; sites'!O497:O508)</f>
        <v>5076.6900000000005</v>
      </c>
      <c r="P462" s="93">
        <f>SUM('CA brut produits &amp; sites'!P497:P508)</f>
        <v>3312.5</v>
      </c>
    </row>
    <row r="463" spans="1:16" x14ac:dyDescent="0.3">
      <c r="A463" s="94">
        <v>43770</v>
      </c>
      <c r="B463" s="146"/>
      <c r="C463" s="92">
        <f t="shared" si="70"/>
        <v>757215.36000000022</v>
      </c>
      <c r="D463" s="92">
        <f>SUM('CA brut produits &amp; sites'!D498:D509)</f>
        <v>341933.59</v>
      </c>
      <c r="E463" s="92">
        <f>SUM('CA brut produits &amp; sites'!E498:E509)</f>
        <v>25849.58</v>
      </c>
      <c r="F463" s="92">
        <f>SUM('CA brut produits &amp; sites'!F498:F509)</f>
        <v>42949.16</v>
      </c>
      <c r="G463" s="92">
        <f>SUM('CA brut produits &amp; sites'!G498:G509)</f>
        <v>7943.58</v>
      </c>
      <c r="H463" s="92">
        <f>SUM('CA brut produits &amp; sites'!H498:H509)</f>
        <v>21957.06</v>
      </c>
      <c r="I463" s="92">
        <f>SUM('CA brut produits &amp; sites'!I498:I509)</f>
        <v>13184.179999999998</v>
      </c>
      <c r="J463" s="92">
        <f>SUM('CA brut produits &amp; sites'!J498:J509)</f>
        <v>221107.5</v>
      </c>
      <c r="K463" s="92">
        <f>SUM('CA brut produits &amp; sites'!K498:K509)</f>
        <v>52495.87999999999</v>
      </c>
      <c r="L463" s="92">
        <f>SUM('CA brut produits &amp; sites'!L498:L509)</f>
        <v>11807.390000000001</v>
      </c>
      <c r="M463" s="92">
        <f>SUM('CA brut produits &amp; sites'!M498:M509)</f>
        <v>569.15</v>
      </c>
      <c r="N463" s="92">
        <f>SUM('CA brut produits &amp; sites'!N498:N509)</f>
        <v>8930</v>
      </c>
      <c r="O463" s="92">
        <f>SUM('CA brut produits &amp; sites'!O498:O509)</f>
        <v>5385.7900000000009</v>
      </c>
      <c r="P463" s="93">
        <f>SUM('CA brut produits &amp; sites'!P498:P509)</f>
        <v>3102.5</v>
      </c>
    </row>
    <row r="464" spans="1:16" x14ac:dyDescent="0.3">
      <c r="A464" s="94">
        <v>43800</v>
      </c>
      <c r="B464" s="146"/>
      <c r="C464" s="92">
        <f t="shared" si="70"/>
        <v>733958.12999999989</v>
      </c>
      <c r="D464" s="92">
        <f>SUM('CA brut produits &amp; sites'!D499:D510)</f>
        <v>347855.76</v>
      </c>
      <c r="E464" s="92">
        <f>SUM('CA brut produits &amp; sites'!E499:E510)</f>
        <v>28116.620000000003</v>
      </c>
      <c r="F464" s="92">
        <f>SUM('CA brut produits &amp; sites'!F499:F510)</f>
        <v>43829.640000000007</v>
      </c>
      <c r="G464" s="92">
        <f>SUM('CA brut produits &amp; sites'!G499:G510)</f>
        <v>7744.05</v>
      </c>
      <c r="H464" s="92">
        <f>SUM('CA brut produits &amp; sites'!H499:H510)</f>
        <v>21055.960000000003</v>
      </c>
      <c r="I464" s="92">
        <f>SUM('CA brut produits &amp; sites'!I499:I510)</f>
        <v>10353.659999999996</v>
      </c>
      <c r="J464" s="92">
        <f>SUM('CA brut produits &amp; sites'!J499:J510)</f>
        <v>191490.5</v>
      </c>
      <c r="K464" s="92">
        <f>SUM('CA brut produits &amp; sites'!K499:K510)</f>
        <v>53547.719999999987</v>
      </c>
      <c r="L464" s="92">
        <f>SUM('CA brut produits &amp; sites'!L499:L510)</f>
        <v>11223.67</v>
      </c>
      <c r="M464" s="92">
        <f>SUM('CA brut produits &amp; sites'!M499:M510)</f>
        <v>500.59999999999997</v>
      </c>
      <c r="N464" s="92">
        <f>SUM('CA brut produits &amp; sites'!N499:N510)</f>
        <v>9620</v>
      </c>
      <c r="O464" s="92">
        <f>SUM('CA brut produits &amp; sites'!O499:O510)</f>
        <v>5454.9500000000007</v>
      </c>
      <c r="P464" s="93">
        <f>SUM('CA brut produits &amp; sites'!P499:P510)</f>
        <v>3165</v>
      </c>
    </row>
    <row r="465" spans="1:16" x14ac:dyDescent="0.3">
      <c r="A465" s="94">
        <v>43831</v>
      </c>
      <c r="B465" s="146"/>
      <c r="C465" s="92">
        <f t="shared" si="70"/>
        <v>741128.03999999992</v>
      </c>
      <c r="D465" s="92">
        <f>SUM('CA brut produits &amp; sites'!D500:D511)</f>
        <v>344953.12</v>
      </c>
      <c r="E465" s="92">
        <f>SUM('CA brut produits &amp; sites'!E500:E511)</f>
        <v>30699.68</v>
      </c>
      <c r="F465" s="92">
        <f>SUM('CA brut produits &amp; sites'!F500:F511)</f>
        <v>38426.559999999998</v>
      </c>
      <c r="G465" s="92">
        <f>SUM('CA brut produits &amp; sites'!G500:G511)</f>
        <v>6616.81</v>
      </c>
      <c r="H465" s="92">
        <f>SUM('CA brut produits &amp; sites'!H500:H511)</f>
        <v>22430.5</v>
      </c>
      <c r="I465" s="92">
        <f>SUM('CA brut produits &amp; sites'!I500:I511)</f>
        <v>10448.869999999995</v>
      </c>
      <c r="J465" s="92">
        <f>SUM('CA brut produits &amp; sites'!J500:J511)</f>
        <v>207371</v>
      </c>
      <c r="K465" s="92">
        <f>SUM('CA brut produits &amp; sites'!K500:K511)</f>
        <v>52582.49</v>
      </c>
      <c r="L465" s="92">
        <f>SUM('CA brut produits &amp; sites'!L500:L511)</f>
        <v>10982.12</v>
      </c>
      <c r="M465" s="92">
        <f>SUM('CA brut produits &amp; sites'!M500:M511)</f>
        <v>441.7</v>
      </c>
      <c r="N465" s="92">
        <f>SUM('CA brut produits &amp; sites'!N500:N511)</f>
        <v>8065</v>
      </c>
      <c r="O465" s="92">
        <f>SUM('CA brut produits &amp; sites'!O500:O511)</f>
        <v>4885.1900000000005</v>
      </c>
      <c r="P465" s="93">
        <f>SUM('CA brut produits &amp; sites'!P500:P511)</f>
        <v>3225</v>
      </c>
    </row>
    <row r="466" spans="1:16" x14ac:dyDescent="0.3">
      <c r="A466" s="94">
        <v>43862</v>
      </c>
      <c r="B466" s="146"/>
      <c r="C466" s="92">
        <f t="shared" si="70"/>
        <v>703204.68</v>
      </c>
      <c r="D466" s="92">
        <f>SUM('CA brut produits &amp; sites'!D501:D512)</f>
        <v>309036.42</v>
      </c>
      <c r="E466" s="92">
        <f>SUM('CA brut produits &amp; sites'!E501:E512)</f>
        <v>30313.439999999999</v>
      </c>
      <c r="F466" s="92">
        <f>SUM('CA brut produits &amp; sites'!F501:F512)</f>
        <v>37976.520000000004</v>
      </c>
      <c r="G466" s="92">
        <f>SUM('CA brut produits &amp; sites'!G501:G512)</f>
        <v>6059.92</v>
      </c>
      <c r="H466" s="92">
        <f>SUM('CA brut produits &amp; sites'!H501:H512)</f>
        <v>21267.5</v>
      </c>
      <c r="I466" s="92">
        <f>SUM('CA brut produits &amp; sites'!I501:I512)</f>
        <v>9833.4499999999971</v>
      </c>
      <c r="J466" s="92">
        <f>SUM('CA brut produits &amp; sites'!J501:J512)</f>
        <v>209548</v>
      </c>
      <c r="K466" s="92">
        <f>SUM('CA brut produits &amp; sites'!K501:K512)</f>
        <v>51934.299999999996</v>
      </c>
      <c r="L466" s="92">
        <f>SUM('CA brut produits &amp; sites'!L501:L512)</f>
        <v>10564.11</v>
      </c>
      <c r="M466" s="92">
        <f>SUM('CA brut produits &amp; sites'!M501:M512)</f>
        <v>429.9</v>
      </c>
      <c r="N466" s="92">
        <f>SUM('CA brut produits &amp; sites'!N501:N512)</f>
        <v>8410</v>
      </c>
      <c r="O466" s="92">
        <f>SUM('CA brut produits &amp; sites'!O501:O512)</f>
        <v>4256.12</v>
      </c>
      <c r="P466" s="93">
        <f>SUM('CA brut produits &amp; sites'!P501:P512)</f>
        <v>3575</v>
      </c>
    </row>
    <row r="467" spans="1:16" x14ac:dyDescent="0.3">
      <c r="A467" s="94">
        <v>43891</v>
      </c>
      <c r="B467" s="146"/>
      <c r="C467" s="92">
        <f t="shared" si="70"/>
        <v>673564.25000000012</v>
      </c>
      <c r="D467" s="92">
        <f>SUM('CA brut produits &amp; sites'!D502:D513)</f>
        <v>323282.5</v>
      </c>
      <c r="E467" s="92">
        <f>SUM('CA brut produits &amp; sites'!E502:E513)</f>
        <v>22848.949999999997</v>
      </c>
      <c r="F467" s="92">
        <f>SUM('CA brut produits &amp; sites'!F502:F513)</f>
        <v>33055.25</v>
      </c>
      <c r="G467" s="92">
        <f>SUM('CA brut produits &amp; sites'!G502:G513)</f>
        <v>5528.51</v>
      </c>
      <c r="H467" s="92">
        <f>SUM('CA brut produits &amp; sites'!H502:H513)</f>
        <v>19259.5</v>
      </c>
      <c r="I467" s="92">
        <f>SUM('CA brut produits &amp; sites'!I502:I513)</f>
        <v>9067.4499999999989</v>
      </c>
      <c r="J467" s="92">
        <f>SUM('CA brut produits &amp; sites'!J502:J513)</f>
        <v>190604</v>
      </c>
      <c r="K467" s="92">
        <f>SUM('CA brut produits &amp; sites'!K502:K513)</f>
        <v>46472.74</v>
      </c>
      <c r="L467" s="92">
        <f>SUM('CA brut produits &amp; sites'!L502:L513)</f>
        <v>9964.16</v>
      </c>
      <c r="M467" s="92">
        <f>SUM('CA brut produits &amp; sites'!M502:M513)</f>
        <v>408.9</v>
      </c>
      <c r="N467" s="92">
        <f>SUM('CA brut produits &amp; sites'!N502:N513)</f>
        <v>6700</v>
      </c>
      <c r="O467" s="92">
        <f>SUM('CA brut produits &amp; sites'!O502:O513)</f>
        <v>2827.2900000000004</v>
      </c>
      <c r="P467" s="93">
        <f>SUM('CA brut produits &amp; sites'!P502:P513)</f>
        <v>3545</v>
      </c>
    </row>
    <row r="468" spans="1:16" x14ac:dyDescent="0.3">
      <c r="A468" s="94">
        <v>43922</v>
      </c>
      <c r="B468" s="146"/>
      <c r="C468" s="92">
        <f t="shared" si="70"/>
        <v>667088.56999999983</v>
      </c>
      <c r="D468" s="92">
        <f>SUM('CA brut produits &amp; sites'!D503:D514)</f>
        <v>331749.82999999996</v>
      </c>
      <c r="E468" s="92">
        <f>SUM('CA brut produits &amp; sites'!E503:E514)</f>
        <v>21169.39</v>
      </c>
      <c r="F468" s="92">
        <f>SUM('CA brut produits &amp; sites'!F503:F514)</f>
        <v>29369.22</v>
      </c>
      <c r="G468" s="92">
        <f>SUM('CA brut produits &amp; sites'!G503:G514)</f>
        <v>4750.72</v>
      </c>
      <c r="H468" s="92">
        <f>SUM('CA brut produits &amp; sites'!H503:H514)</f>
        <v>20489.55</v>
      </c>
      <c r="I468" s="92">
        <f>SUM('CA brut produits &amp; sites'!I503:I514)</f>
        <v>10404.849999999999</v>
      </c>
      <c r="J468" s="92">
        <f>SUM('CA brut produits &amp; sites'!J503:J514)</f>
        <v>187547</v>
      </c>
      <c r="K468" s="92">
        <f>SUM('CA brut produits &amp; sites'!K503:K514)</f>
        <v>41953.349999999991</v>
      </c>
      <c r="L468" s="92">
        <f>SUM('CA brut produits &amp; sites'!L503:L514)</f>
        <v>9331.2899999999991</v>
      </c>
      <c r="M468" s="92">
        <f>SUM('CA brut produits &amp; sites'!M503:M514)</f>
        <v>-1327.1</v>
      </c>
      <c r="N468" s="92">
        <f>SUM('CA brut produits &amp; sites'!N503:N514)</f>
        <v>6130</v>
      </c>
      <c r="O468" s="92">
        <f>SUM('CA brut produits &amp; sites'!O503:O514)</f>
        <v>2050.4700000000003</v>
      </c>
      <c r="P468" s="93">
        <f>SUM('CA brut produits &amp; sites'!P503:P514)</f>
        <v>3470</v>
      </c>
    </row>
    <row r="469" spans="1:16" x14ac:dyDescent="0.3">
      <c r="A469" s="94">
        <v>43952</v>
      </c>
      <c r="B469" s="146"/>
      <c r="C469" s="92">
        <f t="shared" ref="C469" si="71">SUM(D469:P469)</f>
        <v>651641.54999999993</v>
      </c>
      <c r="D469" s="92">
        <f>SUM('CA brut produits &amp; sites'!D504:D515)</f>
        <v>332718.77999999997</v>
      </c>
      <c r="E469" s="92">
        <f>SUM('CA brut produits &amp; sites'!E504:E515)</f>
        <v>21304.71</v>
      </c>
      <c r="F469" s="92">
        <f>SUM('CA brut produits &amp; sites'!F504:F515)</f>
        <v>26592.6</v>
      </c>
      <c r="G469" s="92">
        <f>SUM('CA brut produits &amp; sites'!G504:G515)</f>
        <v>3564.1400000000003</v>
      </c>
      <c r="H469" s="92">
        <f>SUM('CA brut produits &amp; sites'!H504:H515)</f>
        <v>23806.57</v>
      </c>
      <c r="I469" s="92">
        <f>SUM('CA brut produits &amp; sites'!I504:I515)</f>
        <v>2781.1000000000004</v>
      </c>
      <c r="J469" s="92">
        <f>SUM('CA brut produits &amp; sites'!J504:J515)</f>
        <v>183974</v>
      </c>
      <c r="K469" s="92">
        <f>SUM('CA brut produits &amp; sites'!K504:K515)</f>
        <v>37429.06</v>
      </c>
      <c r="L469" s="92">
        <f>SUM('CA brut produits &amp; sites'!L504:L515)</f>
        <v>9433.4699999999993</v>
      </c>
      <c r="M469" s="92">
        <f>SUM('CA brut produits &amp; sites'!M504:M515)</f>
        <v>-1326.55</v>
      </c>
      <c r="N469" s="92">
        <f>SUM('CA brut produits &amp; sites'!N504:N515)</f>
        <v>6130</v>
      </c>
      <c r="O469" s="92">
        <f>SUM('CA brut produits &amp; sites'!O504:O515)</f>
        <v>1763.67</v>
      </c>
      <c r="P469" s="93">
        <f>SUM('CA brut produits &amp; sites'!P504:P515)</f>
        <v>3470</v>
      </c>
    </row>
    <row r="470" spans="1:16" x14ac:dyDescent="0.3">
      <c r="A470" s="94">
        <v>43983</v>
      </c>
      <c r="B470" s="146"/>
      <c r="C470" s="92">
        <f t="shared" ref="C470" si="72">SUM(D470:P470)</f>
        <v>612884.31000000017</v>
      </c>
      <c r="D470" s="92">
        <f>SUM('CA brut produits &amp; sites'!D505:D516)</f>
        <v>332181.79000000004</v>
      </c>
      <c r="E470" s="92">
        <f>SUM('CA brut produits &amp; sites'!E505:E516)</f>
        <v>19349.5</v>
      </c>
      <c r="F470" s="92">
        <f>SUM('CA brut produits &amp; sites'!F505:F516)</f>
        <v>21616.01</v>
      </c>
      <c r="G470" s="92">
        <f>SUM('CA brut produits &amp; sites'!G505:G516)</f>
        <v>3273.09</v>
      </c>
      <c r="H470" s="92">
        <f>SUM('CA brut produits &amp; sites'!H505:H516)</f>
        <v>23476.030000000002</v>
      </c>
      <c r="I470" s="92">
        <f>SUM('CA brut produits &amp; sites'!I505:I516)</f>
        <v>2365.8000000000002</v>
      </c>
      <c r="J470" s="92">
        <f>SUM('CA brut produits &amp; sites'!J505:J516)</f>
        <v>162000</v>
      </c>
      <c r="K470" s="92">
        <f>SUM('CA brut produits &amp; sites'!K505:K516)</f>
        <v>32813.310000000005</v>
      </c>
      <c r="L470" s="92">
        <f>SUM('CA brut produits &amp; sites'!L505:L516)</f>
        <v>7931.2999999999993</v>
      </c>
      <c r="M470" s="92">
        <f>SUM('CA brut produits &amp; sites'!M505:M516)</f>
        <v>-1372.05</v>
      </c>
      <c r="N470" s="92">
        <f>SUM('CA brut produits &amp; sites'!N505:N516)</f>
        <v>5940</v>
      </c>
      <c r="O470" s="92">
        <f>SUM('CA brut produits &amp; sites'!O505:O516)</f>
        <v>1664.53</v>
      </c>
      <c r="P470" s="93">
        <f>SUM('CA brut produits &amp; sites'!P505:P516)</f>
        <v>1645</v>
      </c>
    </row>
    <row r="471" spans="1:16" x14ac:dyDescent="0.3">
      <c r="A471" s="94">
        <v>44013</v>
      </c>
      <c r="B471" s="146"/>
      <c r="C471" s="92">
        <f>SUM(D471:P471)</f>
        <v>587279.79999999993</v>
      </c>
      <c r="D471" s="92">
        <f>SUM('CA brut produits &amp; sites'!D506:D517)</f>
        <v>323475.07000000007</v>
      </c>
      <c r="E471" s="92">
        <f>SUM('CA brut produits &amp; sites'!E506:E517)</f>
        <v>15737.289999999999</v>
      </c>
      <c r="F471" s="92">
        <f>SUM('CA brut produits &amp; sites'!F506:F517)</f>
        <v>19281.720000000005</v>
      </c>
      <c r="G471" s="92">
        <f>SUM('CA brut produits &amp; sites'!G506:G517)</f>
        <v>2952.16</v>
      </c>
      <c r="H471" s="92">
        <f>SUM('CA brut produits &amp; sites'!H506:H517)</f>
        <v>23236.41</v>
      </c>
      <c r="I471" s="92">
        <f>SUM('CA brut produits &amp; sites'!I506:I517)</f>
        <v>2332.58</v>
      </c>
      <c r="J471" s="92">
        <f>SUM('CA brut produits &amp; sites'!J506:J517)</f>
        <v>154308</v>
      </c>
      <c r="K471" s="92">
        <f>SUM('CA brut produits &amp; sites'!K506:K517)</f>
        <v>30710.940000000002</v>
      </c>
      <c r="L471" s="92">
        <f>SUM('CA brut produits &amp; sites'!L506:L517)</f>
        <v>7036.7699999999986</v>
      </c>
      <c r="M471" s="92">
        <f>SUM('CA brut produits &amp; sites'!M506:M517)</f>
        <v>-1389.35</v>
      </c>
      <c r="N471" s="92">
        <f>SUM('CA brut produits &amp; sites'!N506:N517)</f>
        <v>6700</v>
      </c>
      <c r="O471" s="92">
        <f>SUM('CA brut produits &amp; sites'!O506:O517)</f>
        <v>1558.21</v>
      </c>
      <c r="P471" s="93">
        <f>SUM('CA brut produits &amp; sites'!P506:P517)</f>
        <v>1340</v>
      </c>
    </row>
    <row r="472" spans="1:16" x14ac:dyDescent="0.3">
      <c r="A472" s="94">
        <v>44044</v>
      </c>
      <c r="B472" s="146"/>
      <c r="C472" s="92">
        <f>SUM(D472:P472)</f>
        <v>570055.25</v>
      </c>
      <c r="D472" s="92">
        <f>SUM('CA brut produits &amp; sites'!D507:D518)</f>
        <v>338299.72000000003</v>
      </c>
      <c r="E472" s="92">
        <f>SUM('CA brut produits &amp; sites'!E507:E518)</f>
        <v>15115.289999999999</v>
      </c>
      <c r="F472" s="92">
        <f>SUM('CA brut produits &amp; sites'!F507:F518)</f>
        <v>17590.740000000002</v>
      </c>
      <c r="G472" s="92">
        <f>SUM('CA brut produits &amp; sites'!G507:G518)</f>
        <v>2546.44</v>
      </c>
      <c r="H472" s="92">
        <f>SUM('CA brut produits &amp; sites'!H507:H518)</f>
        <v>22263.91</v>
      </c>
      <c r="I472" s="92">
        <f>SUM('CA brut produits &amp; sites'!I507:I518)</f>
        <v>2217.7399999999998</v>
      </c>
      <c r="J472" s="92">
        <f>SUM('CA brut produits &amp; sites'!J507:J518)</f>
        <v>128525</v>
      </c>
      <c r="K472" s="92">
        <f>SUM('CA brut produits &amp; sites'!K507:K518)</f>
        <v>29912.86</v>
      </c>
      <c r="L472" s="92">
        <f>SUM('CA brut produits &amp; sites'!L507:L518)</f>
        <v>6216.99</v>
      </c>
      <c r="M472" s="92">
        <f>SUM('CA brut produits &amp; sites'!M507:M518)</f>
        <v>-1372.85</v>
      </c>
      <c r="N472" s="92">
        <f>SUM('CA brut produits &amp; sites'!N507:N518)</f>
        <v>5940</v>
      </c>
      <c r="O472" s="92">
        <f>SUM('CA brut produits &amp; sites'!O507:O518)</f>
        <v>1459.41</v>
      </c>
      <c r="P472" s="93">
        <f>SUM('CA brut produits &amp; sites'!P507:P518)</f>
        <v>1340</v>
      </c>
    </row>
    <row r="473" spans="1:16" x14ac:dyDescent="0.3">
      <c r="A473" s="94">
        <v>44075</v>
      </c>
      <c r="B473" s="146"/>
      <c r="C473" s="92">
        <f>SUM(D473:P473)</f>
        <v>552999.99000000011</v>
      </c>
      <c r="D473" s="92">
        <f>SUM('CA brut produits &amp; sites'!D508:D519)</f>
        <v>343124.88000000006</v>
      </c>
      <c r="E473" s="92">
        <f>SUM('CA brut produits &amp; sites'!E508:E519)</f>
        <v>18965.689999999999</v>
      </c>
      <c r="F473" s="92">
        <f>SUM('CA brut produits &amp; sites'!F508:F519)</f>
        <v>16046.05</v>
      </c>
      <c r="G473" s="92">
        <f>SUM('CA brut produits &amp; sites'!G508:G519)</f>
        <v>2090.1</v>
      </c>
      <c r="H473" s="92">
        <f>SUM('CA brut produits &amp; sites'!H508:H519)</f>
        <v>20822.48</v>
      </c>
      <c r="I473" s="92">
        <f>SUM('CA brut produits &amp; sites'!I508:I519)</f>
        <v>1975.8799999999999</v>
      </c>
      <c r="J473" s="92">
        <f>SUM('CA brut produits &amp; sites'!J508:J519)</f>
        <v>104341</v>
      </c>
      <c r="K473" s="92">
        <f>SUM('CA brut produits &amp; sites'!K508:K519)</f>
        <v>28084.609999999997</v>
      </c>
      <c r="L473" s="92">
        <f>SUM('CA brut produits &amp; sites'!L508:L519)</f>
        <v>5266</v>
      </c>
      <c r="M473" s="92">
        <f>SUM('CA brut produits &amp; sites'!M508:M519)</f>
        <v>-1822.47</v>
      </c>
      <c r="N473" s="92">
        <f>SUM('CA brut produits &amp; sites'!N508:N519)</f>
        <v>5050</v>
      </c>
      <c r="O473" s="92">
        <f>SUM('CA brut produits &amp; sites'!O508:O519)</f>
        <v>7885.77</v>
      </c>
      <c r="P473" s="93">
        <f>SUM('CA brut produits &amp; sites'!P508:P519)</f>
        <v>1170</v>
      </c>
    </row>
    <row r="474" spans="1:16" x14ac:dyDescent="0.3">
      <c r="A474" s="94">
        <v>44105</v>
      </c>
      <c r="B474" s="146"/>
      <c r="C474" s="92">
        <f>SUM(D474:P474)</f>
        <v>510625.60999999993</v>
      </c>
      <c r="D474" s="92">
        <f>SUM('CA brut produits &amp; sites'!D509:D520)</f>
        <v>337692.67000000004</v>
      </c>
      <c r="E474" s="92">
        <f>SUM('CA brut produits &amp; sites'!E509:E520)</f>
        <v>18055.61</v>
      </c>
      <c r="F474" s="92">
        <f>SUM('CA brut produits &amp; sites'!F509:F520)</f>
        <v>14768.87</v>
      </c>
      <c r="G474" s="92">
        <f>SUM('CA brut produits &amp; sites'!G509:G520)</f>
        <v>1242.76</v>
      </c>
      <c r="H474" s="92">
        <f>SUM('CA brut produits &amp; sites'!H509:H520)</f>
        <v>19418.47</v>
      </c>
      <c r="I474" s="92">
        <f>SUM('CA brut produits &amp; sites'!I509:I520)</f>
        <v>3762.74</v>
      </c>
      <c r="J474" s="92">
        <f>SUM('CA brut produits &amp; sites'!J509:J520)</f>
        <v>69630.5</v>
      </c>
      <c r="K474" s="92">
        <f>SUM('CA brut produits &amp; sites'!K509:K520)</f>
        <v>29047.229999999996</v>
      </c>
      <c r="L474" s="92">
        <f>SUM('CA brut produits &amp; sites'!L509:L520)</f>
        <v>4383.25</v>
      </c>
      <c r="M474" s="92">
        <f>SUM('CA brut produits &amp; sites'!M509:M520)</f>
        <v>-2308.96</v>
      </c>
      <c r="N474" s="92">
        <f>SUM('CA brut produits &amp; sites'!N509:N520)</f>
        <v>5015</v>
      </c>
      <c r="O474" s="92">
        <f>SUM('CA brut produits &amp; sites'!O509:O520)</f>
        <v>9022.4699999999993</v>
      </c>
      <c r="P474" s="93">
        <f>SUM('CA brut produits &amp; sites'!P509:P520)</f>
        <v>895</v>
      </c>
    </row>
    <row r="475" spans="1:16" x14ac:dyDescent="0.3">
      <c r="A475" s="94">
        <v>44136</v>
      </c>
      <c r="B475" s="146"/>
      <c r="C475" s="92">
        <f t="shared" ref="C475:C476" si="73">SUM(D475:P475)</f>
        <v>500285.18999999994</v>
      </c>
      <c r="D475" s="92">
        <f>SUM('CA brut produits &amp; sites'!D510:D521)</f>
        <v>342676.68</v>
      </c>
      <c r="E475" s="92">
        <f>SUM('CA brut produits &amp; sites'!E510:E521)</f>
        <v>16960.79</v>
      </c>
      <c r="F475" s="92">
        <f>SUM('CA brut produits &amp; sites'!F510:F521)</f>
        <v>13339.369999999999</v>
      </c>
      <c r="G475" s="92">
        <f>SUM('CA brut produits &amp; sites'!G510:G521)</f>
        <v>2270.3199999999997</v>
      </c>
      <c r="H475" s="92">
        <f>SUM('CA brut produits &amp; sites'!H510:H521)</f>
        <v>15964.220000000001</v>
      </c>
      <c r="I475" s="92">
        <f>SUM('CA brut produits &amp; sites'!I510:I521)</f>
        <v>3534.8599999999997</v>
      </c>
      <c r="J475" s="92">
        <f>SUM('CA brut produits &amp; sites'!J510:J521)</f>
        <v>49890.5</v>
      </c>
      <c r="K475" s="92">
        <f>SUM('CA brut produits &amp; sites'!K510:K521)</f>
        <v>31990.539999999997</v>
      </c>
      <c r="L475" s="92">
        <f>SUM('CA brut produits &amp; sites'!L510:L521)</f>
        <v>4942.18</v>
      </c>
      <c r="M475" s="92">
        <f>SUM('CA brut produits &amp; sites'!M510:M521)</f>
        <v>-2132.96</v>
      </c>
      <c r="N475" s="92">
        <f>SUM('CA brut produits &amp; sites'!N510:N521)</f>
        <v>4445</v>
      </c>
      <c r="O475" s="92">
        <f>SUM('CA brut produits &amp; sites'!O510:O521)</f>
        <v>15543.69</v>
      </c>
      <c r="P475" s="93">
        <f>SUM('CA brut produits &amp; sites'!P510:P521)</f>
        <v>860</v>
      </c>
    </row>
    <row r="476" spans="1:16" x14ac:dyDescent="0.3">
      <c r="A476" s="94">
        <v>44166</v>
      </c>
      <c r="B476" s="146"/>
      <c r="C476" s="92">
        <f t="shared" si="73"/>
        <v>509535.24000000005</v>
      </c>
      <c r="D476" s="92">
        <f>SUM('CA brut produits &amp; sites'!D511:D522)</f>
        <v>344668.23</v>
      </c>
      <c r="E476" s="92">
        <f>SUM('CA brut produits &amp; sites'!E511:E522)</f>
        <v>12719.189999999999</v>
      </c>
      <c r="F476" s="92">
        <f>SUM('CA brut produits &amp; sites'!F511:F522)</f>
        <v>13675.4</v>
      </c>
      <c r="G476" s="92">
        <f>SUM('CA brut produits &amp; sites'!G511:G522)</f>
        <v>2104.1999999999998</v>
      </c>
      <c r="H476" s="92">
        <f>SUM('CA brut produits &amp; sites'!H511:H522)</f>
        <v>14922.109999999999</v>
      </c>
      <c r="I476" s="92">
        <f>SUM('CA brut produits &amp; sites'!I511:I522)</f>
        <v>4682.24</v>
      </c>
      <c r="J476" s="92">
        <f>SUM('CA brut produits &amp; sites'!J511:J522)</f>
        <v>63851.75</v>
      </c>
      <c r="K476" s="92">
        <f>SUM('CA brut produits &amp; sites'!K511:K522)</f>
        <v>31849.5</v>
      </c>
      <c r="L476" s="92">
        <f>SUM('CA brut produits &amp; sites'!L511:L522)</f>
        <v>4509.53</v>
      </c>
      <c r="M476" s="92">
        <f>SUM('CA brut produits &amp; sites'!M511:M522)</f>
        <v>-3286.4400000000005</v>
      </c>
      <c r="N476" s="92">
        <f>SUM('CA brut produits &amp; sites'!N511:N522)</f>
        <v>3755</v>
      </c>
      <c r="O476" s="92">
        <f>SUM('CA brut produits &amp; sites'!O511:O522)</f>
        <v>15474.53</v>
      </c>
      <c r="P476" s="93">
        <f>SUM('CA brut produits &amp; sites'!P511:P522)</f>
        <v>610</v>
      </c>
    </row>
    <row r="477" spans="1:16" x14ac:dyDescent="0.3">
      <c r="A477" s="94">
        <v>44197</v>
      </c>
      <c r="B477" s="146"/>
      <c r="C477" s="92">
        <f t="shared" ref="C477" si="74">SUM(D477:P477)</f>
        <v>502626.73</v>
      </c>
      <c r="D477" s="92">
        <f>SUM('CA brut produits &amp; sites'!D512:D523)</f>
        <v>345865.29</v>
      </c>
      <c r="E477" s="92">
        <f>SUM('CA brut produits &amp; sites'!E512:E523)</f>
        <v>9048.41</v>
      </c>
      <c r="F477" s="92">
        <f>SUM('CA brut produits &amp; sites'!F512:F523)</f>
        <v>15335.509999999998</v>
      </c>
      <c r="G477" s="92">
        <f>SUM('CA brut produits &amp; sites'!G512:G523)</f>
        <v>2027.8000000000002</v>
      </c>
      <c r="H477" s="92">
        <f>SUM('CA brut produits &amp; sites'!H512:H523)</f>
        <v>33286.589999999997</v>
      </c>
      <c r="I477" s="92">
        <f>SUM('CA brut produits &amp; sites'!I512:I523)</f>
        <v>4510.7699999999995</v>
      </c>
      <c r="J477" s="92">
        <f>SUM('CA brut produits &amp; sites'!J512:J523)</f>
        <v>42138.75</v>
      </c>
      <c r="K477" s="92">
        <f>SUM('CA brut produits &amp; sites'!K512:K523)</f>
        <v>30211.01</v>
      </c>
      <c r="L477" s="92">
        <f>SUM('CA brut produits &amp; sites'!L512:L523)</f>
        <v>4573.72</v>
      </c>
      <c r="M477" s="92">
        <f>SUM('CA brut produits &amp; sites'!M512:M523)</f>
        <v>-3266.6900000000005</v>
      </c>
      <c r="N477" s="92">
        <f>SUM('CA brut produits &amp; sites'!N512:N523)</f>
        <v>3030</v>
      </c>
      <c r="O477" s="92">
        <f>SUM('CA brut produits &amp; sites'!O512:O523)</f>
        <v>15375.57</v>
      </c>
      <c r="P477" s="93">
        <f>SUM('CA brut produits &amp; sites'!P512:P523)</f>
        <v>490</v>
      </c>
    </row>
    <row r="478" spans="1:16" x14ac:dyDescent="0.3">
      <c r="A478" s="94">
        <v>44228</v>
      </c>
      <c r="B478" s="146"/>
      <c r="C478" s="92">
        <f t="shared" ref="C478" si="75">SUM(D478:P478)</f>
        <v>600714.13000000012</v>
      </c>
      <c r="D478" s="92">
        <f>SUM('CA brut produits &amp; sites'!D513:D524)</f>
        <v>348323.07</v>
      </c>
      <c r="E478" s="92">
        <f>SUM('CA brut produits &amp; sites'!E513:E524)</f>
        <v>9751.0400000000009</v>
      </c>
      <c r="F478" s="92">
        <f>SUM('CA brut produits &amp; sites'!F513:F524)</f>
        <v>16815.760000000002</v>
      </c>
      <c r="G478" s="92">
        <f>SUM('CA brut produits &amp; sites'!G513:G524)</f>
        <v>2069.0100000000002</v>
      </c>
      <c r="H478" s="92">
        <f>SUM('CA brut produits &amp; sites'!H513:H524)</f>
        <v>58135.39</v>
      </c>
      <c r="I478" s="92">
        <f>SUM('CA brut produits &amp; sites'!I513:I524)</f>
        <v>5428.25</v>
      </c>
      <c r="J478" s="92">
        <f>SUM('CA brut produits &amp; sites'!J513:J524)</f>
        <v>99029.6</v>
      </c>
      <c r="K478" s="92">
        <f>SUM('CA brut produits &amp; sites'!K513:K524)</f>
        <v>32410.899999999998</v>
      </c>
      <c r="L478" s="92">
        <f>SUM('CA brut produits &amp; sites'!L513:L524)</f>
        <v>13794.68</v>
      </c>
      <c r="M478" s="92">
        <f>SUM('CA brut produits &amp; sites'!M513:M524)</f>
        <v>-3051.59</v>
      </c>
      <c r="N478" s="92">
        <f>SUM('CA brut produits &amp; sites'!N513:N524)</f>
        <v>3030</v>
      </c>
      <c r="O478" s="92">
        <f>SUM('CA brut produits &amp; sites'!O513:O524)</f>
        <v>14883.02</v>
      </c>
      <c r="P478" s="93">
        <f>SUM('CA brut produits &amp; sites'!P513:P524)</f>
        <v>95</v>
      </c>
    </row>
    <row r="479" spans="1:16" x14ac:dyDescent="0.3">
      <c r="A479" s="94">
        <v>44256</v>
      </c>
      <c r="B479" s="146"/>
      <c r="C479" s="92">
        <f t="shared" ref="C479" si="76">SUM(D479:P479)</f>
        <v>617542.01</v>
      </c>
      <c r="D479" s="92">
        <f>SUM('CA brut produits &amp; sites'!D514:D525)</f>
        <v>318451.27</v>
      </c>
      <c r="E479" s="92">
        <f>SUM('CA brut produits &amp; sites'!E514:E525)</f>
        <v>11008.880000000001</v>
      </c>
      <c r="F479" s="92">
        <f>SUM('CA brut produits &amp; sites'!F514:F525)</f>
        <v>26074.480000000003</v>
      </c>
      <c r="G479" s="92">
        <f>SUM('CA brut produits &amp; sites'!G514:G525)</f>
        <v>2167.84</v>
      </c>
      <c r="H479" s="92">
        <f>SUM('CA brut produits &amp; sites'!H514:H525)</f>
        <v>57930.75</v>
      </c>
      <c r="I479" s="92">
        <f>SUM('CA brut produits &amp; sites'!I514:I525)</f>
        <v>6649.65</v>
      </c>
      <c r="J479" s="92">
        <f>SUM('CA brut produits &amp; sites'!J514:J525)</f>
        <v>127032.1</v>
      </c>
      <c r="K479" s="92">
        <f>SUM('CA brut produits &amp; sites'!K514:K525)</f>
        <v>36638.439999999995</v>
      </c>
      <c r="L479" s="92">
        <f>SUM('CA brut produits &amp; sites'!L514:L525)</f>
        <v>14274.17</v>
      </c>
      <c r="M479" s="92">
        <f>SUM('CA brut produits &amp; sites'!M514:M525)</f>
        <v>-2449.04</v>
      </c>
      <c r="N479" s="92">
        <f>SUM('CA brut produits &amp; sites'!N514:N525)</f>
        <v>4720</v>
      </c>
      <c r="O479" s="92">
        <f>SUM('CA brut produits &amp; sites'!O514:O525)</f>
        <v>14883.02</v>
      </c>
      <c r="P479" s="93">
        <f>SUM('CA brut produits &amp; sites'!P514:P525)</f>
        <v>160.44999999999999</v>
      </c>
    </row>
    <row r="480" spans="1:16" x14ac:dyDescent="0.3">
      <c r="A480" s="94">
        <v>44287</v>
      </c>
      <c r="B480" s="146"/>
      <c r="C480" s="92">
        <f t="shared" ref="C480" si="77">SUM(D480:P480)</f>
        <v>633425.37</v>
      </c>
      <c r="D480" s="92">
        <f>SUM('CA brut produits &amp; sites'!D515:D526)</f>
        <v>313803.59000000003</v>
      </c>
      <c r="E480" s="92">
        <f>SUM('CA brut produits &amp; sites'!E515:E526)</f>
        <v>12999.390000000001</v>
      </c>
      <c r="F480" s="92">
        <f>SUM('CA brut produits &amp; sites'!F515:F526)</f>
        <v>31369.500000000004</v>
      </c>
      <c r="G480" s="92">
        <f>SUM('CA brut produits &amp; sites'!G515:G526)</f>
        <v>2440.2000000000003</v>
      </c>
      <c r="H480" s="92">
        <f>SUM('CA brut produits &amp; sites'!H515:H526)</f>
        <v>57289.15</v>
      </c>
      <c r="I480" s="92">
        <f>SUM('CA brut produits &amp; sites'!I515:I526)</f>
        <v>5300.7199999999993</v>
      </c>
      <c r="J480" s="92">
        <f>SUM('CA brut produits &amp; sites'!J515:J526)</f>
        <v>132660.1</v>
      </c>
      <c r="K480" s="92">
        <f>SUM('CA brut produits &amp; sites'!K515:K526)</f>
        <v>42779.259999999995</v>
      </c>
      <c r="L480" s="92">
        <f>SUM('CA brut produits &amp; sites'!L515:L526)</f>
        <v>15407.48</v>
      </c>
      <c r="M480" s="92">
        <f>SUM('CA brut produits &amp; sites'!M515:M526)</f>
        <v>-782.49000000000024</v>
      </c>
      <c r="N480" s="92">
        <f>SUM('CA brut produits &amp; sites'!N515:N526)</f>
        <v>5115</v>
      </c>
      <c r="O480" s="92">
        <f>SUM('CA brut produits &amp; sites'!O515:O526)</f>
        <v>14883.02</v>
      </c>
      <c r="P480" s="93">
        <f>SUM('CA brut produits &amp; sites'!P515:P526)</f>
        <v>160.44999999999999</v>
      </c>
    </row>
    <row r="481" spans="1:16" x14ac:dyDescent="0.3">
      <c r="A481" s="94">
        <v>44317</v>
      </c>
      <c r="B481" s="146"/>
      <c r="C481" s="92">
        <f t="shared" ref="C481" si="78">SUM(D481:P481)</f>
        <v>676512.52999999991</v>
      </c>
      <c r="D481" s="92">
        <f>SUM('CA brut produits &amp; sites'!D516:D527)</f>
        <v>314853.61999999994</v>
      </c>
      <c r="E481" s="92">
        <f>SUM('CA brut produits &amp; sites'!E516:E527)</f>
        <v>16949.75</v>
      </c>
      <c r="F481" s="92">
        <f>SUM('CA brut produits &amp; sites'!F516:F527)</f>
        <v>32506.100000000002</v>
      </c>
      <c r="G481" s="92">
        <f>SUM('CA brut produits &amp; sites'!G516:G527)</f>
        <v>2558.92</v>
      </c>
      <c r="H481" s="92">
        <f>SUM('CA brut produits &amp; sites'!H516:H527)</f>
        <v>73559.600000000006</v>
      </c>
      <c r="I481" s="92">
        <f>SUM('CA brut produits &amp; sites'!I516:I527)</f>
        <v>5435.1999999999989</v>
      </c>
      <c r="J481" s="92">
        <f>SUM('CA brut produits &amp; sites'!J516:J527)</f>
        <v>148854.1</v>
      </c>
      <c r="K481" s="92">
        <f>SUM('CA brut produits &amp; sites'!K516:K527)</f>
        <v>46221.349999999991</v>
      </c>
      <c r="L481" s="92">
        <f>SUM('CA brut produits &amp; sites'!L516:L527)</f>
        <v>15755.160000000002</v>
      </c>
      <c r="M481" s="92">
        <f>SUM('CA brut produits &amp; sites'!M516:M527)</f>
        <v>-751.24000000000024</v>
      </c>
      <c r="N481" s="92">
        <f>SUM('CA brut produits &amp; sites'!N516:N527)</f>
        <v>5510</v>
      </c>
      <c r="O481" s="92">
        <f>SUM('CA brut produits &amp; sites'!O516:O527)</f>
        <v>14883.02</v>
      </c>
      <c r="P481" s="93">
        <f>SUM('CA brut produits &amp; sites'!P516:P527)</f>
        <v>176.95</v>
      </c>
    </row>
    <row r="482" spans="1:16" x14ac:dyDescent="0.3">
      <c r="A482" s="94">
        <v>44348</v>
      </c>
      <c r="B482" s="146"/>
      <c r="C482" s="92">
        <f t="shared" ref="C482" si="79">SUM(D482:P482)</f>
        <v>699696.86999999988</v>
      </c>
      <c r="D482" s="92">
        <f>SUM('CA brut produits &amp; sites'!D517:D528)</f>
        <v>289829.65999999997</v>
      </c>
      <c r="E482" s="92">
        <f>SUM('CA brut produits &amp; sites'!E517:E528)</f>
        <v>18861.260000000002</v>
      </c>
      <c r="F482" s="92">
        <f>SUM('CA brut produits &amp; sites'!F517:F528)</f>
        <v>35906.129999999997</v>
      </c>
      <c r="G482" s="92">
        <f>SUM('CA brut produits &amp; sites'!G517:G528)</f>
        <v>2845.8</v>
      </c>
      <c r="H482" s="92">
        <f>SUM('CA brut produits &amp; sites'!H517:H528)</f>
        <v>75290.55</v>
      </c>
      <c r="I482" s="92">
        <f>SUM('CA brut produits &amp; sites'!I517:I528)</f>
        <v>5619.0599999999986</v>
      </c>
      <c r="J482" s="92">
        <f>SUM('CA brut produits &amp; sites'!J517:J528)</f>
        <v>184016.1</v>
      </c>
      <c r="K482" s="92">
        <f>SUM('CA brut produits &amp; sites'!K517:K528)</f>
        <v>49770.62</v>
      </c>
      <c r="L482" s="92">
        <f>SUM('CA brut produits &amp; sites'!L517:L528)</f>
        <v>17254.960000000003</v>
      </c>
      <c r="M482" s="92">
        <f>SUM('CA brut produits &amp; sites'!M517:M528)</f>
        <v>-707.24000000000024</v>
      </c>
      <c r="N482" s="92">
        <f>SUM('CA brut produits &amp; sites'!N517:N528)</f>
        <v>5905</v>
      </c>
      <c r="O482" s="92">
        <f>SUM('CA brut produits &amp; sites'!O517:O528)</f>
        <v>14883.02</v>
      </c>
      <c r="P482" s="93">
        <f>SUM('CA brut produits &amp; sites'!P517:P528)</f>
        <v>221.95</v>
      </c>
    </row>
    <row r="483" spans="1:16" x14ac:dyDescent="0.3">
      <c r="A483" s="94">
        <v>44378</v>
      </c>
      <c r="B483" s="146"/>
      <c r="C483" s="92">
        <f t="shared" ref="C483" si="80">SUM(D483:P483)</f>
        <v>743143.72</v>
      </c>
      <c r="D483" s="92">
        <f>SUM('CA brut produits &amp; sites'!D518:D529)</f>
        <v>307613.55</v>
      </c>
      <c r="E483" s="92">
        <f>SUM('CA brut produits &amp; sites'!E518:E529)</f>
        <v>19240.080000000002</v>
      </c>
      <c r="F483" s="92">
        <f>SUM('CA brut produits &amp; sites'!F518:F529)</f>
        <v>42289.53</v>
      </c>
      <c r="G483" s="92">
        <f>SUM('CA brut produits &amp; sites'!G518:G529)</f>
        <v>3168.19</v>
      </c>
      <c r="H483" s="92">
        <f>SUM('CA brut produits &amp; sites'!H518:H529)</f>
        <v>74350.27</v>
      </c>
      <c r="I483" s="92">
        <f>SUM('CA brut produits &amp; sites'!I518:I529)</f>
        <v>6015.3499999999985</v>
      </c>
      <c r="J483" s="92">
        <f>SUM('CA brut produits &amp; sites'!J518:J529)</f>
        <v>193372.1</v>
      </c>
      <c r="K483" s="92">
        <f>SUM('CA brut produits &amp; sites'!K518:K529)</f>
        <v>59319.83</v>
      </c>
      <c r="L483" s="92">
        <f>SUM('CA brut produits &amp; sites'!L518:L529)</f>
        <v>18162.140000000003</v>
      </c>
      <c r="M483" s="92">
        <f>SUM('CA brut produits &amp; sites'!M518:M529)</f>
        <v>482.70999999999981</v>
      </c>
      <c r="N483" s="92">
        <f>SUM('CA brut produits &amp; sites'!N518:N529)</f>
        <v>4005</v>
      </c>
      <c r="O483" s="92">
        <f>SUM('CA brut produits &amp; sites'!O518:O529)</f>
        <v>14883.02</v>
      </c>
      <c r="P483" s="93">
        <f>SUM('CA brut produits &amp; sites'!P518:P529)</f>
        <v>241.95</v>
      </c>
    </row>
    <row r="484" spans="1:16" x14ac:dyDescent="0.3">
      <c r="A484" s="94">
        <v>44409</v>
      </c>
      <c r="B484" s="146"/>
      <c r="C484" s="92">
        <f t="shared" ref="C484:C494" si="81">SUM(D484:P484)</f>
        <v>728082.07</v>
      </c>
      <c r="D484" s="92">
        <f>SUM('CA brut produits &amp; sites'!D519:D530)</f>
        <v>288643.42</v>
      </c>
      <c r="E484" s="92">
        <f>SUM('CA brut produits &amp; sites'!E519:E530)</f>
        <v>19555.560000000001</v>
      </c>
      <c r="F484" s="92">
        <f>SUM('CA brut produits &amp; sites'!F519:F530)</f>
        <v>42971.08</v>
      </c>
      <c r="G484" s="92">
        <f>SUM('CA brut produits &amp; sites'!G519:G530)</f>
        <v>3372.1</v>
      </c>
      <c r="H484" s="92">
        <f>SUM('CA brut produits &amp; sites'!H519:H530)</f>
        <v>74452.180000000008</v>
      </c>
      <c r="I484" s="92">
        <f>SUM('CA brut produits &amp; sites'!I519:I530)</f>
        <v>6108.0499999999984</v>
      </c>
      <c r="J484" s="92">
        <f>SUM('CA brut produits &amp; sites'!J519:J530)</f>
        <v>193372.1</v>
      </c>
      <c r="K484" s="92">
        <f>SUM('CA brut produits &amp; sites'!K519:K530)</f>
        <v>60603.519999999997</v>
      </c>
      <c r="L484" s="92">
        <f>SUM('CA brut produits &amp; sites'!L519:L530)</f>
        <v>18519.130000000005</v>
      </c>
      <c r="M484" s="92">
        <f>SUM('CA brut produits &amp; sites'!M519:M530)</f>
        <v>474.95999999999981</v>
      </c>
      <c r="N484" s="92">
        <f>SUM('CA brut produits &amp; sites'!N519:N530)</f>
        <v>4795</v>
      </c>
      <c r="O484" s="92">
        <f>SUM('CA brut produits &amp; sites'!O519:O530)</f>
        <v>14883.02</v>
      </c>
      <c r="P484" s="93">
        <f>SUM('CA brut produits &amp; sites'!P519:P530)</f>
        <v>331.95</v>
      </c>
    </row>
    <row r="485" spans="1:16" x14ac:dyDescent="0.3">
      <c r="A485" s="94">
        <v>44440</v>
      </c>
      <c r="B485" s="146"/>
      <c r="C485" s="92">
        <f t="shared" si="81"/>
        <v>738934.79999999993</v>
      </c>
      <c r="D485" s="92">
        <f>SUM('CA brut produits &amp; sites'!D520:D531)</f>
        <v>275301.27999999997</v>
      </c>
      <c r="E485" s="92">
        <f>SUM('CA brut produits &amp; sites'!E520:E531)</f>
        <v>15919.249999999998</v>
      </c>
      <c r="F485" s="92">
        <f>SUM('CA brut produits &amp; sites'!F520:F531)</f>
        <v>42747.4</v>
      </c>
      <c r="G485" s="92">
        <f>SUM('CA brut produits &amp; sites'!G520:G531)</f>
        <v>3329.18</v>
      </c>
      <c r="H485" s="92">
        <f>SUM('CA brut produits &amp; sites'!H520:H531)</f>
        <v>73034.919999999984</v>
      </c>
      <c r="I485" s="92">
        <f>SUM('CA brut produits &amp; sites'!I520:I531)</f>
        <v>6531.4299999999985</v>
      </c>
      <c r="J485" s="92">
        <f>SUM('CA brut produits &amp; sites'!J520:J531)</f>
        <v>229144.1</v>
      </c>
      <c r="K485" s="92">
        <f>SUM('CA brut produits &amp; sites'!K520:K531)</f>
        <v>60732</v>
      </c>
      <c r="L485" s="92">
        <f>SUM('CA brut produits &amp; sites'!L520:L531)</f>
        <v>18405.530000000002</v>
      </c>
      <c r="M485" s="92">
        <f>SUM('CA brut produits &amp; sites'!M520:M531)</f>
        <v>930.27999999999986</v>
      </c>
      <c r="N485" s="92">
        <f>SUM('CA brut produits &amp; sites'!N520:N531)</f>
        <v>4355</v>
      </c>
      <c r="O485" s="92">
        <f>SUM('CA brut produits &amp; sites'!O520:O531)</f>
        <v>8112.48</v>
      </c>
      <c r="P485" s="93">
        <f>SUM('CA brut produits &amp; sites'!P520:P531)</f>
        <v>391.95</v>
      </c>
    </row>
    <row r="486" spans="1:16" x14ac:dyDescent="0.3">
      <c r="A486" s="94">
        <v>44470</v>
      </c>
      <c r="B486" s="146"/>
      <c r="C486" s="92">
        <f t="shared" si="81"/>
        <v>747447.51999999979</v>
      </c>
      <c r="D486" s="92">
        <f>SUM('CA brut produits &amp; sites'!D521:D532)</f>
        <v>272505.61</v>
      </c>
      <c r="E486" s="92">
        <f>SUM('CA brut produits &amp; sites'!E521:E532)</f>
        <v>16543.66</v>
      </c>
      <c r="F486" s="92">
        <f>SUM('CA brut produits &amp; sites'!F521:F532)</f>
        <v>47515.06</v>
      </c>
      <c r="G486" s="92">
        <f>SUM('CA brut produits &amp; sites'!G521:G532)</f>
        <v>3350.8099999999995</v>
      </c>
      <c r="H486" s="92">
        <f>SUM('CA brut produits &amp; sites'!H521:H532)</f>
        <v>74315.28</v>
      </c>
      <c r="I486" s="92">
        <f>SUM('CA brut produits &amp; sites'!I521:I532)</f>
        <v>5054.9100000000008</v>
      </c>
      <c r="J486" s="92">
        <f>SUM('CA brut produits &amp; sites'!J521:J532)</f>
        <v>232338.6</v>
      </c>
      <c r="K486" s="92">
        <f>SUM('CA brut produits &amp; sites'!K521:K532)</f>
        <v>63058.239999999991</v>
      </c>
      <c r="L486" s="92">
        <f>SUM('CA brut produits &amp; sites'!L521:L532)</f>
        <v>19419.010000000002</v>
      </c>
      <c r="M486" s="92">
        <f>SUM('CA brut produits &amp; sites'!M521:M532)</f>
        <v>1659.0699999999997</v>
      </c>
      <c r="N486" s="92">
        <f>SUM('CA brut produits &amp; sites'!N521:N532)</f>
        <v>4405</v>
      </c>
      <c r="O486" s="92">
        <f>SUM('CA brut produits &amp; sites'!O521:O532)</f>
        <v>6830.32</v>
      </c>
      <c r="P486" s="93">
        <f>SUM('CA brut produits &amp; sites'!P521:P532)</f>
        <v>451.95</v>
      </c>
    </row>
    <row r="487" spans="1:16" x14ac:dyDescent="0.3">
      <c r="A487" s="94">
        <v>44501</v>
      </c>
      <c r="B487" s="146"/>
      <c r="C487" s="92">
        <f t="shared" si="81"/>
        <v>716843.82999999984</v>
      </c>
      <c r="D487" s="92">
        <f>SUM('CA brut produits &amp; sites'!D522:D533)</f>
        <v>250269.97</v>
      </c>
      <c r="E487" s="92">
        <f>SUM('CA brut produits &amp; sites'!E522:E533)</f>
        <v>17694.809999999998</v>
      </c>
      <c r="F487" s="92">
        <f>SUM('CA brut produits &amp; sites'!F522:F533)</f>
        <v>48371.99</v>
      </c>
      <c r="G487" s="92">
        <f>SUM('CA brut produits &amp; sites'!G522:G533)</f>
        <v>2123.23</v>
      </c>
      <c r="H487" s="92">
        <f>SUM('CA brut produits &amp; sites'!H522:H533)</f>
        <v>77044.759999999995</v>
      </c>
      <c r="I487" s="92">
        <f>SUM('CA brut produits &amp; sites'!I522:I533)</f>
        <v>5474.9100000000008</v>
      </c>
      <c r="J487" s="92">
        <f>SUM('CA brut produits &amp; sites'!J522:J533)</f>
        <v>230278.76</v>
      </c>
      <c r="K487" s="92">
        <f>SUM('CA brut produits &amp; sites'!K522:K533)</f>
        <v>59393.739999999991</v>
      </c>
      <c r="L487" s="92">
        <f>SUM('CA brut produits &amp; sites'!L522:L533)</f>
        <v>19423.139999999996</v>
      </c>
      <c r="M487" s="92">
        <f>SUM('CA brut produits &amp; sites'!M522:M533)</f>
        <v>1526.5699999999997</v>
      </c>
      <c r="N487" s="92">
        <f>SUM('CA brut produits &amp; sites'!N522:N533)</f>
        <v>4700</v>
      </c>
      <c r="O487" s="92">
        <f>SUM('CA brut produits &amp; sites'!O522:O533)</f>
        <v>0</v>
      </c>
      <c r="P487" s="93">
        <f>SUM('CA brut produits &amp; sites'!P522:P533)</f>
        <v>541.95000000000005</v>
      </c>
    </row>
    <row r="488" spans="1:16" x14ac:dyDescent="0.3">
      <c r="A488" s="94">
        <v>44531</v>
      </c>
      <c r="B488" s="146"/>
      <c r="C488" s="92">
        <f t="shared" si="81"/>
        <v>713728.46999999986</v>
      </c>
      <c r="D488" s="92">
        <f>SUM('CA brut produits &amp; sites'!D523:D534)</f>
        <v>241765.03000000003</v>
      </c>
      <c r="E488" s="92">
        <f>SUM('CA brut produits &amp; sites'!E523:E534)</f>
        <v>18184.039999999997</v>
      </c>
      <c r="F488" s="92">
        <f>SUM('CA brut produits &amp; sites'!F523:F534)</f>
        <v>48056.69</v>
      </c>
      <c r="G488" s="92">
        <f>SUM('CA brut produits &amp; sites'!G523:G534)</f>
        <v>2115.0700000000002</v>
      </c>
      <c r="H488" s="92">
        <f>SUM('CA brut produits &amp; sites'!H523:H534)</f>
        <v>80215.529999999984</v>
      </c>
      <c r="I488" s="92">
        <f>SUM('CA brut produits &amp; sites'!I523:I534)</f>
        <v>4486.5099999999993</v>
      </c>
      <c r="J488" s="92">
        <f>SUM('CA brut produits &amp; sites'!J523:J534)</f>
        <v>231492.59000000003</v>
      </c>
      <c r="K488" s="92">
        <f>SUM('CA brut produits &amp; sites'!K523:K534)</f>
        <v>59046.229999999996</v>
      </c>
      <c r="L488" s="92">
        <f>SUM('CA brut produits &amp; sites'!L523:L534)</f>
        <v>20100.080000000002</v>
      </c>
      <c r="M488" s="92">
        <f>SUM('CA brut produits &amp; sites'!M523:M534)</f>
        <v>2829.75</v>
      </c>
      <c r="N488" s="92">
        <f>SUM('CA brut produits &amp; sites'!N523:N534)</f>
        <v>4700</v>
      </c>
      <c r="O488" s="92">
        <f>SUM('CA brut produits &amp; sites'!O523:O534)</f>
        <v>0</v>
      </c>
      <c r="P488" s="93">
        <f>SUM('CA brut produits &amp; sites'!P523:P534)</f>
        <v>736.95</v>
      </c>
    </row>
    <row r="489" spans="1:16" x14ac:dyDescent="0.3">
      <c r="A489" s="94">
        <v>44562</v>
      </c>
      <c r="B489" s="146"/>
      <c r="C489" s="92">
        <f t="shared" si="81"/>
        <v>690501.34000000008</v>
      </c>
      <c r="D489" s="92">
        <f>SUM('CA brut produits &amp; sites'!D524:D535)</f>
        <v>237783.47000000003</v>
      </c>
      <c r="E489" s="92">
        <f>SUM('CA brut produits &amp; sites'!E524:E535)</f>
        <v>18314.299999999996</v>
      </c>
      <c r="F489" s="92">
        <f>SUM('CA brut produits &amp; sites'!F524:F535)</f>
        <v>45793.64</v>
      </c>
      <c r="G489" s="92">
        <f>SUM('CA brut produits &amp; sites'!G524:G535)</f>
        <v>2016.22</v>
      </c>
      <c r="H489" s="92">
        <f>SUM('CA brut produits &amp; sites'!H524:H535)</f>
        <v>60050.530000000006</v>
      </c>
      <c r="I489" s="92">
        <f>SUM('CA brut produits &amp; sites'!I524:I535)</f>
        <v>4492.5599999999995</v>
      </c>
      <c r="J489" s="92">
        <f>SUM('CA brut produits &amp; sites'!J524:J535)</f>
        <v>233656.88000000003</v>
      </c>
      <c r="K489" s="92">
        <f>SUM('CA brut produits &amp; sites'!K524:K535)</f>
        <v>58698.979999999996</v>
      </c>
      <c r="L489" s="92">
        <f>SUM('CA brut produits &amp; sites'!L524:L535)</f>
        <v>20754.809999999998</v>
      </c>
      <c r="M489" s="92">
        <f>SUM('CA brut produits &amp; sites'!M524:M535)</f>
        <v>3413</v>
      </c>
      <c r="N489" s="92">
        <f>SUM('CA brut produits &amp; sites'!N524:N535)</f>
        <v>4700</v>
      </c>
      <c r="O489" s="92">
        <f>SUM('CA brut produits &amp; sites'!O524:O535)</f>
        <v>0</v>
      </c>
      <c r="P489" s="93">
        <f>SUM('CA brut produits &amp; sites'!P524:P535)</f>
        <v>826.95</v>
      </c>
    </row>
    <row r="490" spans="1:16" x14ac:dyDescent="0.3">
      <c r="A490" s="94">
        <v>44593</v>
      </c>
      <c r="B490" s="146"/>
      <c r="C490" s="92">
        <f t="shared" si="81"/>
        <v>614746.8899999999</v>
      </c>
      <c r="D490" s="92">
        <f>SUM('CA brut produits &amp; sites'!D525:D536)</f>
        <v>235871.34</v>
      </c>
      <c r="E490" s="92">
        <f>SUM('CA brut produits &amp; sites'!E525:E536)</f>
        <v>17626.78</v>
      </c>
      <c r="F490" s="92">
        <f>SUM('CA brut produits &amp; sites'!F525:F536)</f>
        <v>46426.130000000005</v>
      </c>
      <c r="G490" s="92">
        <f>SUM('CA brut produits &amp; sites'!G525:G536)</f>
        <v>2536.9199999999996</v>
      </c>
      <c r="H490" s="92">
        <f>SUM('CA brut produits &amp; sites'!H525:H536)</f>
        <v>34412.229999999996</v>
      </c>
      <c r="I490" s="92">
        <f>SUM('CA brut produits &amp; sites'!I525:I536)</f>
        <v>3621.88</v>
      </c>
      <c r="J490" s="92">
        <f>SUM('CA brut produits &amp; sites'!J525:J536)</f>
        <v>189484.03</v>
      </c>
      <c r="K490" s="92">
        <f>SUM('CA brut produits &amp; sites'!K525:K536)</f>
        <v>61033.429999999993</v>
      </c>
      <c r="L490" s="92">
        <f>SUM('CA brut produits &amp; sites'!L525:L536)</f>
        <v>13170.699999999999</v>
      </c>
      <c r="M490" s="92">
        <f>SUM('CA brut produits &amp; sites'!M525:M536)</f>
        <v>3312.6499999999996</v>
      </c>
      <c r="N490" s="92">
        <f>SUM('CA brut produits &amp; sites'!N525:N536)</f>
        <v>4960</v>
      </c>
      <c r="O490" s="92">
        <f>SUM('CA brut produits &amp; sites'!O525:O536)</f>
        <v>1093.8499999999999</v>
      </c>
      <c r="P490" s="93">
        <f>SUM('CA brut produits &amp; sites'!P525:P536)</f>
        <v>1196.95</v>
      </c>
    </row>
    <row r="491" spans="1:16" x14ac:dyDescent="0.3">
      <c r="A491" s="94">
        <v>44621</v>
      </c>
      <c r="B491" s="146"/>
      <c r="C491" s="92">
        <f t="shared" si="81"/>
        <v>577209.8899999999</v>
      </c>
      <c r="D491" s="92">
        <f>SUM('CA brut produits &amp; sites'!D526:D537)</f>
        <v>231195.71</v>
      </c>
      <c r="E491" s="92">
        <f>SUM('CA brut produits &amp; sites'!E526:E537)</f>
        <v>16386.150000000001</v>
      </c>
      <c r="F491" s="92">
        <f>SUM('CA brut produits &amp; sites'!F526:F537)</f>
        <v>38772.89</v>
      </c>
      <c r="G491" s="92">
        <f>SUM('CA brut produits &amp; sites'!G526:G537)</f>
        <v>2492.0699999999997</v>
      </c>
      <c r="H491" s="92">
        <f>SUM('CA brut produits &amp; sites'!H526:H537)</f>
        <v>40021.11</v>
      </c>
      <c r="I491" s="92">
        <f>SUM('CA brut produits &amp; sites'!I526:I537)</f>
        <v>2416.3100000000004</v>
      </c>
      <c r="J491" s="92">
        <f>SUM('CA brut produits &amp; sites'!J526:J537)</f>
        <v>162773.53</v>
      </c>
      <c r="K491" s="92">
        <f>SUM('CA brut produits &amp; sites'!K526:K537)</f>
        <v>60331.429999999993</v>
      </c>
      <c r="L491" s="92">
        <f>SUM('CA brut produits &amp; sites'!L526:L537)</f>
        <v>13775.24</v>
      </c>
      <c r="M491" s="92">
        <f>SUM('CA brut produits &amp; sites'!M526:M537)</f>
        <v>2760.0999999999995</v>
      </c>
      <c r="N491" s="92">
        <f>SUM('CA brut produits &amp; sites'!N526:N537)</f>
        <v>3565</v>
      </c>
      <c r="O491" s="92">
        <f>SUM('CA brut produits &amp; sites'!O526:O537)</f>
        <v>1093.8499999999999</v>
      </c>
      <c r="P491" s="93">
        <f>SUM('CA brut produits &amp; sites'!P526:P537)</f>
        <v>1626.5</v>
      </c>
    </row>
    <row r="492" spans="1:16" x14ac:dyDescent="0.3">
      <c r="A492" s="94">
        <v>44652</v>
      </c>
      <c r="B492" s="146"/>
      <c r="C492" s="92">
        <f t="shared" si="81"/>
        <v>574694.56000000006</v>
      </c>
      <c r="D492" s="92">
        <f>SUM('CA brut produits &amp; sites'!D527:D538)</f>
        <v>232190.1</v>
      </c>
      <c r="E492" s="92">
        <f>SUM('CA brut produits &amp; sites'!E527:E538)</f>
        <v>15832.38</v>
      </c>
      <c r="F492" s="92">
        <f>SUM('CA brut produits &amp; sites'!F527:F538)</f>
        <v>37063.03</v>
      </c>
      <c r="G492" s="92">
        <f>SUM('CA brut produits &amp; sites'!G527:G538)</f>
        <v>2266.8999999999996</v>
      </c>
      <c r="H492" s="92">
        <f>SUM('CA brut produits &amp; sites'!H527:H538)</f>
        <v>41700.21</v>
      </c>
      <c r="I492" s="92">
        <f>SUM('CA brut produits &amp; sites'!I527:I538)</f>
        <v>2461.7400000000002</v>
      </c>
      <c r="J492" s="92">
        <f>SUM('CA brut produits &amp; sites'!J527:J538)</f>
        <v>160134.53</v>
      </c>
      <c r="K492" s="92">
        <f>SUM('CA brut produits &amp; sites'!K527:K538)</f>
        <v>59216.73</v>
      </c>
      <c r="L492" s="92">
        <f>SUM('CA brut produits &amp; sites'!L527:L538)</f>
        <v>13800.29</v>
      </c>
      <c r="M492" s="92">
        <f>SUM('CA brut produits &amp; sites'!M527:M538)</f>
        <v>3748.2999999999997</v>
      </c>
      <c r="N492" s="92">
        <f>SUM('CA brut produits &amp; sites'!N527:N538)</f>
        <v>3170</v>
      </c>
      <c r="O492" s="92">
        <f>SUM('CA brut produits &amp; sites'!O527:O538)</f>
        <v>1093.8499999999999</v>
      </c>
      <c r="P492" s="93">
        <f>SUM('CA brut produits &amp; sites'!P527:P538)</f>
        <v>2016.5</v>
      </c>
    </row>
    <row r="493" spans="1:16" x14ac:dyDescent="0.3">
      <c r="A493" s="94">
        <v>44682</v>
      </c>
      <c r="B493" s="146"/>
      <c r="C493" s="92">
        <f t="shared" si="81"/>
        <v>567496.79</v>
      </c>
      <c r="D493" s="92">
        <f>SUM('CA brut produits &amp; sites'!D528:D539)</f>
        <v>234512.01</v>
      </c>
      <c r="E493" s="92">
        <f>SUM('CA brut produits &amp; sites'!E528:E539)</f>
        <v>11279.279999999999</v>
      </c>
      <c r="F493" s="92">
        <f>SUM('CA brut produits &amp; sites'!F528:F539)</f>
        <v>38193.9</v>
      </c>
      <c r="G493" s="92">
        <f>SUM('CA brut produits &amp; sites'!G528:G539)</f>
        <v>2179.64</v>
      </c>
      <c r="H493" s="92">
        <f>SUM('CA brut produits &amp; sites'!H528:H539)</f>
        <v>22742.149999999998</v>
      </c>
      <c r="I493" s="92">
        <f>SUM('CA brut produits &amp; sites'!I528:I539)</f>
        <v>2351.2600000000002</v>
      </c>
      <c r="J493" s="92">
        <f>SUM('CA brut produits &amp; sites'!J528:J539)</f>
        <v>167325.91</v>
      </c>
      <c r="K493" s="92">
        <f>SUM('CA brut produits &amp; sites'!K528:K539)</f>
        <v>59286.829999999994</v>
      </c>
      <c r="L493" s="92">
        <f>SUM('CA brut produits &amp; sites'!L528:L539)</f>
        <v>14143.360000000002</v>
      </c>
      <c r="M493" s="92">
        <f>SUM('CA brut produits &amp; sites'!M528:M539)</f>
        <v>4816.5499999999993</v>
      </c>
      <c r="N493" s="92">
        <f>SUM('CA brut produits &amp; sites'!N528:N539)</f>
        <v>2775</v>
      </c>
      <c r="O493" s="92">
        <f>SUM('CA brut produits &amp; sites'!O528:O539)</f>
        <v>5440.9</v>
      </c>
      <c r="P493" s="93">
        <f>SUM('CA brut produits &amp; sites'!P528:P539)</f>
        <v>2450</v>
      </c>
    </row>
    <row r="494" spans="1:16" x14ac:dyDescent="0.3">
      <c r="A494" s="94">
        <v>44713</v>
      </c>
      <c r="B494" s="146"/>
      <c r="C494" s="92">
        <f t="shared" si="81"/>
        <v>534552.92000000004</v>
      </c>
      <c r="D494" s="92">
        <f>SUM('CA brut produits &amp; sites'!D529:D540)</f>
        <v>234235.06999999998</v>
      </c>
      <c r="E494" s="92">
        <f>SUM('CA brut produits &amp; sites'!E529:E540)</f>
        <v>9243.32</v>
      </c>
      <c r="F494" s="92">
        <f>SUM('CA brut produits &amp; sites'!F529:F540)</f>
        <v>36257.009999999995</v>
      </c>
      <c r="G494" s="92">
        <f>SUM('CA brut produits &amp; sites'!G529:G540)</f>
        <v>2162.35</v>
      </c>
      <c r="H494" s="92">
        <f>SUM('CA brut produits &amp; sites'!H529:H540)</f>
        <v>23101.84</v>
      </c>
      <c r="I494" s="92">
        <f>SUM('CA brut produits &amp; sites'!I529:I540)</f>
        <v>2182.3999999999996</v>
      </c>
      <c r="J494" s="92">
        <f>SUM('CA brut produits &amp; sites'!J529:J540)</f>
        <v>136699.91</v>
      </c>
      <c r="K494" s="92">
        <f>SUM('CA brut produits &amp; sites'!K529:K540)</f>
        <v>59745.14</v>
      </c>
      <c r="L494" s="92">
        <f>SUM('CA brut produits &amp; sites'!L529:L540)</f>
        <v>14437.93</v>
      </c>
      <c r="M494" s="92">
        <f>SUM('CA brut produits &amp; sites'!M529:M540)</f>
        <v>6117.0499999999993</v>
      </c>
      <c r="N494" s="92">
        <f>SUM('CA brut produits &amp; sites'!N529:N540)</f>
        <v>2380</v>
      </c>
      <c r="O494" s="92">
        <f>SUM('CA brut produits &amp; sites'!O529:O540)</f>
        <v>5440.9</v>
      </c>
      <c r="P494" s="93">
        <f>SUM('CA brut produits &amp; sites'!P529:P540)</f>
        <v>2550</v>
      </c>
    </row>
    <row r="495" spans="1:16" x14ac:dyDescent="0.3">
      <c r="A495" s="94">
        <v>44743</v>
      </c>
      <c r="B495" s="146"/>
      <c r="P495" s="93"/>
    </row>
    <row r="496" spans="1:16" x14ac:dyDescent="0.3">
      <c r="A496" s="94">
        <v>44774</v>
      </c>
      <c r="B496" s="146"/>
      <c r="P496" s="93"/>
    </row>
    <row r="497" spans="1:16" x14ac:dyDescent="0.3">
      <c r="A497" s="94">
        <v>44805</v>
      </c>
      <c r="B497" s="146"/>
      <c r="P497" s="93"/>
    </row>
    <row r="498" spans="1:16" x14ac:dyDescent="0.3">
      <c r="A498" s="94">
        <v>44835</v>
      </c>
      <c r="B498" s="146"/>
      <c r="P498" s="93"/>
    </row>
    <row r="499" spans="1:16" x14ac:dyDescent="0.3">
      <c r="A499" s="94">
        <v>44866</v>
      </c>
      <c r="B499" s="146"/>
      <c r="P499" s="93"/>
    </row>
    <row r="500" spans="1:16" x14ac:dyDescent="0.3">
      <c r="A500" s="94">
        <v>44896</v>
      </c>
      <c r="B500" s="146"/>
      <c r="P500" s="93"/>
    </row>
    <row r="501" spans="1:16" x14ac:dyDescent="0.3">
      <c r="A501" s="94"/>
      <c r="B501" s="146"/>
      <c r="P501" s="93"/>
    </row>
    <row r="502" spans="1:16" x14ac:dyDescent="0.3">
      <c r="A502" s="94"/>
      <c r="B502" s="146"/>
      <c r="P502" s="93"/>
    </row>
    <row r="503" spans="1:16" ht="15" thickBot="1" x14ac:dyDescent="0.35">
      <c r="A503" s="94"/>
      <c r="B503" s="149"/>
      <c r="P503" s="93"/>
    </row>
    <row r="504" spans="1:16" ht="17.100000000000001" customHeight="1" x14ac:dyDescent="0.3">
      <c r="A504" s="88">
        <v>41974</v>
      </c>
      <c r="B504" s="145" t="s">
        <v>20</v>
      </c>
      <c r="C504" s="95">
        <f t="shared" ref="C504:C540" si="82">SUM(D504:N504)</f>
        <v>118489.26000000002</v>
      </c>
      <c r="D504" s="95">
        <f>SUM('CA brut produits &amp; sites'!D548:D559)</f>
        <v>31677.75</v>
      </c>
      <c r="E504" s="95">
        <f>SUM('CA brut produits &amp; sites'!E548:E559)</f>
        <v>59173.770000000011</v>
      </c>
      <c r="F504" s="95">
        <f>SUM('CA brut produits &amp; sites'!F548:F559)</f>
        <v>549.53000000000009</v>
      </c>
      <c r="G504" s="95">
        <f>SUM('CA brut produits &amp; sites'!G548:G559)</f>
        <v>16.46</v>
      </c>
      <c r="H504" s="95">
        <f>SUM('CA brut produits &amp; sites'!H548:H559)</f>
        <v>1229.1599999999999</v>
      </c>
      <c r="I504" s="95">
        <f>SUM('CA brut produits &amp; sites'!I548:I559)</f>
        <v>253.77000000000004</v>
      </c>
      <c r="J504" s="95">
        <f>SUM('CA brut produits &amp; sites'!J548:J559)</f>
        <v>0</v>
      </c>
      <c r="K504" s="95">
        <f>SUM('CA brut produits &amp; sites'!K548:K559)</f>
        <v>25554.179999999997</v>
      </c>
      <c r="L504" s="95">
        <f>SUM('CA brut produits &amp; sites'!L548:L559)</f>
        <v>15</v>
      </c>
      <c r="M504" s="95">
        <f>SUM('CA brut produits &amp; sites'!M548:M559)</f>
        <v>19.64</v>
      </c>
      <c r="N504" s="95">
        <f>SUM('CA brut produits &amp; sites'!N548:N559)</f>
        <v>0</v>
      </c>
      <c r="O504" s="95">
        <f>SUM('CA brut produits &amp; sites'!O548:O559)</f>
        <v>0</v>
      </c>
      <c r="P504" s="97">
        <f>SUM('CA brut produits &amp; sites'!P548:P559)</f>
        <v>0</v>
      </c>
    </row>
    <row r="505" spans="1:16" x14ac:dyDescent="0.3">
      <c r="A505" s="87">
        <v>42005</v>
      </c>
      <c r="B505" s="146"/>
      <c r="C505" s="92">
        <f t="shared" si="82"/>
        <v>120148.68000000001</v>
      </c>
      <c r="D505" s="92">
        <f>SUM('CA brut produits &amp; sites'!D549:D560)</f>
        <v>29165.72</v>
      </c>
      <c r="E505" s="92">
        <f>SUM('CA brut produits &amp; sites'!E549:E560)</f>
        <v>63019.780000000006</v>
      </c>
      <c r="F505" s="92">
        <f>SUM('CA brut produits &amp; sites'!F549:F560)</f>
        <v>819.53000000000009</v>
      </c>
      <c r="G505" s="92">
        <f>SUM('CA brut produits &amp; sites'!G549:G560)</f>
        <v>16.46</v>
      </c>
      <c r="H505" s="92">
        <f>SUM('CA brut produits &amp; sites'!H549:H560)</f>
        <v>1174.4999999999998</v>
      </c>
      <c r="I505" s="92">
        <f>SUM('CA brut produits &amp; sites'!I549:I560)</f>
        <v>253.77000000000004</v>
      </c>
      <c r="J505" s="92">
        <f>SUM('CA brut produits &amp; sites'!J549:J560)</f>
        <v>0</v>
      </c>
      <c r="K505" s="92">
        <f>SUM('CA brut produits &amp; sites'!K549:K560)</f>
        <v>25699.279999999999</v>
      </c>
      <c r="L505" s="92">
        <f>SUM('CA brut produits &amp; sites'!L549:L560)</f>
        <v>40</v>
      </c>
      <c r="M505" s="92">
        <f>SUM('CA brut produits &amp; sites'!M549:M560)</f>
        <v>-40.36</v>
      </c>
      <c r="N505" s="92">
        <f>SUM('CA brut produits &amp; sites'!N549:N560)</f>
        <v>0</v>
      </c>
      <c r="O505" s="92">
        <f>SUM('CA brut produits &amp; sites'!O549:O560)</f>
        <v>0</v>
      </c>
      <c r="P505" s="93">
        <f>SUM('CA brut produits &amp; sites'!P549:P560)</f>
        <v>0</v>
      </c>
    </row>
    <row r="506" spans="1:16" x14ac:dyDescent="0.3">
      <c r="A506" s="87">
        <v>42036</v>
      </c>
      <c r="B506" s="146"/>
      <c r="C506" s="92">
        <f t="shared" si="82"/>
        <v>117510.85000000003</v>
      </c>
      <c r="D506" s="92">
        <f>SUM('CA brut produits &amp; sites'!D550:D561)</f>
        <v>29247.95</v>
      </c>
      <c r="E506" s="92">
        <f>SUM('CA brut produits &amp; sites'!E550:E561)</f>
        <v>62410.620000000017</v>
      </c>
      <c r="F506" s="92">
        <f>SUM('CA brut produits &amp; sites'!F550:F561)</f>
        <v>817.97</v>
      </c>
      <c r="G506" s="92">
        <f>SUM('CA brut produits &amp; sites'!G550:G561)</f>
        <v>16.46</v>
      </c>
      <c r="H506" s="92">
        <f>SUM('CA brut produits &amp; sites'!H550:H561)</f>
        <v>1287.8200000000002</v>
      </c>
      <c r="I506" s="92">
        <f>SUM('CA brut produits &amp; sites'!I550:I561)</f>
        <v>253.77000000000004</v>
      </c>
      <c r="J506" s="92">
        <f>SUM('CA brut produits &amp; sites'!J550:J561)</f>
        <v>0</v>
      </c>
      <c r="K506" s="92">
        <f>SUM('CA brut produits &amp; sites'!K550:K561)</f>
        <v>23470.619999999995</v>
      </c>
      <c r="L506" s="92">
        <f>SUM('CA brut produits &amp; sites'!L550:L561)</f>
        <v>40</v>
      </c>
      <c r="M506" s="92">
        <f>SUM('CA brut produits &amp; sites'!M550:M561)</f>
        <v>-34.36</v>
      </c>
      <c r="N506" s="92">
        <f>SUM('CA brut produits &amp; sites'!N550:N561)</f>
        <v>0</v>
      </c>
      <c r="O506" s="92">
        <f>SUM('CA brut produits &amp; sites'!O550:O561)</f>
        <v>0</v>
      </c>
      <c r="P506" s="93">
        <f>SUM('CA brut produits &amp; sites'!P550:P561)</f>
        <v>0</v>
      </c>
    </row>
    <row r="507" spans="1:16" x14ac:dyDescent="0.3">
      <c r="A507" s="87">
        <v>42064</v>
      </c>
      <c r="B507" s="146"/>
      <c r="C507" s="92">
        <f t="shared" si="82"/>
        <v>127384.48000000001</v>
      </c>
      <c r="D507" s="92">
        <f>SUM('CA brut produits &amp; sites'!D551:D562)</f>
        <v>33849.25</v>
      </c>
      <c r="E507" s="92">
        <f>SUM('CA brut produits &amp; sites'!E551:E562)</f>
        <v>64894.430000000008</v>
      </c>
      <c r="F507" s="92">
        <f>SUM('CA brut produits &amp; sites'!F551:F562)</f>
        <v>951.62000000000012</v>
      </c>
      <c r="G507" s="92">
        <f>SUM('CA brut produits &amp; sites'!G551:G562)</f>
        <v>16.46</v>
      </c>
      <c r="H507" s="92">
        <f>SUM('CA brut produits &amp; sites'!H551:H562)</f>
        <v>2924.37</v>
      </c>
      <c r="I507" s="92">
        <f>SUM('CA brut produits &amp; sites'!I551:I562)</f>
        <v>253.77000000000004</v>
      </c>
      <c r="J507" s="92">
        <f>SUM('CA brut produits &amp; sites'!J551:J562)</f>
        <v>0</v>
      </c>
      <c r="K507" s="92">
        <f>SUM('CA brut produits &amp; sites'!K551:K562)</f>
        <v>24513.94</v>
      </c>
      <c r="L507" s="92">
        <f>SUM('CA brut produits &amp; sites'!L551:L562)</f>
        <v>25</v>
      </c>
      <c r="M507" s="92">
        <f>SUM('CA brut produits &amp; sites'!M551:M562)</f>
        <v>-44.36</v>
      </c>
      <c r="N507" s="92">
        <f>SUM('CA brut produits &amp; sites'!N551:N562)</f>
        <v>0</v>
      </c>
      <c r="O507" s="92">
        <f>SUM('CA brut produits &amp; sites'!O551:O562)</f>
        <v>0</v>
      </c>
      <c r="P507" s="93">
        <f>SUM('CA brut produits &amp; sites'!P551:P562)</f>
        <v>0</v>
      </c>
    </row>
    <row r="508" spans="1:16" x14ac:dyDescent="0.3">
      <c r="A508" s="87">
        <v>42095</v>
      </c>
      <c r="B508" s="146"/>
      <c r="C508" s="92">
        <f t="shared" si="82"/>
        <v>127419.31000000003</v>
      </c>
      <c r="D508" s="92">
        <f>SUM('CA brut produits &amp; sites'!D552:D563)</f>
        <v>34275.800000000003</v>
      </c>
      <c r="E508" s="92">
        <f>SUM('CA brut produits &amp; sites'!E552:E563)</f>
        <v>64699.19000000001</v>
      </c>
      <c r="F508" s="92">
        <f>SUM('CA brut produits &amp; sites'!F552:F563)</f>
        <v>951.62000000000012</v>
      </c>
      <c r="G508" s="92">
        <f>SUM('CA brut produits &amp; sites'!G552:G563)</f>
        <v>16.46</v>
      </c>
      <c r="H508" s="92">
        <f>SUM('CA brut produits &amp; sites'!H552:H563)</f>
        <v>2924.37</v>
      </c>
      <c r="I508" s="92">
        <f>SUM('CA brut produits &amp; sites'!I552:I563)</f>
        <v>253.77000000000004</v>
      </c>
      <c r="J508" s="92">
        <f>SUM('CA brut produits &amp; sites'!J552:J563)</f>
        <v>0</v>
      </c>
      <c r="K508" s="92">
        <f>SUM('CA brut produits &amp; sites'!K552:K563)</f>
        <v>24277.55</v>
      </c>
      <c r="L508" s="92">
        <f>SUM('CA brut produits &amp; sites'!L552:L563)</f>
        <v>25</v>
      </c>
      <c r="M508" s="92">
        <f>SUM('CA brut produits &amp; sites'!M552:M563)</f>
        <v>-4.4500000000000028</v>
      </c>
      <c r="N508" s="92">
        <f>SUM('CA brut produits &amp; sites'!N552:N563)</f>
        <v>0</v>
      </c>
      <c r="O508" s="92">
        <f>SUM('CA brut produits &amp; sites'!O552:O563)</f>
        <v>0</v>
      </c>
      <c r="P508" s="93">
        <f>SUM('CA brut produits &amp; sites'!P552:P563)</f>
        <v>0</v>
      </c>
    </row>
    <row r="509" spans="1:16" x14ac:dyDescent="0.3">
      <c r="A509" s="87">
        <v>42125</v>
      </c>
      <c r="B509" s="146"/>
      <c r="C509" s="92">
        <f t="shared" si="82"/>
        <v>128880.86000000002</v>
      </c>
      <c r="D509" s="92">
        <f>SUM('CA brut produits &amp; sites'!D553:D564)</f>
        <v>34882.98000000001</v>
      </c>
      <c r="E509" s="92">
        <f>SUM('CA brut produits &amp; sites'!E553:E564)</f>
        <v>65393.530000000006</v>
      </c>
      <c r="F509" s="92">
        <f>SUM('CA brut produits &amp; sites'!F553:F564)</f>
        <v>951.62000000000012</v>
      </c>
      <c r="G509" s="92">
        <f>SUM('CA brut produits &amp; sites'!G553:G564)</f>
        <v>16.46</v>
      </c>
      <c r="H509" s="92">
        <f>SUM('CA brut produits &amp; sites'!H553:H564)</f>
        <v>2682.62</v>
      </c>
      <c r="I509" s="92">
        <f>SUM('CA brut produits &amp; sites'!I553:I564)</f>
        <v>253.77000000000004</v>
      </c>
      <c r="J509" s="92">
        <f>SUM('CA brut produits &amp; sites'!J553:J564)</f>
        <v>0</v>
      </c>
      <c r="K509" s="92">
        <f>SUM('CA brut produits &amp; sites'!K553:K564)</f>
        <v>24656.5</v>
      </c>
      <c r="L509" s="92">
        <f>SUM('CA brut produits &amp; sites'!L553:L564)</f>
        <v>25</v>
      </c>
      <c r="M509" s="92">
        <f>SUM('CA brut produits &amp; sites'!M553:M564)</f>
        <v>18.379999999999995</v>
      </c>
      <c r="N509" s="92">
        <f>SUM('CA brut produits &amp; sites'!N553:N564)</f>
        <v>0</v>
      </c>
      <c r="O509" s="92">
        <f>SUM('CA brut produits &amp; sites'!O553:O564)</f>
        <v>0</v>
      </c>
      <c r="P509" s="93">
        <f>SUM('CA brut produits &amp; sites'!P553:P564)</f>
        <v>0</v>
      </c>
    </row>
    <row r="510" spans="1:16" x14ac:dyDescent="0.3">
      <c r="A510" s="87">
        <v>42156</v>
      </c>
      <c r="B510" s="146"/>
      <c r="C510" s="92">
        <f t="shared" si="82"/>
        <v>127182.93000000002</v>
      </c>
      <c r="D510" s="92">
        <f>SUM('CA brut produits &amp; sites'!D554:D565)</f>
        <v>34217.620000000003</v>
      </c>
      <c r="E510" s="92">
        <f>SUM('CA brut produits &amp; sites'!E554:E565)</f>
        <v>65122.780000000006</v>
      </c>
      <c r="F510" s="92">
        <f>SUM('CA brut produits &amp; sites'!F554:F565)</f>
        <v>567.41</v>
      </c>
      <c r="G510" s="92">
        <f>SUM('CA brut produits &amp; sites'!G554:G565)</f>
        <v>16.46</v>
      </c>
      <c r="H510" s="92">
        <f>SUM('CA brut produits &amp; sites'!H554:H565)</f>
        <v>2631.04</v>
      </c>
      <c r="I510" s="92">
        <f>SUM('CA brut produits &amp; sites'!I554:I565)</f>
        <v>253.77000000000004</v>
      </c>
      <c r="J510" s="92">
        <f>SUM('CA brut produits &amp; sites'!J554:J565)</f>
        <v>0</v>
      </c>
      <c r="K510" s="92">
        <f>SUM('CA brut produits &amp; sites'!K554:K565)</f>
        <v>24279.85</v>
      </c>
      <c r="L510" s="92">
        <f>SUM('CA brut produits &amp; sites'!L554:L565)</f>
        <v>25</v>
      </c>
      <c r="M510" s="92">
        <f>SUM('CA brut produits &amp; sites'!M554:M565)</f>
        <v>69</v>
      </c>
      <c r="N510" s="92">
        <f>SUM('CA brut produits &amp; sites'!N554:N565)</f>
        <v>0</v>
      </c>
      <c r="O510" s="92">
        <f>SUM('CA brut produits &amp; sites'!O554:O565)</f>
        <v>0</v>
      </c>
      <c r="P510" s="93">
        <f>SUM('CA brut produits &amp; sites'!P554:P565)</f>
        <v>0</v>
      </c>
    </row>
    <row r="511" spans="1:16" x14ac:dyDescent="0.3">
      <c r="A511" s="87">
        <v>42186</v>
      </c>
      <c r="B511" s="146"/>
      <c r="C511" s="92">
        <f t="shared" si="82"/>
        <v>123228.03000000001</v>
      </c>
      <c r="D511" s="92">
        <f>SUM('CA brut produits &amp; sites'!D555:D566)</f>
        <v>33336.32</v>
      </c>
      <c r="E511" s="92">
        <f>SUM('CA brut produits &amp; sites'!E555:E566)</f>
        <v>64122.580000000009</v>
      </c>
      <c r="F511" s="92">
        <f>SUM('CA brut produits &amp; sites'!F555:F566)</f>
        <v>567.41</v>
      </c>
      <c r="G511" s="92">
        <f>SUM('CA brut produits &amp; sites'!G555:G566)</f>
        <v>16.46</v>
      </c>
      <c r="H511" s="92">
        <f>SUM('CA brut produits &amp; sites'!H555:H566)</f>
        <v>2631.04</v>
      </c>
      <c r="I511" s="92">
        <f>SUM('CA brut produits &amp; sites'!I555:I566)</f>
        <v>253.77000000000004</v>
      </c>
      <c r="J511" s="92">
        <f>SUM('CA brut produits &amp; sites'!J555:J566)</f>
        <v>0</v>
      </c>
      <c r="K511" s="92">
        <f>SUM('CA brut produits &amp; sites'!K555:K566)</f>
        <v>22206.449999999997</v>
      </c>
      <c r="L511" s="92">
        <f>SUM('CA brut produits &amp; sites'!L555:L566)</f>
        <v>25</v>
      </c>
      <c r="M511" s="92">
        <f>SUM('CA brut produits &amp; sites'!M555:M566)</f>
        <v>69</v>
      </c>
      <c r="N511" s="92">
        <f>SUM('CA brut produits &amp; sites'!N555:N566)</f>
        <v>0</v>
      </c>
      <c r="O511" s="92">
        <f>SUM('CA brut produits &amp; sites'!O555:O566)</f>
        <v>0</v>
      </c>
      <c r="P511" s="93">
        <f>SUM('CA brut produits &amp; sites'!P555:P566)</f>
        <v>0</v>
      </c>
    </row>
    <row r="512" spans="1:16" x14ac:dyDescent="0.3">
      <c r="A512" s="87">
        <v>42217</v>
      </c>
      <c r="B512" s="146"/>
      <c r="C512" s="92">
        <f t="shared" si="82"/>
        <v>126380.57</v>
      </c>
      <c r="D512" s="92">
        <f>SUM('CA brut produits &amp; sites'!D556:D567)</f>
        <v>34453.65</v>
      </c>
      <c r="E512" s="92">
        <f>SUM('CA brut produits &amp; sites'!E556:E567)</f>
        <v>65646.790000000008</v>
      </c>
      <c r="F512" s="92">
        <f>SUM('CA brut produits &amp; sites'!F556:F567)</f>
        <v>567.41</v>
      </c>
      <c r="G512" s="92">
        <f>SUM('CA brut produits &amp; sites'!G556:G567)</f>
        <v>16.46</v>
      </c>
      <c r="H512" s="92">
        <f>SUM('CA brut produits &amp; sites'!H556:H567)</f>
        <v>2651.04</v>
      </c>
      <c r="I512" s="92">
        <f>SUM('CA brut produits &amp; sites'!I556:I567)</f>
        <v>253.77000000000004</v>
      </c>
      <c r="J512" s="92">
        <f>SUM('CA brut produits &amp; sites'!J556:J567)</f>
        <v>0</v>
      </c>
      <c r="K512" s="92">
        <f>SUM('CA brut produits &amp; sites'!K556:K567)</f>
        <v>22697.449999999997</v>
      </c>
      <c r="L512" s="92">
        <f>SUM('CA brut produits &amp; sites'!L556:L567)</f>
        <v>25</v>
      </c>
      <c r="M512" s="92">
        <f>SUM('CA brut produits &amp; sites'!M556:M567)</f>
        <v>69</v>
      </c>
      <c r="N512" s="92">
        <f>SUM('CA brut produits &amp; sites'!N556:N567)</f>
        <v>0</v>
      </c>
      <c r="O512" s="92">
        <f>SUM('CA brut produits &amp; sites'!O556:O567)</f>
        <v>0</v>
      </c>
      <c r="P512" s="93">
        <f>SUM('CA brut produits &amp; sites'!P556:P567)</f>
        <v>0</v>
      </c>
    </row>
    <row r="513" spans="1:16" x14ac:dyDescent="0.3">
      <c r="A513" s="87">
        <v>42248</v>
      </c>
      <c r="B513" s="146"/>
      <c r="C513" s="92">
        <f t="shared" si="82"/>
        <v>129948.86000000002</v>
      </c>
      <c r="D513" s="92">
        <f>SUM('CA brut produits &amp; sites'!D557:D568)</f>
        <v>36586.83</v>
      </c>
      <c r="E513" s="92">
        <f>SUM('CA brut produits &amp; sites'!E557:E568)</f>
        <v>65785.75</v>
      </c>
      <c r="F513" s="92">
        <f>SUM('CA brut produits &amp; sites'!F557:F568)</f>
        <v>672.07</v>
      </c>
      <c r="G513" s="92">
        <f>SUM('CA brut produits &amp; sites'!G557:G568)</f>
        <v>26.88</v>
      </c>
      <c r="H513" s="92">
        <f>SUM('CA brut produits &amp; sites'!H557:H568)</f>
        <v>2731.6600000000003</v>
      </c>
      <c r="I513" s="92">
        <f>SUM('CA brut produits &amp; sites'!I557:I568)</f>
        <v>0</v>
      </c>
      <c r="J513" s="92">
        <f>SUM('CA brut produits &amp; sites'!J557:J568)</f>
        <v>0</v>
      </c>
      <c r="K513" s="92">
        <f>SUM('CA brut produits &amp; sites'!K557:K568)</f>
        <v>24060.01</v>
      </c>
      <c r="L513" s="92">
        <f>SUM('CA brut produits &amp; sites'!L557:L568)</f>
        <v>76.66</v>
      </c>
      <c r="M513" s="92">
        <f>SUM('CA brut produits &amp; sites'!M557:M568)</f>
        <v>9</v>
      </c>
      <c r="N513" s="92">
        <f>SUM('CA brut produits &amp; sites'!N557:N568)</f>
        <v>0</v>
      </c>
      <c r="O513" s="92">
        <f>SUM('CA brut produits &amp; sites'!O557:O568)</f>
        <v>0</v>
      </c>
      <c r="P513" s="93">
        <f>SUM('CA brut produits &amp; sites'!P557:P568)</f>
        <v>0</v>
      </c>
    </row>
    <row r="514" spans="1:16" x14ac:dyDescent="0.3">
      <c r="A514" s="87">
        <v>42278</v>
      </c>
      <c r="B514" s="146"/>
      <c r="C514" s="92">
        <f t="shared" si="82"/>
        <v>123443.05000000002</v>
      </c>
      <c r="D514" s="92">
        <f>SUM('CA brut produits &amp; sites'!D558:D569)</f>
        <v>35991.230000000003</v>
      </c>
      <c r="E514" s="92">
        <f>SUM('CA brut produits &amp; sites'!E558:E569)</f>
        <v>61964.21</v>
      </c>
      <c r="F514" s="92">
        <f>SUM('CA brut produits &amp; sites'!F558:F569)</f>
        <v>672.07</v>
      </c>
      <c r="G514" s="92">
        <f>SUM('CA brut produits &amp; sites'!G558:G569)</f>
        <v>26.88</v>
      </c>
      <c r="H514" s="92">
        <f>SUM('CA brut produits &amp; sites'!H558:H569)</f>
        <v>2833.6600000000003</v>
      </c>
      <c r="I514" s="92">
        <f>SUM('CA brut produits &amp; sites'!I558:I569)</f>
        <v>0</v>
      </c>
      <c r="J514" s="92">
        <f>SUM('CA brut produits &amp; sites'!J558:J569)</f>
        <v>0</v>
      </c>
      <c r="K514" s="92">
        <f>SUM('CA brut produits &amp; sites'!K558:K569)</f>
        <v>21921.000000000004</v>
      </c>
      <c r="L514" s="92">
        <f>SUM('CA brut produits &amp; sites'!L558:L569)</f>
        <v>25</v>
      </c>
      <c r="M514" s="92">
        <f>SUM('CA brut produits &amp; sites'!M558:M569)</f>
        <v>9</v>
      </c>
      <c r="N514" s="92">
        <f>SUM('CA brut produits &amp; sites'!N558:N569)</f>
        <v>0</v>
      </c>
      <c r="O514" s="92">
        <f>SUM('CA brut produits &amp; sites'!O558:O569)</f>
        <v>0</v>
      </c>
      <c r="P514" s="93">
        <f>SUM('CA brut produits &amp; sites'!P558:P569)</f>
        <v>0</v>
      </c>
    </row>
    <row r="515" spans="1:16" x14ac:dyDescent="0.3">
      <c r="A515" s="87">
        <v>42309</v>
      </c>
      <c r="B515" s="146"/>
      <c r="C515" s="92">
        <f t="shared" si="82"/>
        <v>121900.56000000003</v>
      </c>
      <c r="D515" s="92">
        <f>SUM('CA brut produits &amp; sites'!D559:D570)</f>
        <v>36371.320000000007</v>
      </c>
      <c r="E515" s="92">
        <f>SUM('CA brut produits &amp; sites'!E559:E570)</f>
        <v>60472.3</v>
      </c>
      <c r="F515" s="92">
        <f>SUM('CA brut produits &amp; sites'!F559:F570)</f>
        <v>623.99</v>
      </c>
      <c r="G515" s="92">
        <f>SUM('CA brut produits &amp; sites'!G559:G570)</f>
        <v>26.88</v>
      </c>
      <c r="H515" s="92">
        <f>SUM('CA brut produits &amp; sites'!H559:H570)</f>
        <v>3271.1</v>
      </c>
      <c r="I515" s="92">
        <f>SUM('CA brut produits &amp; sites'!I559:I570)</f>
        <v>0</v>
      </c>
      <c r="J515" s="92">
        <f>SUM('CA brut produits &amp; sites'!J559:J570)</f>
        <v>0</v>
      </c>
      <c r="K515" s="92">
        <f>SUM('CA brut produits &amp; sites'!K559:K570)</f>
        <v>21100.970000000005</v>
      </c>
      <c r="L515" s="92">
        <f>SUM('CA brut produits &amp; sites'!L559:L570)</f>
        <v>25</v>
      </c>
      <c r="M515" s="92">
        <f>SUM('CA brut produits &amp; sites'!M559:M570)</f>
        <v>9</v>
      </c>
      <c r="N515" s="92">
        <f>SUM('CA brut produits &amp; sites'!N559:N570)</f>
        <v>0</v>
      </c>
      <c r="O515" s="92">
        <f>SUM('CA brut produits &amp; sites'!O559:O570)</f>
        <v>0</v>
      </c>
      <c r="P515" s="93">
        <f>SUM('CA brut produits &amp; sites'!P559:P570)</f>
        <v>0</v>
      </c>
    </row>
    <row r="516" spans="1:16" x14ac:dyDescent="0.3">
      <c r="A516" s="87">
        <v>42339</v>
      </c>
      <c r="B516" s="146"/>
      <c r="C516" s="92">
        <f t="shared" si="82"/>
        <v>121749.06000000003</v>
      </c>
      <c r="D516" s="92">
        <f>SUM('CA brut produits &amp; sites'!D560:D571)</f>
        <v>36371.320000000007</v>
      </c>
      <c r="E516" s="92">
        <f>SUM('CA brut produits &amp; sites'!E560:E571)</f>
        <v>60483.3</v>
      </c>
      <c r="F516" s="92">
        <f>SUM('CA brut produits &amp; sites'!F560:F571)</f>
        <v>623.99</v>
      </c>
      <c r="G516" s="92">
        <f>SUM('CA brut produits &amp; sites'!G560:G571)</f>
        <v>26.88</v>
      </c>
      <c r="H516" s="92">
        <f>SUM('CA brut produits &amp; sites'!H560:H571)</f>
        <v>3271.1</v>
      </c>
      <c r="I516" s="92">
        <f>SUM('CA brut produits &amp; sites'!I560:I571)</f>
        <v>0</v>
      </c>
      <c r="J516" s="92">
        <f>SUM('CA brut produits &amp; sites'!J560:J571)</f>
        <v>0</v>
      </c>
      <c r="K516" s="92">
        <f>SUM('CA brut produits &amp; sites'!K560:K571)</f>
        <v>20938.470000000005</v>
      </c>
      <c r="L516" s="92">
        <f>SUM('CA brut produits &amp; sites'!L560:L571)</f>
        <v>25</v>
      </c>
      <c r="M516" s="92">
        <f>SUM('CA brut produits &amp; sites'!M560:M571)</f>
        <v>9</v>
      </c>
      <c r="N516" s="92">
        <f>SUM('CA brut produits &amp; sites'!N560:N571)</f>
        <v>0</v>
      </c>
      <c r="O516" s="92">
        <f>SUM('CA brut produits &amp; sites'!O560:O571)</f>
        <v>0</v>
      </c>
      <c r="P516" s="93">
        <f>SUM('CA brut produits &amp; sites'!P560:P571)</f>
        <v>0</v>
      </c>
    </row>
    <row r="517" spans="1:16" x14ac:dyDescent="0.3">
      <c r="A517" s="87">
        <v>42370</v>
      </c>
      <c r="B517" s="146"/>
      <c r="C517" s="92">
        <f t="shared" si="82"/>
        <v>124290.90000000001</v>
      </c>
      <c r="D517" s="92">
        <f>SUM('CA brut produits &amp; sites'!D561:D572)</f>
        <v>38086.83</v>
      </c>
      <c r="E517" s="92">
        <f>SUM('CA brut produits &amp; sites'!E561:E572)</f>
        <v>60772.28</v>
      </c>
      <c r="F517" s="92">
        <f>SUM('CA brut produits &amp; sites'!F561:F572)</f>
        <v>371.67</v>
      </c>
      <c r="G517" s="92">
        <f>SUM('CA brut produits &amp; sites'!G561:G572)</f>
        <v>26.88</v>
      </c>
      <c r="H517" s="92">
        <f>SUM('CA brut produits &amp; sites'!H561:H572)</f>
        <v>3235.7599999999998</v>
      </c>
      <c r="I517" s="92">
        <f>SUM('CA brut produits &amp; sites'!I561:I572)</f>
        <v>0</v>
      </c>
      <c r="J517" s="92">
        <f>SUM('CA brut produits &amp; sites'!J561:J572)</f>
        <v>0</v>
      </c>
      <c r="K517" s="92">
        <f>SUM('CA brut produits &amp; sites'!K561:K572)</f>
        <v>21773.480000000007</v>
      </c>
      <c r="L517" s="92">
        <f>SUM('CA brut produits &amp; sites'!L561:L572)</f>
        <v>15</v>
      </c>
      <c r="M517" s="92">
        <f>SUM('CA brut produits &amp; sites'!M561:M572)</f>
        <v>9</v>
      </c>
      <c r="N517" s="92">
        <f>SUM('CA brut produits &amp; sites'!N561:N572)</f>
        <v>0</v>
      </c>
      <c r="O517" s="92">
        <f>SUM('CA brut produits &amp; sites'!O561:O572)</f>
        <v>0</v>
      </c>
      <c r="P517" s="93">
        <f>SUM('CA brut produits &amp; sites'!P561:P572)</f>
        <v>0</v>
      </c>
    </row>
    <row r="518" spans="1:16" x14ac:dyDescent="0.3">
      <c r="A518" s="87">
        <v>42401</v>
      </c>
      <c r="B518" s="146"/>
      <c r="C518" s="92">
        <f t="shared" si="82"/>
        <v>125857.52000000002</v>
      </c>
      <c r="D518" s="92">
        <f>SUM('CA brut produits &amp; sites'!D562:D573)</f>
        <v>38200.090000000004</v>
      </c>
      <c r="E518" s="92">
        <f>SUM('CA brut produits &amp; sites'!E562:E573)</f>
        <v>61022.11</v>
      </c>
      <c r="F518" s="92">
        <f>SUM('CA brut produits &amp; sites'!F562:F573)</f>
        <v>371.67</v>
      </c>
      <c r="G518" s="92">
        <f>SUM('CA brut produits &amp; sites'!G562:G573)</f>
        <v>26.88</v>
      </c>
      <c r="H518" s="92">
        <f>SUM('CA brut produits &amp; sites'!H562:H573)</f>
        <v>3189.08</v>
      </c>
      <c r="I518" s="92">
        <f>SUM('CA brut produits &amp; sites'!I562:I573)</f>
        <v>0</v>
      </c>
      <c r="J518" s="92">
        <f>SUM('CA brut produits &amp; sites'!J562:J573)</f>
        <v>0</v>
      </c>
      <c r="K518" s="92">
        <f>SUM('CA brut produits &amp; sites'!K562:K573)</f>
        <v>23032.690000000002</v>
      </c>
      <c r="L518" s="92">
        <f>SUM('CA brut produits &amp; sites'!L562:L573)</f>
        <v>15</v>
      </c>
      <c r="M518" s="92">
        <f>SUM('CA brut produits &amp; sites'!M562:M573)</f>
        <v>0</v>
      </c>
      <c r="N518" s="92">
        <f>SUM('CA brut produits &amp; sites'!N562:N573)</f>
        <v>0</v>
      </c>
      <c r="O518" s="92">
        <f>SUM('CA brut produits &amp; sites'!O562:O573)</f>
        <v>0</v>
      </c>
      <c r="P518" s="93">
        <f>SUM('CA brut produits &amp; sites'!P562:P573)</f>
        <v>0</v>
      </c>
    </row>
    <row r="519" spans="1:16" x14ac:dyDescent="0.3">
      <c r="A519" s="87">
        <v>42430</v>
      </c>
      <c r="B519" s="146"/>
      <c r="C519" s="92">
        <f t="shared" si="82"/>
        <v>118311.13</v>
      </c>
      <c r="D519" s="92">
        <f>SUM('CA brut produits &amp; sites'!D563:D574)</f>
        <v>35987.69</v>
      </c>
      <c r="E519" s="92">
        <f>SUM('CA brut produits &amp; sites'!E563:E574)</f>
        <v>57363.239999999991</v>
      </c>
      <c r="F519" s="92">
        <f>SUM('CA brut produits &amp; sites'!F563:F574)</f>
        <v>231.75</v>
      </c>
      <c r="G519" s="92">
        <f>SUM('CA brut produits &amp; sites'!G563:G574)</f>
        <v>26.88</v>
      </c>
      <c r="H519" s="92">
        <f>SUM('CA brut produits &amp; sites'!H563:H574)</f>
        <v>2251.52</v>
      </c>
      <c r="I519" s="92">
        <f>SUM('CA brut produits &amp; sites'!I563:I574)</f>
        <v>0</v>
      </c>
      <c r="J519" s="92">
        <f>SUM('CA brut produits &amp; sites'!J563:J574)</f>
        <v>0</v>
      </c>
      <c r="K519" s="92">
        <f>SUM('CA brut produits &amp; sites'!K563:K574)</f>
        <v>22410.050000000003</v>
      </c>
      <c r="L519" s="92">
        <f>SUM('CA brut produits &amp; sites'!L563:L574)</f>
        <v>40</v>
      </c>
      <c r="M519" s="92">
        <f>SUM('CA brut produits &amp; sites'!M563:M574)</f>
        <v>0</v>
      </c>
      <c r="N519" s="92">
        <f>SUM('CA brut produits &amp; sites'!N563:N574)</f>
        <v>0</v>
      </c>
      <c r="O519" s="92">
        <f>SUM('CA brut produits &amp; sites'!O563:O574)</f>
        <v>0</v>
      </c>
      <c r="P519" s="93">
        <f>SUM('CA brut produits &amp; sites'!P563:P574)</f>
        <v>0</v>
      </c>
    </row>
    <row r="520" spans="1:16" x14ac:dyDescent="0.3">
      <c r="A520" s="87">
        <v>42461</v>
      </c>
      <c r="B520" s="146"/>
      <c r="C520" s="92">
        <f t="shared" si="82"/>
        <v>118956.07000000004</v>
      </c>
      <c r="D520" s="92">
        <f>SUM('CA brut produits &amp; sites'!D564:D575)</f>
        <v>35840.69000000001</v>
      </c>
      <c r="E520" s="92">
        <f>SUM('CA brut produits &amp; sites'!E564:E575)</f>
        <v>57957.33</v>
      </c>
      <c r="F520" s="92">
        <f>SUM('CA brut produits &amp; sites'!F564:F575)</f>
        <v>231.75</v>
      </c>
      <c r="G520" s="92">
        <f>SUM('CA brut produits &amp; sites'!G564:G575)</f>
        <v>26.88</v>
      </c>
      <c r="H520" s="92">
        <f>SUM('CA brut produits &amp; sites'!H564:H575)</f>
        <v>2261.52</v>
      </c>
      <c r="I520" s="92">
        <f>SUM('CA brut produits &amp; sites'!I564:I575)</f>
        <v>0</v>
      </c>
      <c r="J520" s="92">
        <f>SUM('CA brut produits &amp; sites'!J564:J575)</f>
        <v>0</v>
      </c>
      <c r="K520" s="92">
        <f>SUM('CA brut produits &amp; sites'!K564:K575)</f>
        <v>22597.9</v>
      </c>
      <c r="L520" s="92">
        <f>SUM('CA brut produits &amp; sites'!L564:L575)</f>
        <v>40</v>
      </c>
      <c r="M520" s="92">
        <f>SUM('CA brut produits &amp; sites'!M564:M575)</f>
        <v>0</v>
      </c>
      <c r="N520" s="92">
        <f>SUM('CA brut produits &amp; sites'!N564:N575)</f>
        <v>0</v>
      </c>
      <c r="O520" s="92">
        <f>SUM('CA brut produits &amp; sites'!O564:O575)</f>
        <v>0</v>
      </c>
      <c r="P520" s="93">
        <f>SUM('CA brut produits &amp; sites'!P564:P575)</f>
        <v>0</v>
      </c>
    </row>
    <row r="521" spans="1:16" x14ac:dyDescent="0.3">
      <c r="A521" s="87">
        <v>42491</v>
      </c>
      <c r="B521" s="146"/>
      <c r="C521" s="92">
        <f t="shared" si="82"/>
        <v>121852.79000000002</v>
      </c>
      <c r="D521" s="92">
        <f>SUM('CA brut produits &amp; sites'!D565:D576)</f>
        <v>37833.23000000001</v>
      </c>
      <c r="E521" s="92">
        <f>SUM('CA brut produits &amp; sites'!E565:E576)</f>
        <v>57993.439999999995</v>
      </c>
      <c r="F521" s="92">
        <f>SUM('CA brut produits &amp; sites'!F565:F576)</f>
        <v>231.75</v>
      </c>
      <c r="G521" s="92">
        <f>SUM('CA brut produits &amp; sites'!G565:G576)</f>
        <v>26.88</v>
      </c>
      <c r="H521" s="92">
        <f>SUM('CA brut produits &amp; sites'!H565:H576)</f>
        <v>2108.27</v>
      </c>
      <c r="I521" s="92">
        <f>SUM('CA brut produits &amp; sites'!I565:I576)</f>
        <v>0</v>
      </c>
      <c r="J521" s="92">
        <f>SUM('CA brut produits &amp; sites'!J565:J576)</f>
        <v>0</v>
      </c>
      <c r="K521" s="92">
        <f>SUM('CA brut produits &amp; sites'!K565:K576)</f>
        <v>23619.22</v>
      </c>
      <c r="L521" s="92">
        <f>SUM('CA brut produits &amp; sites'!L565:L576)</f>
        <v>40</v>
      </c>
      <c r="M521" s="92">
        <f>SUM('CA brut produits &amp; sites'!M565:M576)</f>
        <v>0</v>
      </c>
      <c r="N521" s="92">
        <f>SUM('CA brut produits &amp; sites'!N565:N576)</f>
        <v>0</v>
      </c>
      <c r="O521" s="92">
        <f>SUM('CA brut produits &amp; sites'!O565:O576)</f>
        <v>0</v>
      </c>
      <c r="P521" s="93">
        <f>SUM('CA brut produits &amp; sites'!P565:P576)</f>
        <v>0</v>
      </c>
    </row>
    <row r="522" spans="1:16" x14ac:dyDescent="0.3">
      <c r="A522" s="87">
        <v>42522</v>
      </c>
      <c r="B522" s="146"/>
      <c r="C522" s="92">
        <f t="shared" si="82"/>
        <v>127847.34000000001</v>
      </c>
      <c r="D522" s="92">
        <f>SUM('CA brut produits &amp; sites'!D566:D577)</f>
        <v>41236.970000000008</v>
      </c>
      <c r="E522" s="92">
        <f>SUM('CA brut produits &amp; sites'!E566:E577)</f>
        <v>58749.759999999995</v>
      </c>
      <c r="F522" s="92">
        <f>SUM('CA brut produits &amp; sites'!F566:F577)</f>
        <v>358.48</v>
      </c>
      <c r="G522" s="92">
        <f>SUM('CA brut produits &amp; sites'!G566:G577)</f>
        <v>26.88</v>
      </c>
      <c r="H522" s="92">
        <f>SUM('CA brut produits &amp; sites'!H566:H577)</f>
        <v>2413.4199999999996</v>
      </c>
      <c r="I522" s="92">
        <f>SUM('CA brut produits &amp; sites'!I566:I577)</f>
        <v>5.0600000000000005</v>
      </c>
      <c r="J522" s="92">
        <f>SUM('CA brut produits &amp; sites'!J566:J577)</f>
        <v>116.1</v>
      </c>
      <c r="K522" s="92">
        <f>SUM('CA brut produits &amp; sites'!K566:K577)</f>
        <v>24815.670000000002</v>
      </c>
      <c r="L522" s="92">
        <f>SUM('CA brut produits &amp; sites'!L566:L577)</f>
        <v>65</v>
      </c>
      <c r="M522" s="92">
        <f>SUM('CA brut produits &amp; sites'!M566:M577)</f>
        <v>60</v>
      </c>
      <c r="N522" s="92">
        <f>SUM('CA brut produits &amp; sites'!N566:N577)</f>
        <v>0</v>
      </c>
      <c r="O522" s="92">
        <f>SUM('CA brut produits &amp; sites'!O566:O577)</f>
        <v>0</v>
      </c>
      <c r="P522" s="93">
        <f>SUM('CA brut produits &amp; sites'!P566:P577)</f>
        <v>0</v>
      </c>
    </row>
    <row r="523" spans="1:16" x14ac:dyDescent="0.3">
      <c r="A523" s="87">
        <v>42552</v>
      </c>
      <c r="B523" s="146"/>
      <c r="C523" s="92">
        <f t="shared" si="82"/>
        <v>127847.34000000001</v>
      </c>
      <c r="D523" s="92">
        <f>SUM('CA brut produits &amp; sites'!D567:D578)</f>
        <v>41236.970000000008</v>
      </c>
      <c r="E523" s="92">
        <f>SUM('CA brut produits &amp; sites'!E567:E578)</f>
        <v>58749.759999999995</v>
      </c>
      <c r="F523" s="92">
        <f>SUM('CA brut produits &amp; sites'!F567:F578)</f>
        <v>358.48</v>
      </c>
      <c r="G523" s="92">
        <f>SUM('CA brut produits &amp; sites'!G567:G578)</f>
        <v>26.88</v>
      </c>
      <c r="H523" s="92">
        <f>SUM('CA brut produits &amp; sites'!H567:H578)</f>
        <v>2413.4199999999996</v>
      </c>
      <c r="I523" s="92">
        <f>SUM('CA brut produits &amp; sites'!I567:I578)</f>
        <v>5.0600000000000005</v>
      </c>
      <c r="J523" s="92">
        <f>SUM('CA brut produits &amp; sites'!J567:J578)</f>
        <v>116.1</v>
      </c>
      <c r="K523" s="92">
        <f>SUM('CA brut produits &amp; sites'!K567:K578)</f>
        <v>24815.670000000002</v>
      </c>
      <c r="L523" s="92">
        <f>SUM('CA brut produits &amp; sites'!L567:L578)</f>
        <v>65</v>
      </c>
      <c r="M523" s="92">
        <f>SUM('CA brut produits &amp; sites'!M567:M578)</f>
        <v>60</v>
      </c>
      <c r="N523" s="92">
        <f>SUM('CA brut produits &amp; sites'!N567:N578)</f>
        <v>0</v>
      </c>
      <c r="O523" s="92">
        <f>SUM('CA brut produits &amp; sites'!O567:O578)</f>
        <v>0</v>
      </c>
      <c r="P523" s="93">
        <f>SUM('CA brut produits &amp; sites'!P567:P578)</f>
        <v>0</v>
      </c>
    </row>
    <row r="524" spans="1:16" x14ac:dyDescent="0.3">
      <c r="A524" s="87">
        <v>42583</v>
      </c>
      <c r="B524" s="146"/>
      <c r="C524" s="92">
        <f t="shared" si="82"/>
        <v>127537.41000000002</v>
      </c>
      <c r="D524" s="92">
        <f>SUM('CA brut produits &amp; sites'!D568:D579)</f>
        <v>41300.700000000012</v>
      </c>
      <c r="E524" s="92">
        <f>SUM('CA brut produits &amp; sites'!E568:E579)</f>
        <v>58354.97</v>
      </c>
      <c r="F524" s="92">
        <f>SUM('CA brut produits &amp; sites'!F568:F579)</f>
        <v>358.48</v>
      </c>
      <c r="G524" s="92">
        <f>SUM('CA brut produits &amp; sites'!G568:G579)</f>
        <v>26.88</v>
      </c>
      <c r="H524" s="92">
        <f>SUM('CA brut produits &amp; sites'!H568:H579)</f>
        <v>2393.4199999999996</v>
      </c>
      <c r="I524" s="92">
        <f>SUM('CA brut produits &amp; sites'!I568:I579)</f>
        <v>5.0600000000000005</v>
      </c>
      <c r="J524" s="92">
        <f>SUM('CA brut produits &amp; sites'!J568:J579)</f>
        <v>116.1</v>
      </c>
      <c r="K524" s="92">
        <f>SUM('CA brut produits &amp; sites'!K568:K579)</f>
        <v>24856.800000000003</v>
      </c>
      <c r="L524" s="92">
        <f>SUM('CA brut produits &amp; sites'!L568:L579)</f>
        <v>65</v>
      </c>
      <c r="M524" s="92">
        <f>SUM('CA brut produits &amp; sites'!M568:M579)</f>
        <v>60</v>
      </c>
      <c r="N524" s="92">
        <f>SUM('CA brut produits &amp; sites'!N568:N579)</f>
        <v>0</v>
      </c>
      <c r="O524" s="92">
        <f>SUM('CA brut produits &amp; sites'!O568:O579)</f>
        <v>0</v>
      </c>
      <c r="P524" s="93">
        <f>SUM('CA brut produits &amp; sites'!P568:P579)</f>
        <v>0</v>
      </c>
    </row>
    <row r="525" spans="1:16" x14ac:dyDescent="0.3">
      <c r="A525" s="87">
        <v>42614</v>
      </c>
      <c r="B525" s="146"/>
      <c r="C525" s="92">
        <f t="shared" si="82"/>
        <v>128370.44</v>
      </c>
      <c r="D525" s="92">
        <f>SUM('CA brut produits &amp; sites'!D569:D580)</f>
        <v>41758.42</v>
      </c>
      <c r="E525" s="92">
        <f>SUM('CA brut produits &amp; sites'!E569:E580)</f>
        <v>59108.359999999993</v>
      </c>
      <c r="F525" s="92">
        <f>SUM('CA brut produits &amp; sites'!F569:F580)</f>
        <v>204.91000000000003</v>
      </c>
      <c r="G525" s="92">
        <f>SUM('CA brut produits &amp; sites'!G569:G580)</f>
        <v>16.32</v>
      </c>
      <c r="H525" s="92">
        <f>SUM('CA brut produits &amp; sites'!H569:H580)</f>
        <v>2337.6999999999998</v>
      </c>
      <c r="I525" s="92">
        <f>SUM('CA brut produits &amp; sites'!I569:I580)</f>
        <v>5.0600000000000005</v>
      </c>
      <c r="J525" s="92">
        <f>SUM('CA brut produits &amp; sites'!J569:J580)</f>
        <v>116.1</v>
      </c>
      <c r="K525" s="92">
        <f>SUM('CA brut produits &amp; sites'!K569:K580)</f>
        <v>24766.03</v>
      </c>
      <c r="L525" s="92">
        <f>SUM('CA brut produits &amp; sites'!L569:L580)</f>
        <v>41.290000000000006</v>
      </c>
      <c r="M525" s="92">
        <f>SUM('CA brut produits &amp; sites'!M569:M580)</f>
        <v>16.25</v>
      </c>
      <c r="N525" s="92">
        <f>SUM('CA brut produits &amp; sites'!N569:N580)</f>
        <v>0</v>
      </c>
      <c r="O525" s="92">
        <f>SUM('CA brut produits &amp; sites'!O569:O580)</f>
        <v>0</v>
      </c>
      <c r="P525" s="93">
        <f>SUM('CA brut produits &amp; sites'!P569:P580)</f>
        <v>0</v>
      </c>
    </row>
    <row r="526" spans="1:16" x14ac:dyDescent="0.3">
      <c r="A526" s="87">
        <v>42644</v>
      </c>
      <c r="B526" s="146"/>
      <c r="C526" s="92">
        <f t="shared" si="82"/>
        <v>126768.97000000002</v>
      </c>
      <c r="D526" s="92">
        <f>SUM('CA brut produits &amp; sites'!D570:D581)</f>
        <v>41099.660000000003</v>
      </c>
      <c r="E526" s="92">
        <f>SUM('CA brut produits &amp; sites'!E570:E581)</f>
        <v>58201.4</v>
      </c>
      <c r="F526" s="92">
        <f>SUM('CA brut produits &amp; sites'!F570:F581)</f>
        <v>204.91000000000003</v>
      </c>
      <c r="G526" s="92">
        <f>SUM('CA brut produits &amp; sites'!G570:G581)</f>
        <v>16.32</v>
      </c>
      <c r="H526" s="92">
        <f>SUM('CA brut produits &amp; sites'!H570:H581)</f>
        <v>2381.21</v>
      </c>
      <c r="I526" s="92">
        <f>SUM('CA brut produits &amp; sites'!I570:I581)</f>
        <v>5.0600000000000005</v>
      </c>
      <c r="J526" s="92">
        <f>SUM('CA brut produits &amp; sites'!J570:J581)</f>
        <v>116.1</v>
      </c>
      <c r="K526" s="92">
        <f>SUM('CA brut produits &amp; sites'!K570:K581)</f>
        <v>24635.109999999997</v>
      </c>
      <c r="L526" s="92">
        <f>SUM('CA brut produits &amp; sites'!L570:L581)</f>
        <v>92.95</v>
      </c>
      <c r="M526" s="92">
        <f>SUM('CA brut produits &amp; sites'!M570:M581)</f>
        <v>16.25</v>
      </c>
      <c r="N526" s="92">
        <f>SUM('CA brut produits &amp; sites'!N570:N581)</f>
        <v>0</v>
      </c>
      <c r="O526" s="92">
        <f>SUM('CA brut produits &amp; sites'!O570:O581)</f>
        <v>0</v>
      </c>
      <c r="P526" s="93">
        <f>SUM('CA brut produits &amp; sites'!P570:P581)</f>
        <v>0</v>
      </c>
    </row>
    <row r="527" spans="1:16" x14ac:dyDescent="0.3">
      <c r="A527" s="87">
        <v>42675</v>
      </c>
      <c r="B527" s="146"/>
      <c r="C527" s="92">
        <f t="shared" si="82"/>
        <v>128792.68000000001</v>
      </c>
      <c r="D527" s="92">
        <f>SUM('CA brut produits &amp; sites'!D571:D582)</f>
        <v>40441.129999999997</v>
      </c>
      <c r="E527" s="92">
        <f>SUM('CA brut produits &amp; sites'!E571:E582)</f>
        <v>57566.91</v>
      </c>
      <c r="F527" s="92">
        <f>SUM('CA brut produits &amp; sites'!F571:F582)</f>
        <v>185.11</v>
      </c>
      <c r="G527" s="92">
        <f>SUM('CA brut produits &amp; sites'!G571:G582)</f>
        <v>16.32</v>
      </c>
      <c r="H527" s="92">
        <f>SUM('CA brut produits &amp; sites'!H571:H582)</f>
        <v>5024.84</v>
      </c>
      <c r="I527" s="92">
        <f>SUM('CA brut produits &amp; sites'!I571:I582)</f>
        <v>5.0600000000000005</v>
      </c>
      <c r="J527" s="92">
        <f>SUM('CA brut produits &amp; sites'!J571:J582)</f>
        <v>116.1</v>
      </c>
      <c r="K527" s="92">
        <f>SUM('CA brut produits &amp; sites'!K571:K582)</f>
        <v>23478.01</v>
      </c>
      <c r="L527" s="92">
        <f>SUM('CA brut produits &amp; sites'!L571:L582)</f>
        <v>92.95</v>
      </c>
      <c r="M527" s="92">
        <f>SUM('CA brut produits &amp; sites'!M571:M582)</f>
        <v>16.25</v>
      </c>
      <c r="N527" s="92">
        <f>SUM('CA brut produits &amp; sites'!N571:N582)</f>
        <v>1850</v>
      </c>
      <c r="O527" s="92">
        <f>SUM('CA brut produits &amp; sites'!O571:O582)</f>
        <v>0</v>
      </c>
      <c r="P527" s="93">
        <f>SUM('CA brut produits &amp; sites'!P571:P582)</f>
        <v>0</v>
      </c>
    </row>
    <row r="528" spans="1:16" x14ac:dyDescent="0.3">
      <c r="A528" s="87">
        <v>42705</v>
      </c>
      <c r="B528" s="146"/>
      <c r="C528" s="92">
        <f t="shared" si="82"/>
        <v>128944.18000000001</v>
      </c>
      <c r="D528" s="92">
        <f>SUM('CA brut produits &amp; sites'!D572:D583)</f>
        <v>40441.129999999997</v>
      </c>
      <c r="E528" s="92">
        <f>SUM('CA brut produits &amp; sites'!E572:E583)</f>
        <v>57555.91</v>
      </c>
      <c r="F528" s="92">
        <f>SUM('CA brut produits &amp; sites'!F572:F583)</f>
        <v>185.11</v>
      </c>
      <c r="G528" s="92">
        <f>SUM('CA brut produits &amp; sites'!G572:G583)</f>
        <v>16.32</v>
      </c>
      <c r="H528" s="92">
        <f>SUM('CA brut produits &amp; sites'!H572:H583)</f>
        <v>5024.84</v>
      </c>
      <c r="I528" s="92">
        <f>SUM('CA brut produits &amp; sites'!I572:I583)</f>
        <v>5.0600000000000005</v>
      </c>
      <c r="J528" s="92">
        <f>SUM('CA brut produits &amp; sites'!J572:J583)</f>
        <v>116.1</v>
      </c>
      <c r="K528" s="92">
        <f>SUM('CA brut produits &amp; sites'!K572:K583)</f>
        <v>23640.51</v>
      </c>
      <c r="L528" s="92">
        <f>SUM('CA brut produits &amp; sites'!L572:L583)</f>
        <v>92.95</v>
      </c>
      <c r="M528" s="92">
        <f>SUM('CA brut produits &amp; sites'!M572:M583)</f>
        <v>16.25</v>
      </c>
      <c r="N528" s="92">
        <f>SUM('CA brut produits &amp; sites'!N572:N583)</f>
        <v>1850</v>
      </c>
      <c r="O528" s="92">
        <f>SUM('CA brut produits &amp; sites'!O572:O583)</f>
        <v>0</v>
      </c>
      <c r="P528" s="93">
        <f>SUM('CA brut produits &amp; sites'!P572:P583)</f>
        <v>0</v>
      </c>
    </row>
    <row r="529" spans="1:16" x14ac:dyDescent="0.3">
      <c r="A529" s="87">
        <v>42736</v>
      </c>
      <c r="B529" s="146"/>
      <c r="C529" s="92">
        <f t="shared" si="82"/>
        <v>129219.24</v>
      </c>
      <c r="D529" s="92">
        <f>SUM('CA brut produits &amp; sites'!D573:D584)</f>
        <v>38714.080000000002</v>
      </c>
      <c r="E529" s="92">
        <f>SUM('CA brut produits &amp; sites'!E573:E584)</f>
        <v>59089.05</v>
      </c>
      <c r="F529" s="92">
        <f>SUM('CA brut produits &amp; sites'!F573:F584)</f>
        <v>167.43</v>
      </c>
      <c r="G529" s="92">
        <f>SUM('CA brut produits &amp; sites'!G573:G584)</f>
        <v>16.32</v>
      </c>
      <c r="H529" s="92">
        <f>SUM('CA brut produits &amp; sites'!H573:H584)</f>
        <v>4924.84</v>
      </c>
      <c r="I529" s="92">
        <f>SUM('CA brut produits &amp; sites'!I573:I584)</f>
        <v>5.0600000000000005</v>
      </c>
      <c r="J529" s="92">
        <f>SUM('CA brut produits &amp; sites'!J573:J584)</f>
        <v>116.1</v>
      </c>
      <c r="K529" s="92">
        <f>SUM('CA brut produits &amp; sites'!K573:K584)</f>
        <v>24242.159999999996</v>
      </c>
      <c r="L529" s="92">
        <f>SUM('CA brut produits &amp; sites'!L573:L584)</f>
        <v>77.95</v>
      </c>
      <c r="M529" s="92">
        <f>SUM('CA brut produits &amp; sites'!M573:M584)</f>
        <v>16.25</v>
      </c>
      <c r="N529" s="92">
        <f>SUM('CA brut produits &amp; sites'!N573:N584)</f>
        <v>1850</v>
      </c>
      <c r="O529" s="92">
        <f>SUM('CA brut produits &amp; sites'!O573:O584)</f>
        <v>0</v>
      </c>
      <c r="P529" s="93">
        <f>SUM('CA brut produits &amp; sites'!P573:P584)</f>
        <v>0</v>
      </c>
    </row>
    <row r="530" spans="1:16" x14ac:dyDescent="0.3">
      <c r="A530" s="87">
        <v>42767</v>
      </c>
      <c r="B530" s="146"/>
      <c r="C530" s="92">
        <f t="shared" si="82"/>
        <v>129740.46</v>
      </c>
      <c r="D530" s="92">
        <f>SUM('CA brut produits &amp; sites'!D574:D585)</f>
        <v>39890.400000000001</v>
      </c>
      <c r="E530" s="92">
        <f>SUM('CA brut produits &amp; sites'!E574:E585)</f>
        <v>58859.670000000006</v>
      </c>
      <c r="F530" s="92">
        <f>SUM('CA brut produits &amp; sites'!F574:F585)</f>
        <v>167.43</v>
      </c>
      <c r="G530" s="92">
        <f>SUM('CA brut produits &amp; sites'!G574:G585)</f>
        <v>16.32</v>
      </c>
      <c r="H530" s="92">
        <f>SUM('CA brut produits &amp; sites'!H574:H585)</f>
        <v>5488.35</v>
      </c>
      <c r="I530" s="92">
        <f>SUM('CA brut produits &amp; sites'!I574:I585)</f>
        <v>5.0600000000000005</v>
      </c>
      <c r="J530" s="92">
        <f>SUM('CA brut produits &amp; sites'!J574:J585)</f>
        <v>116.1</v>
      </c>
      <c r="K530" s="92">
        <f>SUM('CA brut produits &amp; sites'!K574:K585)</f>
        <v>23122.93</v>
      </c>
      <c r="L530" s="92">
        <f>SUM('CA brut produits &amp; sites'!L574:L585)</f>
        <v>77.95</v>
      </c>
      <c r="M530" s="92">
        <f>SUM('CA brut produits &amp; sites'!M574:M585)</f>
        <v>146.25</v>
      </c>
      <c r="N530" s="92">
        <f>SUM('CA brut produits &amp; sites'!N574:N585)</f>
        <v>1850</v>
      </c>
      <c r="O530" s="92">
        <f>SUM('CA brut produits &amp; sites'!O574:O585)</f>
        <v>0</v>
      </c>
      <c r="P530" s="93">
        <f>SUM('CA brut produits &amp; sites'!P574:P585)</f>
        <v>0</v>
      </c>
    </row>
    <row r="531" spans="1:16" x14ac:dyDescent="0.3">
      <c r="A531" s="87">
        <v>42795</v>
      </c>
      <c r="B531" s="146"/>
      <c r="C531" s="92">
        <f t="shared" si="82"/>
        <v>127628.89000000001</v>
      </c>
      <c r="D531" s="92">
        <f>SUM('CA brut produits &amp; sites'!D575:D586)</f>
        <v>39182.730000000003</v>
      </c>
      <c r="E531" s="92">
        <f>SUM('CA brut produits &amp; sites'!E575:E586)</f>
        <v>59355.62</v>
      </c>
      <c r="F531" s="92">
        <f>SUM('CA brut produits &amp; sites'!F575:F586)</f>
        <v>141.12000000000003</v>
      </c>
      <c r="G531" s="92">
        <f>SUM('CA brut produits &amp; sites'!G575:G586)</f>
        <v>16.32</v>
      </c>
      <c r="H531" s="92">
        <f>SUM('CA brut produits &amp; sites'!H575:H586)</f>
        <v>4817.96</v>
      </c>
      <c r="I531" s="92">
        <f>SUM('CA brut produits &amp; sites'!I575:I586)</f>
        <v>5.0600000000000005</v>
      </c>
      <c r="J531" s="92">
        <f>SUM('CA brut produits &amp; sites'!J575:J586)</f>
        <v>116.1</v>
      </c>
      <c r="K531" s="92">
        <f>SUM('CA brut produits &amp; sites'!K575:K586)</f>
        <v>21944.78</v>
      </c>
      <c r="L531" s="92">
        <f>SUM('CA brut produits &amp; sites'!L575:L586)</f>
        <v>52.95</v>
      </c>
      <c r="M531" s="92">
        <f>SUM('CA brut produits &amp; sites'!M575:M586)</f>
        <v>146.25</v>
      </c>
      <c r="N531" s="92">
        <f>SUM('CA brut produits &amp; sites'!N575:N586)</f>
        <v>1850</v>
      </c>
      <c r="O531" s="92">
        <f>SUM('CA brut produits &amp; sites'!O575:O586)</f>
        <v>0</v>
      </c>
      <c r="P531" s="93">
        <f>SUM('CA brut produits &amp; sites'!P575:P586)</f>
        <v>0</v>
      </c>
    </row>
    <row r="532" spans="1:16" x14ac:dyDescent="0.3">
      <c r="A532" s="87">
        <v>42826</v>
      </c>
      <c r="B532" s="146"/>
      <c r="C532" s="92">
        <f t="shared" si="82"/>
        <v>129038.15000000001</v>
      </c>
      <c r="D532" s="92">
        <f>SUM('CA brut produits &amp; sites'!D576:D587)</f>
        <v>40134.980000000003</v>
      </c>
      <c r="E532" s="92">
        <f>SUM('CA brut produits &amp; sites'!E576:E587)</f>
        <v>59597.14</v>
      </c>
      <c r="F532" s="92">
        <f>SUM('CA brut produits &amp; sites'!F576:F587)</f>
        <v>141.12000000000003</v>
      </c>
      <c r="G532" s="92">
        <f>SUM('CA brut produits &amp; sites'!G576:G587)</f>
        <v>16.32</v>
      </c>
      <c r="H532" s="92">
        <f>SUM('CA brut produits &amp; sites'!H576:H587)</f>
        <v>4891.96</v>
      </c>
      <c r="I532" s="92">
        <f>SUM('CA brut produits &amp; sites'!I576:I587)</f>
        <v>5.0600000000000005</v>
      </c>
      <c r="J532" s="92">
        <f>SUM('CA brut produits &amp; sites'!J576:J587)</f>
        <v>116.1</v>
      </c>
      <c r="K532" s="92">
        <f>SUM('CA brut produits &amp; sites'!K576:K587)</f>
        <v>22086.27</v>
      </c>
      <c r="L532" s="92">
        <f>SUM('CA brut produits &amp; sites'!L576:L587)</f>
        <v>52.95</v>
      </c>
      <c r="M532" s="92">
        <f>SUM('CA brut produits &amp; sites'!M576:M587)</f>
        <v>146.25</v>
      </c>
      <c r="N532" s="92">
        <f>SUM('CA brut produits &amp; sites'!N576:N587)</f>
        <v>1850</v>
      </c>
      <c r="O532" s="92">
        <f>SUM('CA brut produits &amp; sites'!O576:O587)</f>
        <v>0</v>
      </c>
      <c r="P532" s="93">
        <f>SUM('CA brut produits &amp; sites'!P576:P587)</f>
        <v>0</v>
      </c>
    </row>
    <row r="533" spans="1:16" x14ac:dyDescent="0.3">
      <c r="A533" s="87">
        <v>42856</v>
      </c>
      <c r="B533" s="146"/>
      <c r="C533" s="92">
        <f t="shared" si="82"/>
        <v>129531.08</v>
      </c>
      <c r="D533" s="92">
        <f>SUM('CA brut produits &amp; sites'!D577:D588)</f>
        <v>38578.510000000009</v>
      </c>
      <c r="E533" s="92">
        <f>SUM('CA brut produits &amp; sites'!E577:E588)</f>
        <v>61085.67</v>
      </c>
      <c r="F533" s="92">
        <f>SUM('CA brut produits &amp; sites'!F577:F588)</f>
        <v>141.12000000000003</v>
      </c>
      <c r="G533" s="92">
        <f>SUM('CA brut produits &amp; sites'!G577:G588)</f>
        <v>22.68</v>
      </c>
      <c r="H533" s="92">
        <f>SUM('CA brut produits &amp; sites'!H577:H588)</f>
        <v>5141.96</v>
      </c>
      <c r="I533" s="92">
        <f>SUM('CA brut produits &amp; sites'!I577:I588)</f>
        <v>27.46</v>
      </c>
      <c r="J533" s="92">
        <f>SUM('CA brut produits &amp; sites'!J577:J588)</f>
        <v>116.1</v>
      </c>
      <c r="K533" s="92">
        <f>SUM('CA brut produits &amp; sites'!K577:K588)</f>
        <v>22368.379999999997</v>
      </c>
      <c r="L533" s="92">
        <f>SUM('CA brut produits &amp; sites'!L577:L588)</f>
        <v>52.95</v>
      </c>
      <c r="M533" s="92">
        <f>SUM('CA brut produits &amp; sites'!M577:M588)</f>
        <v>146.25</v>
      </c>
      <c r="N533" s="92">
        <f>SUM('CA brut produits &amp; sites'!N577:N588)</f>
        <v>1850</v>
      </c>
      <c r="O533" s="92">
        <f>SUM('CA brut produits &amp; sites'!O577:O588)</f>
        <v>0</v>
      </c>
      <c r="P533" s="93">
        <f>SUM('CA brut produits &amp; sites'!P577:P588)</f>
        <v>0</v>
      </c>
    </row>
    <row r="534" spans="1:16" x14ac:dyDescent="0.3">
      <c r="A534" s="87">
        <v>42887</v>
      </c>
      <c r="B534" s="146"/>
      <c r="C534" s="92">
        <f t="shared" si="82"/>
        <v>124918.04999999997</v>
      </c>
      <c r="D534" s="92">
        <f>SUM('CA brut produits &amp; sites'!D578:D589)</f>
        <v>35431.03</v>
      </c>
      <c r="E534" s="92">
        <f>SUM('CA brut produits &amp; sites'!E578:E589)</f>
        <v>60373.64</v>
      </c>
      <c r="F534" s="92">
        <f>SUM('CA brut produits &amp; sites'!F578:F589)</f>
        <v>31.39</v>
      </c>
      <c r="G534" s="92">
        <f>SUM('CA brut produits &amp; sites'!G578:G589)</f>
        <v>40.620000000000005</v>
      </c>
      <c r="H534" s="92">
        <f>SUM('CA brut produits &amp; sites'!H578:H589)</f>
        <v>5589.9299999999994</v>
      </c>
      <c r="I534" s="92">
        <f>SUM('CA brut produits &amp; sites'!I578:I589)</f>
        <v>22.4</v>
      </c>
      <c r="J534" s="92">
        <f>SUM('CA brut produits &amp; sites'!J578:J589)</f>
        <v>0</v>
      </c>
      <c r="K534" s="92">
        <f>SUM('CA brut produits &amp; sites'!K578:K589)</f>
        <v>21464.839999999997</v>
      </c>
      <c r="L534" s="92">
        <f>SUM('CA brut produits &amp; sites'!L578:L589)</f>
        <v>27.95</v>
      </c>
      <c r="M534" s="92">
        <f>SUM('CA brut produits &amp; sites'!M578:M589)</f>
        <v>86.25</v>
      </c>
      <c r="N534" s="92">
        <f>SUM('CA brut produits &amp; sites'!N578:N589)</f>
        <v>1850</v>
      </c>
      <c r="O534" s="92">
        <f>SUM('CA brut produits &amp; sites'!O578:O589)</f>
        <v>0</v>
      </c>
      <c r="P534" s="93">
        <f>SUM('CA brut produits &amp; sites'!P578:P589)</f>
        <v>0</v>
      </c>
    </row>
    <row r="535" spans="1:16" x14ac:dyDescent="0.3">
      <c r="A535" s="87">
        <v>42917</v>
      </c>
      <c r="B535" s="146"/>
      <c r="C535" s="92">
        <f t="shared" si="82"/>
        <v>124918.04999999997</v>
      </c>
      <c r="D535" s="92">
        <f>SUM('CA brut produits &amp; sites'!D579:D590)</f>
        <v>35431.03</v>
      </c>
      <c r="E535" s="92">
        <f>SUM('CA brut produits &amp; sites'!E579:E590)</f>
        <v>60373.64</v>
      </c>
      <c r="F535" s="92">
        <f>SUM('CA brut produits &amp; sites'!F579:F590)</f>
        <v>31.39</v>
      </c>
      <c r="G535" s="92">
        <f>SUM('CA brut produits &amp; sites'!G579:G590)</f>
        <v>40.620000000000005</v>
      </c>
      <c r="H535" s="92">
        <f>SUM('CA brut produits &amp; sites'!H579:H590)</f>
        <v>5589.9299999999994</v>
      </c>
      <c r="I535" s="92">
        <f>SUM('CA brut produits &amp; sites'!I579:I590)</f>
        <v>22.4</v>
      </c>
      <c r="J535" s="92">
        <f>SUM('CA brut produits &amp; sites'!J579:J590)</f>
        <v>0</v>
      </c>
      <c r="K535" s="92">
        <f>SUM('CA brut produits &amp; sites'!K579:K590)</f>
        <v>21464.839999999997</v>
      </c>
      <c r="L535" s="92">
        <f>SUM('CA brut produits &amp; sites'!L579:L590)</f>
        <v>27.95</v>
      </c>
      <c r="M535" s="92">
        <f>SUM('CA brut produits &amp; sites'!M579:M590)</f>
        <v>86.25</v>
      </c>
      <c r="N535" s="92">
        <f>SUM('CA brut produits &amp; sites'!N579:N590)</f>
        <v>1850</v>
      </c>
      <c r="O535" s="92">
        <f>SUM('CA brut produits &amp; sites'!O579:O590)</f>
        <v>0</v>
      </c>
      <c r="P535" s="93">
        <f>SUM('CA brut produits &amp; sites'!P579:P590)</f>
        <v>0</v>
      </c>
    </row>
    <row r="536" spans="1:16" x14ac:dyDescent="0.3">
      <c r="A536" s="87">
        <v>42948</v>
      </c>
      <c r="B536" s="146"/>
      <c r="C536" s="92">
        <f t="shared" si="82"/>
        <v>127844.88999999997</v>
      </c>
      <c r="D536" s="92">
        <f>SUM('CA brut produits &amp; sites'!D580:D591)</f>
        <v>35984.69</v>
      </c>
      <c r="E536" s="92">
        <f>SUM('CA brut produits &amp; sites'!E580:E591)</f>
        <v>61650.14</v>
      </c>
      <c r="F536" s="92">
        <f>SUM('CA brut produits &amp; sites'!F580:F591)</f>
        <v>31.39</v>
      </c>
      <c r="G536" s="92">
        <f>SUM('CA brut produits &amp; sites'!G580:G591)</f>
        <v>40.620000000000005</v>
      </c>
      <c r="H536" s="92">
        <f>SUM('CA brut produits &amp; sites'!H580:H591)</f>
        <v>5596.9299999999994</v>
      </c>
      <c r="I536" s="92">
        <f>SUM('CA brut produits &amp; sites'!I580:I591)</f>
        <v>22.4</v>
      </c>
      <c r="J536" s="92">
        <f>SUM('CA brut produits &amp; sites'!J580:J591)</f>
        <v>0</v>
      </c>
      <c r="K536" s="92">
        <f>SUM('CA brut produits &amp; sites'!K580:K591)</f>
        <v>22554.519999999997</v>
      </c>
      <c r="L536" s="92">
        <f>SUM('CA brut produits &amp; sites'!L580:L591)</f>
        <v>27.95</v>
      </c>
      <c r="M536" s="92">
        <f>SUM('CA brut produits &amp; sites'!M580:M591)</f>
        <v>86.25</v>
      </c>
      <c r="N536" s="92">
        <f>SUM('CA brut produits &amp; sites'!N580:N591)</f>
        <v>1850</v>
      </c>
      <c r="O536" s="92">
        <f>SUM('CA brut produits &amp; sites'!O580:O591)</f>
        <v>0</v>
      </c>
      <c r="P536" s="93">
        <f>SUM('CA brut produits &amp; sites'!P580:P591)</f>
        <v>0</v>
      </c>
    </row>
    <row r="537" spans="1:16" x14ac:dyDescent="0.3">
      <c r="A537" s="87">
        <v>42979</v>
      </c>
      <c r="B537" s="146"/>
      <c r="C537" s="92">
        <f t="shared" si="82"/>
        <v>120173.20999999999</v>
      </c>
      <c r="D537" s="92">
        <f>SUM('CA brut produits &amp; sites'!D581:D592)</f>
        <v>29701.770000000004</v>
      </c>
      <c r="E537" s="92">
        <f>SUM('CA brut produits &amp; sites'!E581:E592)</f>
        <v>60230.51</v>
      </c>
      <c r="F537" s="92">
        <f>SUM('CA brut produits &amp; sites'!F581:F592)</f>
        <v>68.039999999999992</v>
      </c>
      <c r="G537" s="92">
        <f>SUM('CA brut produits &amp; sites'!G581:G592)</f>
        <v>56.94</v>
      </c>
      <c r="H537" s="92">
        <f>SUM('CA brut produits &amp; sites'!H581:H592)</f>
        <v>5450.63</v>
      </c>
      <c r="I537" s="92">
        <f>SUM('CA brut produits &amp; sites'!I581:I592)</f>
        <v>22.4</v>
      </c>
      <c r="J537" s="92">
        <f>SUM('CA brut produits &amp; sites'!J581:J592)</f>
        <v>0</v>
      </c>
      <c r="K537" s="92">
        <f>SUM('CA brut produits &amp; sites'!K581:K592)</f>
        <v>22662.92</v>
      </c>
      <c r="L537" s="92">
        <f>SUM('CA brut produits &amp; sites'!L581:L592)</f>
        <v>0</v>
      </c>
      <c r="M537" s="92">
        <f>SUM('CA brut produits &amp; sites'!M581:M592)</f>
        <v>130</v>
      </c>
      <c r="N537" s="92">
        <f>SUM('CA brut produits &amp; sites'!N581:N592)</f>
        <v>1850</v>
      </c>
      <c r="O537" s="92">
        <f>SUM('CA brut produits &amp; sites'!O581:O592)</f>
        <v>0</v>
      </c>
      <c r="P537" s="93">
        <f>SUM('CA brut produits &amp; sites'!P581:P592)</f>
        <v>0</v>
      </c>
    </row>
    <row r="538" spans="1:16" x14ac:dyDescent="0.3">
      <c r="A538" s="87">
        <v>43009</v>
      </c>
      <c r="B538" s="146"/>
      <c r="C538" s="92">
        <f t="shared" si="82"/>
        <v>126736.07000000004</v>
      </c>
      <c r="D538" s="92">
        <f>SUM('CA brut produits &amp; sites'!D582:D593)</f>
        <v>29698.430000000008</v>
      </c>
      <c r="E538" s="92">
        <f>SUM('CA brut produits &amp; sites'!E582:E593)</f>
        <v>64470.68</v>
      </c>
      <c r="F538" s="92">
        <f>SUM('CA brut produits &amp; sites'!F582:F593)</f>
        <v>174.44</v>
      </c>
      <c r="G538" s="92">
        <f>SUM('CA brut produits &amp; sites'!G582:G593)</f>
        <v>56.94</v>
      </c>
      <c r="H538" s="92">
        <f>SUM('CA brut produits &amp; sites'!H582:H593)</f>
        <v>5569.5199999999995</v>
      </c>
      <c r="I538" s="92">
        <f>SUM('CA brut produits &amp; sites'!I582:I593)</f>
        <v>104.96000000000001</v>
      </c>
      <c r="J538" s="92">
        <f>SUM('CA brut produits &amp; sites'!J582:J593)</f>
        <v>0</v>
      </c>
      <c r="K538" s="92">
        <f>SUM('CA brut produits &amp; sites'!K582:K593)</f>
        <v>24681.100000000002</v>
      </c>
      <c r="L538" s="92">
        <f>SUM('CA brut produits &amp; sites'!L582:L593)</f>
        <v>0</v>
      </c>
      <c r="M538" s="92">
        <f>SUM('CA brut produits &amp; sites'!M582:M593)</f>
        <v>130</v>
      </c>
      <c r="N538" s="92">
        <f>SUM('CA brut produits &amp; sites'!N582:N593)</f>
        <v>1850</v>
      </c>
      <c r="O538" s="92">
        <f>SUM('CA brut produits &amp; sites'!O582:O593)</f>
        <v>0</v>
      </c>
      <c r="P538" s="93">
        <f>SUM('CA brut produits &amp; sites'!P582:P593)</f>
        <v>0</v>
      </c>
    </row>
    <row r="539" spans="1:16" x14ac:dyDescent="0.3">
      <c r="A539" s="87">
        <v>43040</v>
      </c>
      <c r="B539" s="146"/>
      <c r="C539" s="92">
        <f t="shared" si="82"/>
        <v>120516.60999999999</v>
      </c>
      <c r="D539" s="92">
        <f>SUM('CA brut produits &amp; sites'!D583:D594)</f>
        <v>28691.890000000003</v>
      </c>
      <c r="E539" s="92">
        <f>SUM('CA brut produits &amp; sites'!E583:E594)</f>
        <v>63909.05</v>
      </c>
      <c r="F539" s="92">
        <f>SUM('CA brut produits &amp; sites'!F583:F594)</f>
        <v>176.12</v>
      </c>
      <c r="G539" s="92">
        <f>SUM('CA brut produits &amp; sites'!G583:G594)</f>
        <v>72.69</v>
      </c>
      <c r="H539" s="92">
        <f>SUM('CA brut produits &amp; sites'!H583:H594)</f>
        <v>2465.25</v>
      </c>
      <c r="I539" s="92">
        <f>SUM('CA brut produits &amp; sites'!I583:I594)</f>
        <v>221.79000000000002</v>
      </c>
      <c r="J539" s="92">
        <f>SUM('CA brut produits &amp; sites'!J583:J594)</f>
        <v>0</v>
      </c>
      <c r="K539" s="92">
        <f>SUM('CA brut produits &amp; sites'!K583:K594)</f>
        <v>24849.82</v>
      </c>
      <c r="L539" s="92">
        <f>SUM('CA brut produits &amp; sites'!L583:L594)</f>
        <v>0</v>
      </c>
      <c r="M539" s="92">
        <f>SUM('CA brut produits &amp; sites'!M583:M594)</f>
        <v>130</v>
      </c>
      <c r="N539" s="92">
        <f>SUM('CA brut produits &amp; sites'!N583:N594)</f>
        <v>0</v>
      </c>
      <c r="O539" s="92">
        <f>SUM('CA brut produits &amp; sites'!O583:O594)</f>
        <v>0</v>
      </c>
      <c r="P539" s="93">
        <f>SUM('CA brut produits &amp; sites'!P583:P594)</f>
        <v>0</v>
      </c>
    </row>
    <row r="540" spans="1:16" x14ac:dyDescent="0.3">
      <c r="A540" s="87">
        <v>43070</v>
      </c>
      <c r="B540" s="146"/>
      <c r="C540" s="92">
        <f t="shared" si="82"/>
        <v>120516.60999999999</v>
      </c>
      <c r="D540" s="92">
        <f>SUM('CA brut produits &amp; sites'!D584:D595)</f>
        <v>28691.890000000003</v>
      </c>
      <c r="E540" s="92">
        <f>SUM('CA brut produits &amp; sites'!E584:E595)</f>
        <v>63909.05</v>
      </c>
      <c r="F540" s="92">
        <f>SUM('CA brut produits &amp; sites'!F584:F595)</f>
        <v>176.12</v>
      </c>
      <c r="G540" s="92">
        <f>SUM('CA brut produits &amp; sites'!G584:G595)</f>
        <v>72.69</v>
      </c>
      <c r="H540" s="92">
        <f>SUM('CA brut produits &amp; sites'!H584:H595)</f>
        <v>2465.25</v>
      </c>
      <c r="I540" s="92">
        <f>SUM('CA brut produits &amp; sites'!I584:I595)</f>
        <v>221.79000000000002</v>
      </c>
      <c r="J540" s="92">
        <f>SUM('CA brut produits &amp; sites'!J584:J595)</f>
        <v>0</v>
      </c>
      <c r="K540" s="92">
        <f>SUM('CA brut produits &amp; sites'!K584:K595)</f>
        <v>24849.82</v>
      </c>
      <c r="L540" s="92">
        <f>SUM('CA brut produits &amp; sites'!L584:L595)</f>
        <v>0</v>
      </c>
      <c r="M540" s="92">
        <f>SUM('CA brut produits &amp; sites'!M584:M595)</f>
        <v>130</v>
      </c>
      <c r="N540" s="92">
        <f>SUM('CA brut produits &amp; sites'!N584:N595)</f>
        <v>0</v>
      </c>
      <c r="O540" s="92">
        <f>SUM('CA brut produits &amp; sites'!O584:O595)</f>
        <v>0</v>
      </c>
      <c r="P540" s="93">
        <f>SUM('CA brut produits &amp; sites'!P584:P595)</f>
        <v>0</v>
      </c>
    </row>
    <row r="541" spans="1:16" x14ac:dyDescent="0.3">
      <c r="A541" s="87">
        <v>43101</v>
      </c>
      <c r="B541" s="146"/>
      <c r="C541" s="92">
        <f t="shared" ref="C541:C568" si="83">SUM(D541:P541)</f>
        <v>123077.51000000001</v>
      </c>
      <c r="D541" s="92">
        <f>SUM('CA brut produits &amp; sites'!D585:D596)</f>
        <v>30183.940000000002</v>
      </c>
      <c r="E541" s="92">
        <f>SUM('CA brut produits &amp; sites'!E585:E596)</f>
        <v>63129.159999999996</v>
      </c>
      <c r="F541" s="92">
        <f>SUM('CA brut produits &amp; sites'!F585:F596)</f>
        <v>259.27999999999997</v>
      </c>
      <c r="G541" s="92">
        <f>SUM('CA brut produits &amp; sites'!G585:G596)</f>
        <v>72.69</v>
      </c>
      <c r="H541" s="92">
        <f>SUM('CA brut produits &amp; sites'!H585:H596)</f>
        <v>2912.75</v>
      </c>
      <c r="I541" s="92">
        <f>SUM('CA brut produits &amp; sites'!I585:I596)</f>
        <v>221.79000000000002</v>
      </c>
      <c r="J541" s="92">
        <f>SUM('CA brut produits &amp; sites'!J585:J596)</f>
        <v>0</v>
      </c>
      <c r="K541" s="92">
        <f>SUM('CA brut produits &amp; sites'!K585:K596)</f>
        <v>26167.9</v>
      </c>
      <c r="L541" s="92">
        <f>SUM('CA brut produits &amp; sites'!L585:L596)</f>
        <v>0</v>
      </c>
      <c r="M541" s="92">
        <f>SUM('CA brut produits &amp; sites'!M585:M596)</f>
        <v>130</v>
      </c>
      <c r="N541" s="92">
        <f>SUM('CA brut produits &amp; sites'!N585:N596)</f>
        <v>0</v>
      </c>
      <c r="O541" s="92">
        <f>SUM('CA brut produits &amp; sites'!O585:O596)</f>
        <v>0</v>
      </c>
      <c r="P541" s="93">
        <f>SUM('CA brut produits &amp; sites'!P585:P596)</f>
        <v>0</v>
      </c>
    </row>
    <row r="542" spans="1:16" ht="14.7" customHeight="1" x14ac:dyDescent="0.3">
      <c r="A542" s="87">
        <v>43132</v>
      </c>
      <c r="B542" s="146"/>
      <c r="C542" s="92">
        <f t="shared" si="83"/>
        <v>120925.59</v>
      </c>
      <c r="D542" s="92">
        <f>SUM('CA brut produits &amp; sites'!D586:D597)</f>
        <v>28545.910000000003</v>
      </c>
      <c r="E542" s="92">
        <f>SUM('CA brut produits &amp; sites'!E586:E597)</f>
        <v>63000.66</v>
      </c>
      <c r="F542" s="92">
        <f>SUM('CA brut produits &amp; sites'!F586:F597)</f>
        <v>400.4</v>
      </c>
      <c r="G542" s="92">
        <f>SUM('CA brut produits &amp; sites'!G586:G597)</f>
        <v>79.319999999999993</v>
      </c>
      <c r="H542" s="92">
        <f>SUM('CA brut produits &amp; sites'!H586:H597)</f>
        <v>2707.2000000000003</v>
      </c>
      <c r="I542" s="92">
        <f>SUM('CA brut produits &amp; sites'!I586:I597)</f>
        <v>221.79000000000002</v>
      </c>
      <c r="J542" s="92">
        <f>SUM('CA brut produits &amp; sites'!J586:J597)</f>
        <v>0</v>
      </c>
      <c r="K542" s="92">
        <f>SUM('CA brut produits &amp; sites'!K586:K597)</f>
        <v>25970.31</v>
      </c>
      <c r="L542" s="92">
        <f>SUM('CA brut produits &amp; sites'!L586:L597)</f>
        <v>0</v>
      </c>
      <c r="M542" s="92">
        <f>SUM('CA brut produits &amp; sites'!M586:M597)</f>
        <v>0</v>
      </c>
      <c r="N542" s="92">
        <f>SUM('CA brut produits &amp; sites'!N586:N597)</f>
        <v>0</v>
      </c>
      <c r="O542" s="92">
        <f>SUM('CA brut produits &amp; sites'!O586:O597)</f>
        <v>0</v>
      </c>
      <c r="P542" s="93">
        <f>SUM('CA brut produits &amp; sites'!P586:P597)</f>
        <v>0</v>
      </c>
    </row>
    <row r="543" spans="1:16" x14ac:dyDescent="0.3">
      <c r="A543" s="87">
        <v>43160</v>
      </c>
      <c r="B543" s="146"/>
      <c r="C543" s="92">
        <f t="shared" si="83"/>
        <v>118008.2</v>
      </c>
      <c r="D543" s="92">
        <f>SUM('CA brut produits &amp; sites'!D587:D598)</f>
        <v>26716.729999999996</v>
      </c>
      <c r="E543" s="92">
        <f>SUM('CA brut produits &amp; sites'!E587:E598)</f>
        <v>61654.58</v>
      </c>
      <c r="F543" s="92">
        <f>SUM('CA brut produits &amp; sites'!F587:F598)</f>
        <v>435.68000000000006</v>
      </c>
      <c r="G543" s="92">
        <f>SUM('CA brut produits &amp; sites'!G587:G598)</f>
        <v>79.319999999999993</v>
      </c>
      <c r="H543" s="92">
        <f>SUM('CA brut produits &amp; sites'!H587:H598)</f>
        <v>2612.6400000000003</v>
      </c>
      <c r="I543" s="92">
        <f>SUM('CA brut produits &amp; sites'!I587:I598)</f>
        <v>281.73</v>
      </c>
      <c r="J543" s="92">
        <f>SUM('CA brut produits &amp; sites'!J587:J598)</f>
        <v>0</v>
      </c>
      <c r="K543" s="92">
        <f>SUM('CA brut produits &amp; sites'!K587:K598)</f>
        <v>26227.52</v>
      </c>
      <c r="L543" s="92">
        <f>SUM('CA brut produits &amp; sites'!L587:L598)</f>
        <v>0</v>
      </c>
      <c r="M543" s="92">
        <f>SUM('CA brut produits &amp; sites'!M587:M598)</f>
        <v>0</v>
      </c>
      <c r="N543" s="92">
        <f>SUM('CA brut produits &amp; sites'!N587:N598)</f>
        <v>0</v>
      </c>
      <c r="O543" s="92">
        <f>SUM('CA brut produits &amp; sites'!O587:O598)</f>
        <v>0</v>
      </c>
      <c r="P543" s="93">
        <f>SUM('CA brut produits &amp; sites'!P587:P598)</f>
        <v>0</v>
      </c>
    </row>
    <row r="544" spans="1:16" x14ac:dyDescent="0.3">
      <c r="A544" s="87">
        <v>43191</v>
      </c>
      <c r="B544" s="146"/>
      <c r="C544" s="92">
        <f t="shared" si="83"/>
        <v>119170.07999999999</v>
      </c>
      <c r="D544" s="92">
        <f>SUM('CA brut produits &amp; sites'!D588:D599)</f>
        <v>27062.560000000001</v>
      </c>
      <c r="E544" s="92">
        <f>SUM('CA brut produits &amp; sites'!E588:E599)</f>
        <v>62154.7</v>
      </c>
      <c r="F544" s="92">
        <f>SUM('CA brut produits &amp; sites'!F588:F599)</f>
        <v>435.68000000000006</v>
      </c>
      <c r="G544" s="92">
        <f>SUM('CA brut produits &amp; sites'!G588:G599)</f>
        <v>80.759999999999991</v>
      </c>
      <c r="H544" s="92">
        <f>SUM('CA brut produits &amp; sites'!H588:H599)</f>
        <v>2573.61</v>
      </c>
      <c r="I544" s="92">
        <f>SUM('CA brut produits &amp; sites'!I588:I599)</f>
        <v>292.53000000000003</v>
      </c>
      <c r="J544" s="92">
        <f>SUM('CA brut produits &amp; sites'!J588:J599)</f>
        <v>0</v>
      </c>
      <c r="K544" s="92">
        <f>SUM('CA brut produits &amp; sites'!K588:K599)</f>
        <v>26570.239999999998</v>
      </c>
      <c r="L544" s="92">
        <f>SUM('CA brut produits &amp; sites'!L588:L599)</f>
        <v>0</v>
      </c>
      <c r="M544" s="92">
        <f>SUM('CA brut produits &amp; sites'!M588:M599)</f>
        <v>0</v>
      </c>
      <c r="N544" s="92">
        <f>SUM('CA brut produits &amp; sites'!N588:N599)</f>
        <v>0</v>
      </c>
      <c r="O544" s="92">
        <f>SUM('CA brut produits &amp; sites'!O588:O599)</f>
        <v>0</v>
      </c>
      <c r="P544" s="93">
        <f>SUM('CA brut produits &amp; sites'!P588:P599)</f>
        <v>0</v>
      </c>
    </row>
    <row r="545" spans="1:16" x14ac:dyDescent="0.3">
      <c r="A545" s="87">
        <v>43221</v>
      </c>
      <c r="B545" s="146"/>
      <c r="C545" s="92">
        <f t="shared" si="83"/>
        <v>115664.99999999999</v>
      </c>
      <c r="D545" s="92">
        <f>SUM('CA brut produits &amp; sites'!D589:D600)</f>
        <v>27121.33</v>
      </c>
      <c r="E545" s="92">
        <f>SUM('CA brut produits &amp; sites'!E589:E600)</f>
        <v>60086.31</v>
      </c>
      <c r="F545" s="92">
        <f>SUM('CA brut produits &amp; sites'!F589:F600)</f>
        <v>481.04000000000008</v>
      </c>
      <c r="G545" s="92">
        <f>SUM('CA brut produits &amp; sites'!G589:G600)</f>
        <v>74.399999999999991</v>
      </c>
      <c r="H545" s="92">
        <f>SUM('CA brut produits &amp; sites'!H589:H600)</f>
        <v>2492.7599999999998</v>
      </c>
      <c r="I545" s="92">
        <f>SUM('CA brut produits &amp; sites'!I589:I600)</f>
        <v>270.13</v>
      </c>
      <c r="J545" s="92">
        <f>SUM('CA brut produits &amp; sites'!J589:J600)</f>
        <v>0</v>
      </c>
      <c r="K545" s="92">
        <f>SUM('CA brut produits &amp; sites'!K589:K600)</f>
        <v>25109.03</v>
      </c>
      <c r="L545" s="92">
        <f>SUM('CA brut produits &amp; sites'!L589:L600)</f>
        <v>0</v>
      </c>
      <c r="M545" s="92">
        <f>SUM('CA brut produits &amp; sites'!M589:M600)</f>
        <v>0</v>
      </c>
      <c r="N545" s="92">
        <f>SUM('CA brut produits &amp; sites'!N589:N600)</f>
        <v>0</v>
      </c>
      <c r="O545" s="92">
        <f>SUM('CA brut produits &amp; sites'!O589:O600)</f>
        <v>0</v>
      </c>
      <c r="P545" s="93">
        <f>SUM('CA brut produits &amp; sites'!P589:P600)</f>
        <v>30</v>
      </c>
    </row>
    <row r="546" spans="1:16" x14ac:dyDescent="0.3">
      <c r="A546" s="87">
        <v>43252</v>
      </c>
      <c r="B546" s="146"/>
      <c r="C546" s="92">
        <f t="shared" si="83"/>
        <v>115466.39000000001</v>
      </c>
      <c r="D546" s="92">
        <f>SUM('CA brut produits &amp; sites'!D590:D601)</f>
        <v>25639.670000000002</v>
      </c>
      <c r="E546" s="92">
        <f>SUM('CA brut produits &amp; sites'!E590:E601)</f>
        <v>60846.73</v>
      </c>
      <c r="F546" s="92">
        <f>SUM('CA brut produits &amp; sites'!F590:F601)</f>
        <v>499.24000000000007</v>
      </c>
      <c r="G546" s="92">
        <f>SUM('CA brut produits &amp; sites'!G590:G601)</f>
        <v>56.46</v>
      </c>
      <c r="H546" s="92">
        <f>SUM('CA brut produits &amp; sites'!H590:H601)</f>
        <v>2268.73</v>
      </c>
      <c r="I546" s="92">
        <f>SUM('CA brut produits &amp; sites'!I590:I601)</f>
        <v>270.13</v>
      </c>
      <c r="J546" s="92">
        <f>SUM('CA brut produits &amp; sites'!J590:J601)</f>
        <v>0</v>
      </c>
      <c r="K546" s="92">
        <f>SUM('CA brut produits &amp; sites'!K590:K601)</f>
        <v>25830.429999999997</v>
      </c>
      <c r="L546" s="92">
        <f>SUM('CA brut produits &amp; sites'!L590:L601)</f>
        <v>25</v>
      </c>
      <c r="M546" s="92">
        <f>SUM('CA brut produits &amp; sites'!M590:M601)</f>
        <v>0</v>
      </c>
      <c r="N546" s="92">
        <f>SUM('CA brut produits &amp; sites'!N590:N601)</f>
        <v>0</v>
      </c>
      <c r="O546" s="92">
        <f>SUM('CA brut produits &amp; sites'!O590:O601)</f>
        <v>0</v>
      </c>
      <c r="P546" s="93">
        <f>SUM('CA brut produits &amp; sites'!P590:P601)</f>
        <v>30</v>
      </c>
    </row>
    <row r="547" spans="1:16" x14ac:dyDescent="0.3">
      <c r="A547" s="87">
        <v>43282</v>
      </c>
      <c r="B547" s="146"/>
      <c r="C547" s="92">
        <f t="shared" si="83"/>
        <v>115466.39000000001</v>
      </c>
      <c r="D547" s="92">
        <f>SUM('CA brut produits &amp; sites'!D591:D602)</f>
        <v>25639.670000000002</v>
      </c>
      <c r="E547" s="92">
        <f>SUM('CA brut produits &amp; sites'!E591:E602)</f>
        <v>60846.73</v>
      </c>
      <c r="F547" s="92">
        <f>SUM('CA brut produits &amp; sites'!F591:F602)</f>
        <v>499.24000000000007</v>
      </c>
      <c r="G547" s="92">
        <f>SUM('CA brut produits &amp; sites'!G591:G602)</f>
        <v>56.46</v>
      </c>
      <c r="H547" s="92">
        <f>SUM('CA brut produits &amp; sites'!H591:H602)</f>
        <v>2268.73</v>
      </c>
      <c r="I547" s="92">
        <f>SUM('CA brut produits &amp; sites'!I591:I602)</f>
        <v>270.13</v>
      </c>
      <c r="J547" s="92">
        <f>SUM('CA brut produits &amp; sites'!J591:J602)</f>
        <v>0</v>
      </c>
      <c r="K547" s="92">
        <f>SUM('CA brut produits &amp; sites'!K591:K602)</f>
        <v>25830.429999999997</v>
      </c>
      <c r="L547" s="92">
        <f>SUM('CA brut produits &amp; sites'!L591:L602)</f>
        <v>25</v>
      </c>
      <c r="M547" s="92">
        <f>SUM('CA brut produits &amp; sites'!M591:M602)</f>
        <v>0</v>
      </c>
      <c r="N547" s="92">
        <f>SUM('CA brut produits &amp; sites'!N591:N602)</f>
        <v>0</v>
      </c>
      <c r="O547" s="92">
        <f>SUM('CA brut produits &amp; sites'!O591:O602)</f>
        <v>0</v>
      </c>
      <c r="P547" s="93">
        <f>SUM('CA brut produits &amp; sites'!P591:P602)</f>
        <v>30</v>
      </c>
    </row>
    <row r="548" spans="1:16" x14ac:dyDescent="0.3">
      <c r="A548" s="87">
        <v>43313</v>
      </c>
      <c r="B548" s="146"/>
      <c r="C548" s="92">
        <f t="shared" si="83"/>
        <v>116372.52000000002</v>
      </c>
      <c r="D548" s="92">
        <f>SUM('CA brut produits &amp; sites'!D592:D603)</f>
        <v>25725.070000000003</v>
      </c>
      <c r="E548" s="92">
        <f>SUM('CA brut produits &amp; sites'!E592:E603)</f>
        <v>61730.37</v>
      </c>
      <c r="F548" s="92">
        <f>SUM('CA brut produits &amp; sites'!F592:F603)</f>
        <v>530.46</v>
      </c>
      <c r="G548" s="92">
        <f>SUM('CA brut produits &amp; sites'!G592:G603)</f>
        <v>65.099999999999994</v>
      </c>
      <c r="H548" s="92">
        <f>SUM('CA brut produits &amp; sites'!H592:H603)</f>
        <v>2690.11</v>
      </c>
      <c r="I548" s="92">
        <f>SUM('CA brut produits &amp; sites'!I592:I603)</f>
        <v>270.13</v>
      </c>
      <c r="J548" s="92">
        <f>SUM('CA brut produits &amp; sites'!J592:J603)</f>
        <v>0</v>
      </c>
      <c r="K548" s="92">
        <f>SUM('CA brut produits &amp; sites'!K592:K603)</f>
        <v>25306.279999999995</v>
      </c>
      <c r="L548" s="92">
        <f>SUM('CA brut produits &amp; sites'!L592:L603)</f>
        <v>25</v>
      </c>
      <c r="M548" s="92">
        <f>SUM('CA brut produits &amp; sites'!M592:M603)</f>
        <v>0</v>
      </c>
      <c r="N548" s="92">
        <f>SUM('CA brut produits &amp; sites'!N592:N603)</f>
        <v>0</v>
      </c>
      <c r="O548" s="92">
        <f>SUM('CA brut produits &amp; sites'!O592:O603)</f>
        <v>0</v>
      </c>
      <c r="P548" s="93">
        <f>SUM('CA brut produits &amp; sites'!P592:P603)</f>
        <v>30</v>
      </c>
    </row>
    <row r="549" spans="1:16" x14ac:dyDescent="0.3">
      <c r="A549" s="87">
        <v>43344</v>
      </c>
      <c r="B549" s="146"/>
      <c r="C549" s="92">
        <f t="shared" si="83"/>
        <v>117481.36000000002</v>
      </c>
      <c r="D549" s="92">
        <f>SUM('CA brut produits &amp; sites'!D593:D604)</f>
        <v>26021.090000000004</v>
      </c>
      <c r="E549" s="92">
        <f>SUM('CA brut produits &amp; sites'!E593:E604)</f>
        <v>61930.79</v>
      </c>
      <c r="F549" s="92">
        <f>SUM('CA brut produits &amp; sites'!F593:F604)</f>
        <v>496.58</v>
      </c>
      <c r="G549" s="92">
        <f>SUM('CA brut produits &amp; sites'!G593:G604)</f>
        <v>32.46</v>
      </c>
      <c r="H549" s="92">
        <f>SUM('CA brut produits &amp; sites'!H593:H604)</f>
        <v>3491.71</v>
      </c>
      <c r="I549" s="92">
        <f>SUM('CA brut produits &amp; sites'!I593:I604)</f>
        <v>270.13</v>
      </c>
      <c r="J549" s="92">
        <f>SUM('CA brut produits &amp; sites'!J593:J604)</f>
        <v>0</v>
      </c>
      <c r="K549" s="92">
        <f>SUM('CA brut produits &amp; sites'!K593:K604)</f>
        <v>25166.679999999997</v>
      </c>
      <c r="L549" s="92">
        <f>SUM('CA brut produits &amp; sites'!L593:L604)</f>
        <v>41.92</v>
      </c>
      <c r="M549" s="92">
        <f>SUM('CA brut produits &amp; sites'!M593:M604)</f>
        <v>0</v>
      </c>
      <c r="N549" s="92">
        <f>SUM('CA brut produits &amp; sites'!N593:N604)</f>
        <v>0</v>
      </c>
      <c r="O549" s="92">
        <f>SUM('CA brut produits &amp; sites'!O593:O604)</f>
        <v>0</v>
      </c>
      <c r="P549" s="93">
        <f>SUM('CA brut produits &amp; sites'!P593:P604)</f>
        <v>30</v>
      </c>
    </row>
    <row r="550" spans="1:16" x14ac:dyDescent="0.3">
      <c r="A550" s="87">
        <v>43374</v>
      </c>
      <c r="B550" s="146"/>
      <c r="C550" s="92">
        <f t="shared" si="83"/>
        <v>117798.39</v>
      </c>
      <c r="D550" s="92">
        <f>SUM('CA brut produits &amp; sites'!D594:D605)</f>
        <v>26789.24</v>
      </c>
      <c r="E550" s="92">
        <f>SUM('CA brut produits &amp; sites'!E594:E605)</f>
        <v>61909.32</v>
      </c>
      <c r="F550" s="92">
        <f>SUM('CA brut produits &amp; sites'!F594:F605)</f>
        <v>439.39</v>
      </c>
      <c r="G550" s="92">
        <f>SUM('CA brut produits &amp; sites'!G594:G605)</f>
        <v>32.46</v>
      </c>
      <c r="H550" s="92">
        <f>SUM('CA brut produits &amp; sites'!H594:H605)</f>
        <v>3476.6500000000005</v>
      </c>
      <c r="I550" s="92">
        <f>SUM('CA brut produits &amp; sites'!I594:I605)</f>
        <v>187.57</v>
      </c>
      <c r="J550" s="92">
        <f>SUM('CA brut produits &amp; sites'!J594:J605)</f>
        <v>0</v>
      </c>
      <c r="K550" s="92">
        <f>SUM('CA brut produits &amp; sites'!K594:K605)</f>
        <v>24891.839999999997</v>
      </c>
      <c r="L550" s="92">
        <f>SUM('CA brut produits &amp; sites'!L594:L605)</f>
        <v>41.92</v>
      </c>
      <c r="M550" s="92">
        <f>SUM('CA brut produits &amp; sites'!M594:M605)</f>
        <v>0</v>
      </c>
      <c r="N550" s="92">
        <f>SUM('CA brut produits &amp; sites'!N594:N605)</f>
        <v>0</v>
      </c>
      <c r="O550" s="92">
        <f>SUM('CA brut produits &amp; sites'!O594:O605)</f>
        <v>0</v>
      </c>
      <c r="P550" s="93">
        <f>SUM('CA brut produits &amp; sites'!P594:P605)</f>
        <v>30</v>
      </c>
    </row>
    <row r="551" spans="1:16" x14ac:dyDescent="0.3">
      <c r="A551" s="94">
        <v>43405</v>
      </c>
      <c r="B551" s="146"/>
      <c r="C551" s="92">
        <f t="shared" si="83"/>
        <v>118828.84000000001</v>
      </c>
      <c r="D551" s="92">
        <f>SUM('CA brut produits &amp; sites'!D595:D606)</f>
        <v>26037.799999999996</v>
      </c>
      <c r="E551" s="92">
        <f>SUM('CA brut produits &amp; sites'!E595:E606)</f>
        <v>62361.740000000005</v>
      </c>
      <c r="F551" s="92">
        <f>SUM('CA brut produits &amp; sites'!F595:F606)</f>
        <v>484.74999999999994</v>
      </c>
      <c r="G551" s="92">
        <f>SUM('CA brut produits &amp; sites'!G595:G606)</f>
        <v>22.47</v>
      </c>
      <c r="H551" s="92">
        <f>SUM('CA brut produits &amp; sites'!H595:H606)</f>
        <v>4467.7900000000009</v>
      </c>
      <c r="I551" s="92">
        <f>SUM('CA brut produits &amp; sites'!I595:I606)</f>
        <v>151.56</v>
      </c>
      <c r="J551" s="92">
        <f>SUM('CA brut produits &amp; sites'!J595:J606)</f>
        <v>0</v>
      </c>
      <c r="K551" s="92">
        <f>SUM('CA brut produits &amp; sites'!K595:K606)</f>
        <v>25215.809999999998</v>
      </c>
      <c r="L551" s="92">
        <f>SUM('CA brut produits &amp; sites'!L595:L606)</f>
        <v>46.92</v>
      </c>
      <c r="M551" s="92">
        <f>SUM('CA brut produits &amp; sites'!M595:M606)</f>
        <v>0</v>
      </c>
      <c r="N551" s="92">
        <f>SUM('CA brut produits &amp; sites'!N595:N606)</f>
        <v>0</v>
      </c>
      <c r="O551" s="92">
        <f>SUM('CA brut produits &amp; sites'!O595:O606)</f>
        <v>0</v>
      </c>
      <c r="P551" s="93">
        <f>SUM('CA brut produits &amp; sites'!P595:P606)</f>
        <v>40</v>
      </c>
    </row>
    <row r="552" spans="1:16" x14ac:dyDescent="0.3">
      <c r="A552" s="94">
        <v>43435</v>
      </c>
      <c r="B552" s="146"/>
      <c r="C552" s="92">
        <f t="shared" si="83"/>
        <v>118828.84000000001</v>
      </c>
      <c r="D552" s="92">
        <f>SUM('CA brut produits &amp; sites'!D596:D607)</f>
        <v>26037.799999999996</v>
      </c>
      <c r="E552" s="92">
        <f>SUM('CA brut produits &amp; sites'!E596:E607)</f>
        <v>62361.740000000005</v>
      </c>
      <c r="F552" s="92">
        <f>SUM('CA brut produits &amp; sites'!F596:F607)</f>
        <v>484.74999999999994</v>
      </c>
      <c r="G552" s="92">
        <f>SUM('CA brut produits &amp; sites'!G596:G607)</f>
        <v>22.47</v>
      </c>
      <c r="H552" s="92">
        <f>SUM('CA brut produits &amp; sites'!H596:H607)</f>
        <v>4467.7900000000009</v>
      </c>
      <c r="I552" s="92">
        <f>SUM('CA brut produits &amp; sites'!I596:I607)</f>
        <v>151.56</v>
      </c>
      <c r="J552" s="92">
        <f>SUM('CA brut produits &amp; sites'!J596:J607)</f>
        <v>0</v>
      </c>
      <c r="K552" s="92">
        <f>SUM('CA brut produits &amp; sites'!K596:K607)</f>
        <v>25215.809999999998</v>
      </c>
      <c r="L552" s="92">
        <f>SUM('CA brut produits &amp; sites'!L596:L607)</f>
        <v>46.92</v>
      </c>
      <c r="M552" s="92">
        <f>SUM('CA brut produits &amp; sites'!M596:M607)</f>
        <v>0</v>
      </c>
      <c r="N552" s="92">
        <f>SUM('CA brut produits &amp; sites'!N596:N607)</f>
        <v>0</v>
      </c>
      <c r="O552" s="92">
        <f>SUM('CA brut produits &amp; sites'!O596:O607)</f>
        <v>0</v>
      </c>
      <c r="P552" s="93">
        <f>SUM('CA brut produits &amp; sites'!P596:P607)</f>
        <v>40</v>
      </c>
    </row>
    <row r="553" spans="1:16" x14ac:dyDescent="0.3">
      <c r="A553" s="94">
        <v>43466</v>
      </c>
      <c r="B553" s="146"/>
      <c r="C553" s="92">
        <f t="shared" si="83"/>
        <v>121896.42</v>
      </c>
      <c r="D553" s="92">
        <f>SUM('CA brut produits &amp; sites'!D597:D608)</f>
        <v>27019.129999999997</v>
      </c>
      <c r="E553" s="92">
        <f>SUM('CA brut produits &amp; sites'!E597:E608)</f>
        <v>64842.979999999996</v>
      </c>
      <c r="F553" s="92">
        <f>SUM('CA brut produits &amp; sites'!F597:F608)</f>
        <v>551.74</v>
      </c>
      <c r="G553" s="92">
        <f>SUM('CA brut produits &amp; sites'!G597:G608)</f>
        <v>22.47</v>
      </c>
      <c r="H553" s="92">
        <f>SUM('CA brut produits &amp; sites'!H597:H608)</f>
        <v>4275.88</v>
      </c>
      <c r="I553" s="92">
        <f>SUM('CA brut produits &amp; sites'!I597:I608)</f>
        <v>161.46</v>
      </c>
      <c r="J553" s="92">
        <f>SUM('CA brut produits &amp; sites'!J597:J608)</f>
        <v>0</v>
      </c>
      <c r="K553" s="92">
        <f>SUM('CA brut produits &amp; sites'!K597:K608)</f>
        <v>24935.84</v>
      </c>
      <c r="L553" s="92">
        <f>SUM('CA brut produits &amp; sites'!L597:L608)</f>
        <v>46.92</v>
      </c>
      <c r="M553" s="92">
        <f>SUM('CA brut produits &amp; sites'!M597:M608)</f>
        <v>0</v>
      </c>
      <c r="N553" s="92">
        <f>SUM('CA brut produits &amp; sites'!N597:N608)</f>
        <v>0</v>
      </c>
      <c r="O553" s="92">
        <f>SUM('CA brut produits &amp; sites'!O597:O608)</f>
        <v>0</v>
      </c>
      <c r="P553" s="93">
        <f>SUM('CA brut produits &amp; sites'!P597:P608)</f>
        <v>40</v>
      </c>
    </row>
    <row r="554" spans="1:16" x14ac:dyDescent="0.3">
      <c r="A554" s="94">
        <v>43497</v>
      </c>
      <c r="B554" s="146"/>
      <c r="C554" s="92">
        <f t="shared" si="83"/>
        <v>124041.37000000001</v>
      </c>
      <c r="D554" s="92">
        <f>SUM('CA brut produits &amp; sites'!D598:D609)</f>
        <v>28470.129999999997</v>
      </c>
      <c r="E554" s="92">
        <f>SUM('CA brut produits &amp; sites'!E598:E609)</f>
        <v>65398.53</v>
      </c>
      <c r="F554" s="92">
        <f>SUM('CA brut produits &amp; sites'!F598:F609)</f>
        <v>461.09000000000003</v>
      </c>
      <c r="G554" s="92">
        <f>SUM('CA brut produits &amp; sites'!G598:G609)</f>
        <v>15.84</v>
      </c>
      <c r="H554" s="92">
        <f>SUM('CA brut produits &amp; sites'!H598:H609)</f>
        <v>4294.33</v>
      </c>
      <c r="I554" s="92">
        <f>SUM('CA brut produits &amp; sites'!I598:I609)</f>
        <v>161.46</v>
      </c>
      <c r="J554" s="92">
        <f>SUM('CA brut produits &amp; sites'!J598:J609)</f>
        <v>0</v>
      </c>
      <c r="K554" s="92">
        <f>SUM('CA brut produits &amp; sites'!K598:K609)</f>
        <v>25153.07</v>
      </c>
      <c r="L554" s="92">
        <f>SUM('CA brut produits &amp; sites'!L598:L609)</f>
        <v>46.92</v>
      </c>
      <c r="M554" s="92">
        <f>SUM('CA brut produits &amp; sites'!M598:M609)</f>
        <v>0</v>
      </c>
      <c r="N554" s="92">
        <f>SUM('CA brut produits &amp; sites'!N598:N609)</f>
        <v>0</v>
      </c>
      <c r="O554" s="92">
        <f>SUM('CA brut produits &amp; sites'!O598:O609)</f>
        <v>0</v>
      </c>
      <c r="P554" s="93">
        <f>SUM('CA brut produits &amp; sites'!P598:P609)</f>
        <v>40</v>
      </c>
    </row>
    <row r="555" spans="1:16" x14ac:dyDescent="0.3">
      <c r="A555" s="94">
        <v>43525</v>
      </c>
      <c r="B555" s="146"/>
      <c r="C555" s="92">
        <f t="shared" si="83"/>
        <v>123433.78999999998</v>
      </c>
      <c r="D555" s="92">
        <f>SUM('CA brut produits &amp; sites'!D599:D610)</f>
        <v>28255.599999999995</v>
      </c>
      <c r="E555" s="92">
        <f>SUM('CA brut produits &amp; sites'!E599:E610)</f>
        <v>65130.75</v>
      </c>
      <c r="F555" s="92">
        <f>SUM('CA brut produits &amp; sites'!F599:F610)</f>
        <v>524.93000000000006</v>
      </c>
      <c r="G555" s="92">
        <f>SUM('CA brut produits &amp; sites'!G599:G610)</f>
        <v>15.84</v>
      </c>
      <c r="H555" s="92">
        <f>SUM('CA brut produits &amp; sites'!H599:H610)</f>
        <v>4831.29</v>
      </c>
      <c r="I555" s="92">
        <f>SUM('CA brut produits &amp; sites'!I599:I610)</f>
        <v>101.52</v>
      </c>
      <c r="J555" s="92">
        <f>SUM('CA brut produits &amp; sites'!J599:J610)</f>
        <v>0</v>
      </c>
      <c r="K555" s="92">
        <f>SUM('CA brut produits &amp; sites'!K599:K610)</f>
        <v>24486.94</v>
      </c>
      <c r="L555" s="92">
        <f>SUM('CA brut produits &amp; sites'!L599:L610)</f>
        <v>46.92</v>
      </c>
      <c r="M555" s="92">
        <f>SUM('CA brut produits &amp; sites'!M599:M610)</f>
        <v>0</v>
      </c>
      <c r="N555" s="92">
        <f>SUM('CA brut produits &amp; sites'!N599:N610)</f>
        <v>0</v>
      </c>
      <c r="O555" s="92">
        <f>SUM('CA brut produits &amp; sites'!O599:O610)</f>
        <v>0</v>
      </c>
      <c r="P555" s="93">
        <f>SUM('CA brut produits &amp; sites'!P599:P610)</f>
        <v>40</v>
      </c>
    </row>
    <row r="556" spans="1:16" x14ac:dyDescent="0.3">
      <c r="A556" s="94">
        <v>43556</v>
      </c>
      <c r="B556" s="146"/>
      <c r="C556" s="92">
        <f t="shared" si="83"/>
        <v>125918.88</v>
      </c>
      <c r="D556" s="92">
        <f>SUM('CA brut produits &amp; sites'!D600:D611)</f>
        <v>28345.64</v>
      </c>
      <c r="E556" s="92">
        <f>SUM('CA brut produits &amp; sites'!E600:E611)</f>
        <v>65818.3</v>
      </c>
      <c r="F556" s="92">
        <f>SUM('CA brut produits &amp; sites'!F600:F611)</f>
        <v>576.03000000000009</v>
      </c>
      <c r="G556" s="92">
        <f>SUM('CA brut produits &amp; sites'!G600:G611)</f>
        <v>28.8</v>
      </c>
      <c r="H556" s="92">
        <f>SUM('CA brut produits &amp; sites'!H600:H611)</f>
        <v>6327.96</v>
      </c>
      <c r="I556" s="92">
        <f>SUM('CA brut produits &amp; sites'!I600:I611)</f>
        <v>90.72</v>
      </c>
      <c r="J556" s="92">
        <f>SUM('CA brut produits &amp; sites'!J600:J611)</f>
        <v>0</v>
      </c>
      <c r="K556" s="92">
        <f>SUM('CA brut produits &amp; sites'!K600:K611)</f>
        <v>24644.509999999995</v>
      </c>
      <c r="L556" s="92">
        <f>SUM('CA brut produits &amp; sites'!L600:L611)</f>
        <v>46.92</v>
      </c>
      <c r="M556" s="92">
        <f>SUM('CA brut produits &amp; sites'!M600:M611)</f>
        <v>0</v>
      </c>
      <c r="N556" s="92">
        <f>SUM('CA brut produits &amp; sites'!N600:N611)</f>
        <v>0</v>
      </c>
      <c r="O556" s="92">
        <f>SUM('CA brut produits &amp; sites'!O600:O611)</f>
        <v>0</v>
      </c>
      <c r="P556" s="93">
        <f>SUM('CA brut produits &amp; sites'!P600:P611)</f>
        <v>40</v>
      </c>
    </row>
    <row r="557" spans="1:16" x14ac:dyDescent="0.3">
      <c r="A557" s="94">
        <v>43586</v>
      </c>
      <c r="B557" s="146"/>
      <c r="C557" s="92">
        <f t="shared" si="83"/>
        <v>126699.89</v>
      </c>
      <c r="D557" s="92">
        <f>SUM('CA brut produits &amp; sites'!D601:D612)</f>
        <v>28148.529999999995</v>
      </c>
      <c r="E557" s="92">
        <f>SUM('CA brut produits &amp; sites'!E601:E612)</f>
        <v>65646.350000000006</v>
      </c>
      <c r="F557" s="92">
        <f>SUM('CA brut produits &amp; sites'!F601:F612)</f>
        <v>560.9799999999999</v>
      </c>
      <c r="G557" s="92">
        <f>SUM('CA brut produits &amp; sites'!G601:G612)</f>
        <v>28.8</v>
      </c>
      <c r="H557" s="92">
        <f>SUM('CA brut produits &amp; sites'!H601:H612)</f>
        <v>7261.31</v>
      </c>
      <c r="I557" s="92">
        <f>SUM('CA brut produits &amp; sites'!I601:I612)</f>
        <v>90.72</v>
      </c>
      <c r="J557" s="92">
        <f>SUM('CA brut produits &amp; sites'!J601:J612)</f>
        <v>0</v>
      </c>
      <c r="K557" s="92">
        <f>SUM('CA brut produits &amp; sites'!K601:K612)</f>
        <v>24906.279999999995</v>
      </c>
      <c r="L557" s="92">
        <f>SUM('CA brut produits &amp; sites'!L601:L612)</f>
        <v>46.92</v>
      </c>
      <c r="M557" s="92">
        <f>SUM('CA brut produits &amp; sites'!M601:M612)</f>
        <v>0</v>
      </c>
      <c r="N557" s="92">
        <f>SUM('CA brut produits &amp; sites'!N601:N612)</f>
        <v>0</v>
      </c>
      <c r="O557" s="92">
        <f>SUM('CA brut produits &amp; sites'!O601:O612)</f>
        <v>0</v>
      </c>
      <c r="P557" s="93">
        <f>SUM('CA brut produits &amp; sites'!P601:P612)</f>
        <v>10</v>
      </c>
    </row>
    <row r="558" spans="1:16" x14ac:dyDescent="0.3">
      <c r="A558" s="94">
        <v>43617</v>
      </c>
      <c r="B558" s="146"/>
      <c r="C558" s="92">
        <f t="shared" si="83"/>
        <v>123082.57999999999</v>
      </c>
      <c r="D558" s="92">
        <f>SUM('CA brut produits &amp; sites'!D602:D613)</f>
        <v>27505.019999999997</v>
      </c>
      <c r="E558" s="92">
        <f>SUM('CA brut produits &amp; sites'!E602:E613)</f>
        <v>63789.590000000004</v>
      </c>
      <c r="F558" s="92">
        <f>SUM('CA brut produits &amp; sites'!F602:F613)</f>
        <v>522.9</v>
      </c>
      <c r="G558" s="92">
        <f>SUM('CA brut produits &amp; sites'!G602:G613)</f>
        <v>28.8</v>
      </c>
      <c r="H558" s="92">
        <f>SUM('CA brut produits &amp; sites'!H602:H613)</f>
        <v>7081.04</v>
      </c>
      <c r="I558" s="92">
        <f>SUM('CA brut produits &amp; sites'!I602:I613)</f>
        <v>90.72</v>
      </c>
      <c r="J558" s="92">
        <f>SUM('CA brut produits &amp; sites'!J602:J613)</f>
        <v>0</v>
      </c>
      <c r="K558" s="92">
        <f>SUM('CA brut produits &amp; sites'!K602:K613)</f>
        <v>24032.589999999997</v>
      </c>
      <c r="L558" s="92">
        <f>SUM('CA brut produits &amp; sites'!L602:L613)</f>
        <v>21.92</v>
      </c>
      <c r="M558" s="92">
        <f>SUM('CA brut produits &amp; sites'!M602:M613)</f>
        <v>0</v>
      </c>
      <c r="N558" s="92">
        <f>SUM('CA brut produits &amp; sites'!N602:N613)</f>
        <v>0</v>
      </c>
      <c r="O558" s="92">
        <f>SUM('CA brut produits &amp; sites'!O602:O613)</f>
        <v>0</v>
      </c>
      <c r="P558" s="93">
        <f>SUM('CA brut produits &amp; sites'!P602:P613)</f>
        <v>10</v>
      </c>
    </row>
    <row r="559" spans="1:16" x14ac:dyDescent="0.3">
      <c r="A559" s="94">
        <v>43647</v>
      </c>
      <c r="B559" s="146"/>
      <c r="C559" s="92">
        <f t="shared" si="83"/>
        <v>123082.57999999999</v>
      </c>
      <c r="D559" s="92">
        <f>SUM('CA brut produits &amp; sites'!D603:D614)</f>
        <v>27505.019999999997</v>
      </c>
      <c r="E559" s="92">
        <f>SUM('CA brut produits &amp; sites'!E603:E614)</f>
        <v>63789.590000000004</v>
      </c>
      <c r="F559" s="92">
        <f>SUM('CA brut produits &amp; sites'!F603:F614)</f>
        <v>522.9</v>
      </c>
      <c r="G559" s="92">
        <f>SUM('CA brut produits &amp; sites'!G603:G614)</f>
        <v>28.8</v>
      </c>
      <c r="H559" s="92">
        <f>SUM('CA brut produits &amp; sites'!H603:H614)</f>
        <v>7081.04</v>
      </c>
      <c r="I559" s="92">
        <f>SUM('CA brut produits &amp; sites'!I603:I614)</f>
        <v>90.72</v>
      </c>
      <c r="J559" s="92">
        <f>SUM('CA brut produits &amp; sites'!J603:J614)</f>
        <v>0</v>
      </c>
      <c r="K559" s="92">
        <f>SUM('CA brut produits &amp; sites'!K603:K614)</f>
        <v>24032.589999999997</v>
      </c>
      <c r="L559" s="92">
        <f>SUM('CA brut produits &amp; sites'!L603:L614)</f>
        <v>21.92</v>
      </c>
      <c r="M559" s="92">
        <f>SUM('CA brut produits &amp; sites'!M603:M614)</f>
        <v>0</v>
      </c>
      <c r="N559" s="92">
        <f>SUM('CA brut produits &amp; sites'!N603:N614)</f>
        <v>0</v>
      </c>
      <c r="O559" s="92">
        <f>SUM('CA brut produits &amp; sites'!O603:O614)</f>
        <v>0</v>
      </c>
      <c r="P559" s="93">
        <f>SUM('CA brut produits &amp; sites'!P603:P614)</f>
        <v>10</v>
      </c>
    </row>
    <row r="560" spans="1:16" x14ac:dyDescent="0.3">
      <c r="A560" s="94">
        <v>43678</v>
      </c>
      <c r="B560" s="146"/>
      <c r="C560" s="92">
        <f t="shared" si="83"/>
        <v>125675.21</v>
      </c>
      <c r="D560" s="92">
        <f>SUM('CA brut produits &amp; sites'!D604:D615)</f>
        <v>29522.619999999995</v>
      </c>
      <c r="E560" s="92">
        <f>SUM('CA brut produits &amp; sites'!E604:E615)</f>
        <v>64184.600000000006</v>
      </c>
      <c r="F560" s="92">
        <f>SUM('CA brut produits &amp; sites'!F604:F615)</f>
        <v>520.24</v>
      </c>
      <c r="G560" s="92">
        <f>SUM('CA brut produits &amp; sites'!G604:G615)</f>
        <v>23.76</v>
      </c>
      <c r="H560" s="92">
        <f>SUM('CA brut produits &amp; sites'!H604:H615)</f>
        <v>6778.6600000000008</v>
      </c>
      <c r="I560" s="92">
        <f>SUM('CA brut produits &amp; sites'!I604:I615)</f>
        <v>90.72</v>
      </c>
      <c r="J560" s="92">
        <f>SUM('CA brut produits &amp; sites'!J604:J615)</f>
        <v>0</v>
      </c>
      <c r="K560" s="92">
        <f>SUM('CA brut produits &amp; sites'!K604:K615)</f>
        <v>24522.69</v>
      </c>
      <c r="L560" s="92">
        <f>SUM('CA brut produits &amp; sites'!L604:L615)</f>
        <v>21.92</v>
      </c>
      <c r="M560" s="92">
        <f>SUM('CA brut produits &amp; sites'!M604:M615)</f>
        <v>0</v>
      </c>
      <c r="N560" s="92">
        <f>SUM('CA brut produits &amp; sites'!N604:N615)</f>
        <v>0</v>
      </c>
      <c r="O560" s="92">
        <f>SUM('CA brut produits &amp; sites'!O604:O615)</f>
        <v>0</v>
      </c>
      <c r="P560" s="93">
        <f>SUM('CA brut produits &amp; sites'!P604:P615)</f>
        <v>10</v>
      </c>
    </row>
    <row r="561" spans="1:16" x14ac:dyDescent="0.3">
      <c r="A561" s="94">
        <v>43709</v>
      </c>
      <c r="B561" s="146"/>
      <c r="C561" s="92">
        <f t="shared" si="83"/>
        <v>129630.69</v>
      </c>
      <c r="D561" s="92">
        <f>SUM('CA brut produits &amp; sites'!D605:D616)</f>
        <v>33130.46</v>
      </c>
      <c r="E561" s="92">
        <f>SUM('CA brut produits &amp; sites'!E605:E616)</f>
        <v>65194.19</v>
      </c>
      <c r="F561" s="92">
        <f>SUM('CA brut produits &amp; sites'!F605:F616)</f>
        <v>553.91</v>
      </c>
      <c r="G561" s="92">
        <f>SUM('CA brut produits &amp; sites'!G605:G616)</f>
        <v>23.76</v>
      </c>
      <c r="H561" s="92">
        <f>SUM('CA brut produits &amp; sites'!H605:H616)</f>
        <v>6608.56</v>
      </c>
      <c r="I561" s="92">
        <f>SUM('CA brut produits &amp; sites'!I605:I616)</f>
        <v>90.72</v>
      </c>
      <c r="J561" s="92">
        <f>SUM('CA brut produits &amp; sites'!J605:J616)</f>
        <v>0</v>
      </c>
      <c r="K561" s="92">
        <f>SUM('CA brut produits &amp; sites'!K605:K616)</f>
        <v>24014.090000000004</v>
      </c>
      <c r="L561" s="92">
        <f>SUM('CA brut produits &amp; sites'!L605:L616)</f>
        <v>5</v>
      </c>
      <c r="M561" s="92">
        <f>SUM('CA brut produits &amp; sites'!M605:M616)</f>
        <v>0</v>
      </c>
      <c r="N561" s="92">
        <f>SUM('CA brut produits &amp; sites'!N605:N616)</f>
        <v>0</v>
      </c>
      <c r="O561" s="92">
        <f>SUM('CA brut produits &amp; sites'!O605:O616)</f>
        <v>0</v>
      </c>
      <c r="P561" s="93">
        <f>SUM('CA brut produits &amp; sites'!P605:P616)</f>
        <v>10</v>
      </c>
    </row>
    <row r="562" spans="1:16" x14ac:dyDescent="0.3">
      <c r="A562" s="94">
        <v>43739</v>
      </c>
      <c r="B562" s="146"/>
      <c r="C562" s="92">
        <f t="shared" si="83"/>
        <v>125693.88999999998</v>
      </c>
      <c r="D562" s="92">
        <f>SUM('CA brut produits &amp; sites'!D606:D617)</f>
        <v>33043.259999999995</v>
      </c>
      <c r="E562" s="92">
        <f>SUM('CA brut produits &amp; sites'!E606:E617)</f>
        <v>62586.83</v>
      </c>
      <c r="F562" s="92">
        <f>SUM('CA brut produits &amp; sites'!F606:F617)</f>
        <v>518.98</v>
      </c>
      <c r="G562" s="92">
        <f>SUM('CA brut produits &amp; sites'!G606:G617)</f>
        <v>23.76</v>
      </c>
      <c r="H562" s="92">
        <f>SUM('CA brut produits &amp; sites'!H606:H617)</f>
        <v>6506.97</v>
      </c>
      <c r="I562" s="92">
        <f>SUM('CA brut produits &amp; sites'!I606:I617)</f>
        <v>90.72</v>
      </c>
      <c r="J562" s="92">
        <f>SUM('CA brut produits &amp; sites'!J606:J617)</f>
        <v>0</v>
      </c>
      <c r="K562" s="92">
        <f>SUM('CA brut produits &amp; sites'!K606:K617)</f>
        <v>22908.37</v>
      </c>
      <c r="L562" s="92">
        <f>SUM('CA brut produits &amp; sites'!L606:L617)</f>
        <v>5</v>
      </c>
      <c r="M562" s="92">
        <f>SUM('CA brut produits &amp; sites'!M606:M617)</f>
        <v>0</v>
      </c>
      <c r="N562" s="92">
        <f>SUM('CA brut produits &amp; sites'!N606:N617)</f>
        <v>0</v>
      </c>
      <c r="O562" s="92">
        <f>SUM('CA brut produits &amp; sites'!O606:O617)</f>
        <v>0</v>
      </c>
      <c r="P562" s="93">
        <f>SUM('CA brut produits &amp; sites'!P606:P617)</f>
        <v>10</v>
      </c>
    </row>
    <row r="563" spans="1:16" x14ac:dyDescent="0.3">
      <c r="A563" s="94">
        <v>43770</v>
      </c>
      <c r="B563" s="146"/>
      <c r="C563" s="92">
        <f t="shared" si="83"/>
        <v>124293.75999999999</v>
      </c>
      <c r="D563" s="92">
        <f>SUM('CA brut produits &amp; sites'!D607:D618)</f>
        <v>33227.56</v>
      </c>
      <c r="E563" s="92">
        <f>SUM('CA brut produits &amp; sites'!E607:E618)</f>
        <v>62539.19</v>
      </c>
      <c r="F563" s="92">
        <f>SUM('CA brut produits &amp; sites'!F607:F618)</f>
        <v>502.78</v>
      </c>
      <c r="G563" s="92">
        <f>SUM('CA brut produits &amp; sites'!G607:G618)</f>
        <v>18</v>
      </c>
      <c r="H563" s="92">
        <f>SUM('CA brut produits &amp; sites'!H607:H618)</f>
        <v>5467.93</v>
      </c>
      <c r="I563" s="92">
        <f>SUM('CA brut produits &amp; sites'!I607:I618)</f>
        <v>9.9</v>
      </c>
      <c r="J563" s="92">
        <f>SUM('CA brut produits &amp; sites'!J607:J618)</f>
        <v>0</v>
      </c>
      <c r="K563" s="92">
        <f>SUM('CA brut produits &amp; sites'!K607:K618)</f>
        <v>22528.400000000005</v>
      </c>
      <c r="L563" s="92">
        <f>SUM('CA brut produits &amp; sites'!L607:L618)</f>
        <v>0</v>
      </c>
      <c r="M563" s="92">
        <f>SUM('CA brut produits &amp; sites'!M607:M618)</f>
        <v>0</v>
      </c>
      <c r="N563" s="92">
        <f>SUM('CA brut produits &amp; sites'!N607:N618)</f>
        <v>0</v>
      </c>
      <c r="O563" s="92">
        <f>SUM('CA brut produits &amp; sites'!O607:O618)</f>
        <v>0</v>
      </c>
      <c r="P563" s="93">
        <f>SUM('CA brut produits &amp; sites'!P607:P618)</f>
        <v>0</v>
      </c>
    </row>
    <row r="564" spans="1:16" x14ac:dyDescent="0.3">
      <c r="A564" s="94">
        <v>43800</v>
      </c>
      <c r="B564" s="146"/>
      <c r="C564" s="92">
        <f t="shared" si="83"/>
        <v>140890.93</v>
      </c>
      <c r="D564" s="92">
        <f>SUM('CA brut produits &amp; sites'!D608:D619)</f>
        <v>37449.269999999997</v>
      </c>
      <c r="E564" s="92">
        <f>SUM('CA brut produits &amp; sites'!E608:E619)</f>
        <v>70431.92</v>
      </c>
      <c r="F564" s="92">
        <f>SUM('CA brut produits &amp; sites'!F608:F619)</f>
        <v>502.78</v>
      </c>
      <c r="G564" s="92">
        <f>SUM('CA brut produits &amp; sites'!G608:G619)</f>
        <v>18</v>
      </c>
      <c r="H564" s="92">
        <f>SUM('CA brut produits &amp; sites'!H608:H619)</f>
        <v>5594.93</v>
      </c>
      <c r="I564" s="92">
        <f>SUM('CA brut produits &amp; sites'!I608:I619)</f>
        <v>9.9</v>
      </c>
      <c r="J564" s="92">
        <f>SUM('CA brut produits &amp; sites'!J608:J619)</f>
        <v>0</v>
      </c>
      <c r="K564" s="92">
        <f>SUM('CA brut produits &amp; sites'!K608:K619)</f>
        <v>24478.900000000005</v>
      </c>
      <c r="L564" s="92">
        <f>SUM('CA brut produits &amp; sites'!L608:L619)</f>
        <v>0</v>
      </c>
      <c r="M564" s="92">
        <f>SUM('CA brut produits &amp; sites'!M608:M619)</f>
        <v>0</v>
      </c>
      <c r="N564" s="92">
        <f>SUM('CA brut produits &amp; sites'!N608:N619)</f>
        <v>0</v>
      </c>
      <c r="O564" s="92">
        <f>SUM('CA brut produits &amp; sites'!O608:O619)</f>
        <v>2405.23</v>
      </c>
      <c r="P564" s="93">
        <f>SUM('CA brut produits &amp; sites'!P608:P619)</f>
        <v>0</v>
      </c>
    </row>
    <row r="565" spans="1:16" x14ac:dyDescent="0.3">
      <c r="A565" s="94">
        <v>43831</v>
      </c>
      <c r="B565" s="146"/>
      <c r="C565" s="92">
        <f t="shared" si="83"/>
        <v>131347.35</v>
      </c>
      <c r="D565" s="92">
        <f>SUM('CA brut produits &amp; sites'!D609:D620)</f>
        <v>36445.11</v>
      </c>
      <c r="E565" s="92">
        <f>SUM('CA brut produits &amp; sites'!E609:E620)</f>
        <v>63753.94</v>
      </c>
      <c r="F565" s="92">
        <f>SUM('CA brut produits &amp; sites'!F609:F620)</f>
        <v>409.04999999999995</v>
      </c>
      <c r="G565" s="92">
        <f>SUM('CA brut produits &amp; sites'!G609:G620)</f>
        <v>18</v>
      </c>
      <c r="H565" s="92">
        <f>SUM('CA brut produits &amp; sites'!H609:H620)</f>
        <v>5933.96</v>
      </c>
      <c r="I565" s="92">
        <f>SUM('CA brut produits &amp; sites'!I609:I620)</f>
        <v>0</v>
      </c>
      <c r="J565" s="92">
        <f>SUM('CA brut produits &amp; sites'!J609:J620)</f>
        <v>0</v>
      </c>
      <c r="K565" s="92">
        <f>SUM('CA brut produits &amp; sites'!K609:K620)</f>
        <v>22382.06</v>
      </c>
      <c r="L565" s="92">
        <f>SUM('CA brut produits &amp; sites'!L609:L620)</f>
        <v>0</v>
      </c>
      <c r="M565" s="92">
        <f>SUM('CA brut produits &amp; sites'!M609:M620)</f>
        <v>0</v>
      </c>
      <c r="N565" s="92">
        <f>SUM('CA brut produits &amp; sites'!N609:N620)</f>
        <v>0</v>
      </c>
      <c r="O565" s="92">
        <f>SUM('CA brut produits &amp; sites'!O609:O620)</f>
        <v>2405.23</v>
      </c>
      <c r="P565" s="93">
        <f>SUM('CA brut produits &amp; sites'!P609:P620)</f>
        <v>0</v>
      </c>
    </row>
    <row r="566" spans="1:16" x14ac:dyDescent="0.3">
      <c r="A566" s="94">
        <v>43862</v>
      </c>
      <c r="B566" s="146"/>
      <c r="C566" s="92">
        <f t="shared" si="83"/>
        <v>127760.34999999998</v>
      </c>
      <c r="D566" s="92">
        <f>SUM('CA brut produits &amp; sites'!D610:D621)</f>
        <v>34682.819999999992</v>
      </c>
      <c r="E566" s="92">
        <f>SUM('CA brut produits &amp; sites'!E610:E621)</f>
        <v>63139.999999999993</v>
      </c>
      <c r="F566" s="92">
        <f>SUM('CA brut produits &amp; sites'!F610:F621)</f>
        <v>445.02</v>
      </c>
      <c r="G566" s="92">
        <f>SUM('CA brut produits &amp; sites'!G610:G621)</f>
        <v>18</v>
      </c>
      <c r="H566" s="92">
        <f>SUM('CA brut produits &amp; sites'!H610:H621)</f>
        <v>5364.5099999999993</v>
      </c>
      <c r="I566" s="92">
        <f>SUM('CA brut produits &amp; sites'!I610:I621)</f>
        <v>0</v>
      </c>
      <c r="J566" s="92">
        <f>SUM('CA brut produits &amp; sites'!J610:J621)</f>
        <v>0</v>
      </c>
      <c r="K566" s="92">
        <f>SUM('CA brut produits &amp; sites'!K610:K621)</f>
        <v>21704.770000000004</v>
      </c>
      <c r="L566" s="92">
        <f>SUM('CA brut produits &amp; sites'!L610:L621)</f>
        <v>0</v>
      </c>
      <c r="M566" s="92">
        <f>SUM('CA brut produits &amp; sites'!M610:M621)</f>
        <v>0</v>
      </c>
      <c r="N566" s="92">
        <f>SUM('CA brut produits &amp; sites'!N610:N621)</f>
        <v>0</v>
      </c>
      <c r="O566" s="92">
        <f>SUM('CA brut produits &amp; sites'!O610:O621)</f>
        <v>2405.23</v>
      </c>
      <c r="P566" s="93">
        <f>SUM('CA brut produits &amp; sites'!P610:P621)</f>
        <v>0</v>
      </c>
    </row>
    <row r="567" spans="1:16" x14ac:dyDescent="0.3">
      <c r="A567" s="94">
        <v>43891</v>
      </c>
      <c r="B567" s="146"/>
      <c r="C567" s="92">
        <f t="shared" si="83"/>
        <v>119641.92</v>
      </c>
      <c r="D567" s="92">
        <f>SUM('CA brut produits &amp; sites'!D611:D622)</f>
        <v>31914.11</v>
      </c>
      <c r="E567" s="92">
        <f>SUM('CA brut produits &amp; sites'!E611:E622)</f>
        <v>59765.889999999992</v>
      </c>
      <c r="F567" s="92">
        <f>SUM('CA brut produits &amp; sites'!F611:F622)</f>
        <v>335.82</v>
      </c>
      <c r="G567" s="92">
        <f>SUM('CA brut produits &amp; sites'!G611:G622)</f>
        <v>18</v>
      </c>
      <c r="H567" s="92">
        <f>SUM('CA brut produits &amp; sites'!H611:H622)</f>
        <v>4860.1099999999997</v>
      </c>
      <c r="I567" s="92">
        <f>SUM('CA brut produits &amp; sites'!I611:I622)</f>
        <v>0</v>
      </c>
      <c r="J567" s="92">
        <f>SUM('CA brut produits &amp; sites'!J611:J622)</f>
        <v>0</v>
      </c>
      <c r="K567" s="92">
        <f>SUM('CA brut produits &amp; sites'!K611:K622)</f>
        <v>20342.759999999998</v>
      </c>
      <c r="L567" s="92">
        <f>SUM('CA brut produits &amp; sites'!L611:L622)</f>
        <v>0</v>
      </c>
      <c r="M567" s="92">
        <f>SUM('CA brut produits &amp; sites'!M611:M622)</f>
        <v>0</v>
      </c>
      <c r="N567" s="92">
        <f>SUM('CA brut produits &amp; sites'!N611:N622)</f>
        <v>0</v>
      </c>
      <c r="O567" s="92">
        <f>SUM('CA brut produits &amp; sites'!O611:O622)</f>
        <v>2405.23</v>
      </c>
      <c r="P567" s="93">
        <f>SUM('CA brut produits &amp; sites'!P611:P622)</f>
        <v>0</v>
      </c>
    </row>
    <row r="568" spans="1:16" x14ac:dyDescent="0.3">
      <c r="A568" s="94">
        <v>43922</v>
      </c>
      <c r="B568" s="146"/>
      <c r="C568" s="92">
        <f t="shared" si="83"/>
        <v>112035.58</v>
      </c>
      <c r="D568" s="92">
        <f>SUM('CA brut produits &amp; sites'!D612:D623)</f>
        <v>30395.690000000002</v>
      </c>
      <c r="E568" s="92">
        <f>SUM('CA brut produits &amp; sites'!E612:E623)</f>
        <v>56590.090000000004</v>
      </c>
      <c r="F568" s="92">
        <f>SUM('CA brut produits &amp; sites'!F612:F623)</f>
        <v>284.71999999999997</v>
      </c>
      <c r="G568" s="92">
        <f>SUM('CA brut produits &amp; sites'!G612:G623)</f>
        <v>3.6</v>
      </c>
      <c r="H568" s="92">
        <f>SUM('CA brut produits &amp; sites'!H612:H623)</f>
        <v>3318.47</v>
      </c>
      <c r="I568" s="92">
        <f>SUM('CA brut produits &amp; sites'!I612:I623)</f>
        <v>0</v>
      </c>
      <c r="J568" s="92">
        <f>SUM('CA brut produits &amp; sites'!J612:J623)</f>
        <v>0</v>
      </c>
      <c r="K568" s="92">
        <f>SUM('CA brut produits &amp; sites'!K612:K623)</f>
        <v>19037.780000000002</v>
      </c>
      <c r="L568" s="92">
        <f>SUM('CA brut produits &amp; sites'!L612:L623)</f>
        <v>0</v>
      </c>
      <c r="M568" s="92">
        <f>SUM('CA brut produits &amp; sites'!M612:M623)</f>
        <v>0</v>
      </c>
      <c r="N568" s="92">
        <f>SUM('CA brut produits &amp; sites'!N612:N623)</f>
        <v>0</v>
      </c>
      <c r="O568" s="92">
        <f>SUM('CA brut produits &amp; sites'!O612:O623)</f>
        <v>2405.23</v>
      </c>
      <c r="P568" s="93">
        <f>SUM('CA brut produits &amp; sites'!P612:P623)</f>
        <v>0</v>
      </c>
    </row>
    <row r="569" spans="1:16" x14ac:dyDescent="0.3">
      <c r="A569" s="94">
        <v>43952</v>
      </c>
      <c r="B569" s="146"/>
      <c r="C569" s="92">
        <f t="shared" ref="C569" si="84">SUM(D569:P569)</f>
        <v>110219.22000000002</v>
      </c>
      <c r="D569" s="92">
        <f>SUM('CA brut produits &amp; sites'!D613:D624)</f>
        <v>29668.280000000002</v>
      </c>
      <c r="E569" s="92">
        <f>SUM('CA brut produits &amp; sites'!E613:E624)</f>
        <v>56591.080000000009</v>
      </c>
      <c r="F569" s="92">
        <f>SUM('CA brut produits &amp; sites'!F613:F624)</f>
        <v>271.20999999999998</v>
      </c>
      <c r="G569" s="92">
        <f>SUM('CA brut produits &amp; sites'!G613:G624)</f>
        <v>3.6</v>
      </c>
      <c r="H569" s="92">
        <f>SUM('CA brut produits &amp; sites'!H613:H624)</f>
        <v>2574.9699999999998</v>
      </c>
      <c r="I569" s="92">
        <f>SUM('CA brut produits &amp; sites'!I613:I624)</f>
        <v>140</v>
      </c>
      <c r="J569" s="92">
        <f>SUM('CA brut produits &amp; sites'!J613:J624)</f>
        <v>0</v>
      </c>
      <c r="K569" s="92">
        <f>SUM('CA brut produits &amp; sites'!K613:K624)</f>
        <v>18564.849999999999</v>
      </c>
      <c r="L569" s="92">
        <f>SUM('CA brut produits &amp; sites'!L613:L624)</f>
        <v>0</v>
      </c>
      <c r="M569" s="92">
        <f>SUM('CA brut produits &amp; sites'!M613:M624)</f>
        <v>0</v>
      </c>
      <c r="N569" s="92">
        <f>SUM('CA brut produits &amp; sites'!N613:N624)</f>
        <v>0</v>
      </c>
      <c r="O569" s="92">
        <f>SUM('CA brut produits &amp; sites'!O613:O624)</f>
        <v>2405.23</v>
      </c>
      <c r="P569" s="93">
        <f>SUM('CA brut produits &amp; sites'!P613:P624)</f>
        <v>0</v>
      </c>
    </row>
    <row r="570" spans="1:16" x14ac:dyDescent="0.3">
      <c r="A570" s="94">
        <v>43983</v>
      </c>
      <c r="B570" s="146"/>
      <c r="C570" s="92">
        <f t="shared" ref="C570" si="85">SUM(D570:P570)</f>
        <v>106416.18000000001</v>
      </c>
      <c r="D570" s="92">
        <f>SUM('CA brut produits &amp; sites'!D614:D625)</f>
        <v>29093.340000000004</v>
      </c>
      <c r="E570" s="92">
        <f>SUM('CA brut produits &amp; sites'!E614:E625)</f>
        <v>55040.959999999999</v>
      </c>
      <c r="F570" s="92">
        <f>SUM('CA brut produits &amp; sites'!F614:F625)</f>
        <v>271.20999999999998</v>
      </c>
      <c r="G570" s="92">
        <f>SUM('CA brut produits &amp; sites'!G614:G625)</f>
        <v>3.6</v>
      </c>
      <c r="H570" s="92">
        <f>SUM('CA brut produits &amp; sites'!H614:H625)</f>
        <v>2046.87</v>
      </c>
      <c r="I570" s="92">
        <f>SUM('CA brut produits &amp; sites'!I614:I625)</f>
        <v>140</v>
      </c>
      <c r="J570" s="92">
        <f>SUM('CA brut produits &amp; sites'!J614:J625)</f>
        <v>0</v>
      </c>
      <c r="K570" s="92">
        <f>SUM('CA brut produits &amp; sites'!K614:K625)</f>
        <v>17414.97</v>
      </c>
      <c r="L570" s="92">
        <f>SUM('CA brut produits &amp; sites'!L614:L625)</f>
        <v>0</v>
      </c>
      <c r="M570" s="92">
        <f>SUM('CA brut produits &amp; sites'!M614:M625)</f>
        <v>0</v>
      </c>
      <c r="N570" s="92">
        <f>SUM('CA brut produits &amp; sites'!N614:N625)</f>
        <v>0</v>
      </c>
      <c r="O570" s="92">
        <f>SUM('CA brut produits &amp; sites'!O614:O625)</f>
        <v>2405.23</v>
      </c>
      <c r="P570" s="93">
        <f>SUM('CA brut produits &amp; sites'!P614:P625)</f>
        <v>0</v>
      </c>
    </row>
    <row r="571" spans="1:16" x14ac:dyDescent="0.3">
      <c r="A571" s="94">
        <v>44013</v>
      </c>
      <c r="B571" s="146"/>
      <c r="C571" s="92">
        <f t="shared" ref="C571" si="86">SUM(D571:P571)</f>
        <v>106416.18000000001</v>
      </c>
      <c r="D571" s="92">
        <f>SUM('CA brut produits &amp; sites'!D615:D626)</f>
        <v>29093.340000000004</v>
      </c>
      <c r="E571" s="92">
        <f>SUM('CA brut produits &amp; sites'!E615:E626)</f>
        <v>55040.959999999999</v>
      </c>
      <c r="F571" s="92">
        <f>SUM('CA brut produits &amp; sites'!F615:F626)</f>
        <v>271.20999999999998</v>
      </c>
      <c r="G571" s="92">
        <f>SUM('CA brut produits &amp; sites'!G615:G626)</f>
        <v>3.6</v>
      </c>
      <c r="H571" s="92">
        <f>SUM('CA brut produits &amp; sites'!H615:H626)</f>
        <v>2046.87</v>
      </c>
      <c r="I571" s="92">
        <f>SUM('CA brut produits &amp; sites'!I615:I626)</f>
        <v>140</v>
      </c>
      <c r="J571" s="92">
        <f>SUM('CA brut produits &amp; sites'!J615:J626)</f>
        <v>0</v>
      </c>
      <c r="K571" s="92">
        <f>SUM('CA brut produits &amp; sites'!K615:K626)</f>
        <v>17414.97</v>
      </c>
      <c r="L571" s="92">
        <f>SUM('CA brut produits &amp; sites'!L615:L626)</f>
        <v>0</v>
      </c>
      <c r="M571" s="92">
        <f>SUM('CA brut produits &amp; sites'!M615:M626)</f>
        <v>0</v>
      </c>
      <c r="N571" s="92">
        <f>SUM('CA brut produits &amp; sites'!N615:N626)</f>
        <v>0</v>
      </c>
      <c r="O571" s="92">
        <f>SUM('CA brut produits &amp; sites'!O615:O626)</f>
        <v>2405.23</v>
      </c>
      <c r="P571" s="93">
        <f>SUM('CA brut produits &amp; sites'!P615:P626)</f>
        <v>0</v>
      </c>
    </row>
    <row r="572" spans="1:16" x14ac:dyDescent="0.3">
      <c r="A572" s="94">
        <v>44044</v>
      </c>
      <c r="B572" s="146"/>
      <c r="C572" s="92">
        <f t="shared" ref="C572" si="87">SUM(D572:P572)</f>
        <v>102454.09999999999</v>
      </c>
      <c r="D572" s="92">
        <f>SUM('CA brut produits &amp; sites'!D616:D627)</f>
        <v>27262.270000000004</v>
      </c>
      <c r="E572" s="92">
        <f>SUM('CA brut produits &amp; sites'!E616:E627)</f>
        <v>53581.55</v>
      </c>
      <c r="F572" s="92">
        <f>SUM('CA brut produits &amp; sites'!F616:F627)</f>
        <v>392.65</v>
      </c>
      <c r="G572" s="92">
        <f>SUM('CA brut produits &amp; sites'!G616:G627)</f>
        <v>0</v>
      </c>
      <c r="H572" s="92">
        <f>SUM('CA brut produits &amp; sites'!H616:H627)</f>
        <v>2102.87</v>
      </c>
      <c r="I572" s="92">
        <f>SUM('CA brut produits &amp; sites'!I616:I627)</f>
        <v>280</v>
      </c>
      <c r="J572" s="92">
        <f>SUM('CA brut produits &amp; sites'!J616:J627)</f>
        <v>0</v>
      </c>
      <c r="K572" s="92">
        <f>SUM('CA brut produits &amp; sites'!K616:K627)</f>
        <v>16334.529999999999</v>
      </c>
      <c r="L572" s="92">
        <f>SUM('CA brut produits &amp; sites'!L616:L627)</f>
        <v>10</v>
      </c>
      <c r="M572" s="92">
        <f>SUM('CA brut produits &amp; sites'!M616:M627)</f>
        <v>0</v>
      </c>
      <c r="N572" s="92">
        <f>SUM('CA brut produits &amp; sites'!N616:N627)</f>
        <v>0</v>
      </c>
      <c r="O572" s="92">
        <f>SUM('CA brut produits &amp; sites'!O616:O627)</f>
        <v>2405.23</v>
      </c>
      <c r="P572" s="93">
        <f>SUM('CA brut produits &amp; sites'!P616:P627)</f>
        <v>85</v>
      </c>
    </row>
    <row r="573" spans="1:16" x14ac:dyDescent="0.3">
      <c r="A573" s="94">
        <v>44075</v>
      </c>
      <c r="B573" s="146"/>
      <c r="C573" s="92">
        <f t="shared" ref="C573" si="88">SUM(D573:P573)</f>
        <v>100898.18</v>
      </c>
      <c r="D573" s="92">
        <f>SUM('CA brut produits &amp; sites'!D617:D628)</f>
        <v>26016.68</v>
      </c>
      <c r="E573" s="92">
        <f>SUM('CA brut produits &amp; sites'!E617:E628)</f>
        <v>52305.06</v>
      </c>
      <c r="F573" s="92">
        <f>SUM('CA brut produits &amp; sites'!F617:F628)</f>
        <v>379.41999999999996</v>
      </c>
      <c r="G573" s="92">
        <f>SUM('CA brut produits &amp; sites'!G617:G628)</f>
        <v>3.57</v>
      </c>
      <c r="H573" s="92">
        <f>SUM('CA brut produits &amp; sites'!H617:H628)</f>
        <v>1805.82</v>
      </c>
      <c r="I573" s="92">
        <f>SUM('CA brut produits &amp; sites'!I617:I628)</f>
        <v>280</v>
      </c>
      <c r="J573" s="92">
        <f>SUM('CA brut produits &amp; sites'!J617:J628)</f>
        <v>0</v>
      </c>
      <c r="K573" s="92">
        <f>SUM('CA brut produits &amp; sites'!K617:K628)</f>
        <v>17522.399999999998</v>
      </c>
      <c r="L573" s="92">
        <f>SUM('CA brut produits &amp; sites'!L617:L628)</f>
        <v>10</v>
      </c>
      <c r="M573" s="92">
        <f>SUM('CA brut produits &amp; sites'!M617:M628)</f>
        <v>0</v>
      </c>
      <c r="N573" s="92">
        <f>SUM('CA brut produits &amp; sites'!N617:N628)</f>
        <v>0</v>
      </c>
      <c r="O573" s="92">
        <f>SUM('CA brut produits &amp; sites'!O617:O628)</f>
        <v>2405.23</v>
      </c>
      <c r="P573" s="93">
        <f>SUM('CA brut produits &amp; sites'!P617:P628)</f>
        <v>170</v>
      </c>
    </row>
    <row r="574" spans="1:16" x14ac:dyDescent="0.3">
      <c r="A574" s="94">
        <v>44105</v>
      </c>
      <c r="B574" s="146"/>
      <c r="C574" s="92">
        <f t="shared" ref="C574" si="89">SUM(D574:P574)</f>
        <v>101297.90999999999</v>
      </c>
      <c r="D574" s="92">
        <f>SUM('CA brut produits &amp; sites'!D618:D629)</f>
        <v>26546.95</v>
      </c>
      <c r="E574" s="92">
        <f>SUM('CA brut produits &amp; sites'!E618:E629)</f>
        <v>51021.459999999992</v>
      </c>
      <c r="F574" s="92">
        <f>SUM('CA brut produits &amp; sites'!F618:F629)</f>
        <v>365.14</v>
      </c>
      <c r="G574" s="92">
        <f>SUM('CA brut produits &amp; sites'!G618:G629)</f>
        <v>20.67</v>
      </c>
      <c r="H574" s="92">
        <f>SUM('CA brut produits &amp; sites'!H618:H629)</f>
        <v>2966.67</v>
      </c>
      <c r="I574" s="92">
        <f>SUM('CA brut produits &amp; sites'!I618:I629)</f>
        <v>334.02</v>
      </c>
      <c r="J574" s="92">
        <f>SUM('CA brut produits &amp; sites'!J618:J629)</f>
        <v>0</v>
      </c>
      <c r="K574" s="92">
        <f>SUM('CA brut produits &amp; sites'!K618:K629)</f>
        <v>17457.77</v>
      </c>
      <c r="L574" s="92">
        <f>SUM('CA brut produits &amp; sites'!L618:L629)</f>
        <v>10</v>
      </c>
      <c r="M574" s="92">
        <f>SUM('CA brut produits &amp; sites'!M618:M629)</f>
        <v>0</v>
      </c>
      <c r="N574" s="92">
        <f>SUM('CA brut produits &amp; sites'!N618:N629)</f>
        <v>0</v>
      </c>
      <c r="O574" s="92">
        <f>SUM('CA brut produits &amp; sites'!O618:O629)</f>
        <v>2405.23</v>
      </c>
      <c r="P574" s="93">
        <f>SUM('CA brut produits &amp; sites'!P618:P629)</f>
        <v>170</v>
      </c>
    </row>
    <row r="575" spans="1:16" x14ac:dyDescent="0.3">
      <c r="A575" s="94">
        <v>44136</v>
      </c>
      <c r="B575" s="146"/>
      <c r="C575" s="92">
        <f t="shared" ref="C575:C576" si="90">SUM(D575:P575)</f>
        <v>93669.62</v>
      </c>
      <c r="D575" s="92">
        <f>SUM('CA brut produits &amp; sites'!D619:D630)</f>
        <v>24746.079999999994</v>
      </c>
      <c r="E575" s="92">
        <f>SUM('CA brut produits &amp; sites'!E619:E630)</f>
        <v>46772.67</v>
      </c>
      <c r="F575" s="92">
        <f>SUM('CA brut produits &amp; sites'!F619:F630)</f>
        <v>334.3</v>
      </c>
      <c r="G575" s="92">
        <f>SUM('CA brut produits &amp; sites'!G619:G630)</f>
        <v>20.67</v>
      </c>
      <c r="H575" s="92">
        <f>SUM('CA brut produits &amp; sites'!H619:H630)</f>
        <v>2966.67</v>
      </c>
      <c r="I575" s="92">
        <f>SUM('CA brut produits &amp; sites'!I619:I630)</f>
        <v>334.02</v>
      </c>
      <c r="J575" s="92">
        <f>SUM('CA brut produits &amp; sites'!J619:J630)</f>
        <v>0</v>
      </c>
      <c r="K575" s="92">
        <f>SUM('CA brut produits &amp; sites'!K619:K630)</f>
        <v>15909.98</v>
      </c>
      <c r="L575" s="92">
        <f>SUM('CA brut produits &amp; sites'!L619:L630)</f>
        <v>10</v>
      </c>
      <c r="M575" s="92">
        <f>SUM('CA brut produits &amp; sites'!M619:M630)</f>
        <v>0</v>
      </c>
      <c r="N575" s="92">
        <f>SUM('CA brut produits &amp; sites'!N619:N630)</f>
        <v>0</v>
      </c>
      <c r="O575" s="92">
        <f>SUM('CA brut produits &amp; sites'!O619:O630)</f>
        <v>2405.23</v>
      </c>
      <c r="P575" s="93">
        <f>SUM('CA brut produits &amp; sites'!P619:P630)</f>
        <v>170</v>
      </c>
    </row>
    <row r="576" spans="1:16" x14ac:dyDescent="0.3">
      <c r="A576" s="94">
        <v>44166</v>
      </c>
      <c r="B576" s="146"/>
      <c r="C576" s="92">
        <f t="shared" si="90"/>
        <v>88863.859999999986</v>
      </c>
      <c r="D576" s="92">
        <f>SUM('CA brut produits &amp; sites'!D620:D631)</f>
        <v>23724.229999999996</v>
      </c>
      <c r="E576" s="92">
        <f>SUM('CA brut produits &amp; sites'!E620:E631)</f>
        <v>44528.38</v>
      </c>
      <c r="F576" s="92">
        <f>SUM('CA brut produits &amp; sites'!F620:F631)</f>
        <v>334.3</v>
      </c>
      <c r="G576" s="92">
        <f>SUM('CA brut produits &amp; sites'!G620:G631)</f>
        <v>20.67</v>
      </c>
      <c r="H576" s="92">
        <f>SUM('CA brut produits &amp; sites'!H620:H631)</f>
        <v>2887.67</v>
      </c>
      <c r="I576" s="92">
        <f>SUM('CA brut produits &amp; sites'!I620:I631)</f>
        <v>334.02</v>
      </c>
      <c r="J576" s="92">
        <f>SUM('CA brut produits &amp; sites'!J620:J631)</f>
        <v>0</v>
      </c>
      <c r="K576" s="92">
        <f>SUM('CA brut produits &amp; sites'!K620:K631)</f>
        <v>16839.59</v>
      </c>
      <c r="L576" s="92">
        <f>SUM('CA brut produits &amp; sites'!L620:L631)</f>
        <v>10</v>
      </c>
      <c r="M576" s="92">
        <f>SUM('CA brut produits &amp; sites'!M620:M631)</f>
        <v>0</v>
      </c>
      <c r="N576" s="92">
        <f>SUM('CA brut produits &amp; sites'!N620:N631)</f>
        <v>0</v>
      </c>
      <c r="O576" s="92">
        <f>SUM('CA brut produits &amp; sites'!O620:O631)</f>
        <v>0</v>
      </c>
      <c r="P576" s="93">
        <f>SUM('CA brut produits &amp; sites'!P620:P631)</f>
        <v>185</v>
      </c>
    </row>
    <row r="577" spans="1:16" x14ac:dyDescent="0.3">
      <c r="A577" s="94">
        <v>44197</v>
      </c>
      <c r="B577" s="146"/>
      <c r="C577" s="92">
        <f t="shared" ref="C577" si="91">SUM(D577:P577)</f>
        <v>73672.849999999991</v>
      </c>
      <c r="D577" s="92">
        <f>SUM('CA brut produits &amp; sites'!D621:D632)</f>
        <v>18818.740000000002</v>
      </c>
      <c r="E577" s="92">
        <f>SUM('CA brut produits &amp; sites'!E621:E632)</f>
        <v>38091.189999999995</v>
      </c>
      <c r="F577" s="92">
        <f>SUM('CA brut produits &amp; sites'!F621:F632)</f>
        <v>277.88</v>
      </c>
      <c r="G577" s="92">
        <f>SUM('CA brut produits &amp; sites'!G621:G632)</f>
        <v>20.67</v>
      </c>
      <c r="H577" s="92">
        <f>SUM('CA brut produits &amp; sites'!H621:H632)</f>
        <v>2293.0500000000002</v>
      </c>
      <c r="I577" s="92">
        <f>SUM('CA brut produits &amp; sites'!I621:I632)</f>
        <v>334.02</v>
      </c>
      <c r="J577" s="92">
        <f>SUM('CA brut produits &amp; sites'!J621:J632)</f>
        <v>0</v>
      </c>
      <c r="K577" s="92">
        <f>SUM('CA brut produits &amp; sites'!K621:K632)</f>
        <v>13642.3</v>
      </c>
      <c r="L577" s="92">
        <f>SUM('CA brut produits &amp; sites'!L621:L632)</f>
        <v>10</v>
      </c>
      <c r="M577" s="92">
        <f>SUM('CA brut produits &amp; sites'!M621:M632)</f>
        <v>0</v>
      </c>
      <c r="N577" s="92">
        <f>SUM('CA brut produits &amp; sites'!N621:N632)</f>
        <v>0</v>
      </c>
      <c r="O577" s="92">
        <f>SUM('CA brut produits &amp; sites'!O621:O632)</f>
        <v>0</v>
      </c>
      <c r="P577" s="93">
        <f>SUM('CA brut produits &amp; sites'!P621:P632)</f>
        <v>185</v>
      </c>
    </row>
    <row r="578" spans="1:16" x14ac:dyDescent="0.3">
      <c r="A578" s="94">
        <v>44228</v>
      </c>
      <c r="B578" s="146"/>
      <c r="C578" s="92">
        <f t="shared" ref="C578" si="92">SUM(D578:P578)</f>
        <v>70076.599999999991</v>
      </c>
      <c r="D578" s="92">
        <f>SUM('CA brut produits &amp; sites'!D622:D633)</f>
        <v>18383.21</v>
      </c>
      <c r="E578" s="92">
        <f>SUM('CA brut produits &amp; sites'!E622:E633)</f>
        <v>35425.55999999999</v>
      </c>
      <c r="F578" s="92">
        <f>SUM('CA brut produits &amp; sites'!F622:F633)</f>
        <v>191.44</v>
      </c>
      <c r="G578" s="92">
        <f>SUM('CA brut produits &amp; sites'!G622:G633)</f>
        <v>20.67</v>
      </c>
      <c r="H578" s="92">
        <f>SUM('CA brut produits &amp; sites'!H622:H633)</f>
        <v>2349.0500000000002</v>
      </c>
      <c r="I578" s="92">
        <f>SUM('CA brut produits &amp; sites'!I622:I633)</f>
        <v>334.02</v>
      </c>
      <c r="J578" s="92">
        <f>SUM('CA brut produits &amp; sites'!J622:J633)</f>
        <v>0</v>
      </c>
      <c r="K578" s="92">
        <f>SUM('CA brut produits &amp; sites'!K622:K633)</f>
        <v>13177.65</v>
      </c>
      <c r="L578" s="92">
        <f>SUM('CA brut produits &amp; sites'!L622:L633)</f>
        <v>10</v>
      </c>
      <c r="M578" s="92">
        <f>SUM('CA brut produits &amp; sites'!M622:M633)</f>
        <v>0</v>
      </c>
      <c r="N578" s="92">
        <f>SUM('CA brut produits &amp; sites'!N622:N633)</f>
        <v>0</v>
      </c>
      <c r="O578" s="92">
        <f>SUM('CA brut produits &amp; sites'!O622:O633)</f>
        <v>0</v>
      </c>
      <c r="P578" s="93">
        <f>SUM('CA brut produits &amp; sites'!P622:P633)</f>
        <v>185</v>
      </c>
    </row>
    <row r="579" spans="1:16" x14ac:dyDescent="0.3">
      <c r="A579" s="94">
        <v>44256</v>
      </c>
      <c r="B579" s="146"/>
      <c r="C579" s="92">
        <f t="shared" ref="C579" si="93">SUM(D579:P579)</f>
        <v>75024.309999999983</v>
      </c>
      <c r="D579" s="92">
        <f>SUM('CA brut produits &amp; sites'!D623:D634)</f>
        <v>19796.78</v>
      </c>
      <c r="E579" s="92">
        <f>SUM('CA brut produits &amp; sites'!E623:E634)</f>
        <v>37799.709999999992</v>
      </c>
      <c r="F579" s="92">
        <f>SUM('CA brut produits &amp; sites'!F623:F634)</f>
        <v>199.56</v>
      </c>
      <c r="G579" s="92">
        <f>SUM('CA brut produits &amp; sites'!G623:G634)</f>
        <v>52.35</v>
      </c>
      <c r="H579" s="92">
        <f>SUM('CA brut produits &amp; sites'!H623:H634)</f>
        <v>2637.05</v>
      </c>
      <c r="I579" s="92">
        <f>SUM('CA brut produits &amp; sites'!I623:I634)</f>
        <v>334.02</v>
      </c>
      <c r="J579" s="92">
        <f>SUM('CA brut produits &amp; sites'!J623:J634)</f>
        <v>0</v>
      </c>
      <c r="K579" s="92">
        <f>SUM('CA brut produits &amp; sites'!K623:K634)</f>
        <v>14009.84</v>
      </c>
      <c r="L579" s="92">
        <f>SUM('CA brut produits &amp; sites'!L623:L634)</f>
        <v>10</v>
      </c>
      <c r="M579" s="92">
        <f>SUM('CA brut produits &amp; sites'!M623:M634)</f>
        <v>0</v>
      </c>
      <c r="N579" s="92">
        <f>SUM('CA brut produits &amp; sites'!N623:N634)</f>
        <v>0</v>
      </c>
      <c r="O579" s="92">
        <f>SUM('CA brut produits &amp; sites'!O623:O634)</f>
        <v>0</v>
      </c>
      <c r="P579" s="93">
        <f>SUM('CA brut produits &amp; sites'!P623:P634)</f>
        <v>185</v>
      </c>
    </row>
    <row r="580" spans="1:16" x14ac:dyDescent="0.3">
      <c r="A580" s="94">
        <v>44287</v>
      </c>
      <c r="B580" s="146"/>
      <c r="C580" s="92">
        <f t="shared" ref="C580" si="94">SUM(D580:P580)</f>
        <v>78003.429999999993</v>
      </c>
      <c r="D580" s="92">
        <f>SUM('CA brut produits &amp; sites'!D624:D635)</f>
        <v>20205.43</v>
      </c>
      <c r="E580" s="92">
        <f>SUM('CA brut produits &amp; sites'!E624:E635)</f>
        <v>39544.139999999992</v>
      </c>
      <c r="F580" s="92">
        <f>SUM('CA brut produits &amp; sites'!F624:F635)</f>
        <v>199.56</v>
      </c>
      <c r="G580" s="92">
        <f>SUM('CA brut produits &amp; sites'!G624:G635)</f>
        <v>52.35</v>
      </c>
      <c r="H580" s="92">
        <f>SUM('CA brut produits &amp; sites'!H624:H635)</f>
        <v>2637.05</v>
      </c>
      <c r="I580" s="92">
        <f>SUM('CA brut produits &amp; sites'!I624:I635)</f>
        <v>334.02</v>
      </c>
      <c r="J580" s="92">
        <f>SUM('CA brut produits &amp; sites'!J624:J635)</f>
        <v>0</v>
      </c>
      <c r="K580" s="92">
        <f>SUM('CA brut produits &amp; sites'!K624:K635)</f>
        <v>14820.880000000001</v>
      </c>
      <c r="L580" s="92">
        <f>SUM('CA brut produits &amp; sites'!L624:L635)</f>
        <v>25</v>
      </c>
      <c r="M580" s="92">
        <f>SUM('CA brut produits &amp; sites'!M624:M635)</f>
        <v>0</v>
      </c>
      <c r="N580" s="92">
        <f>SUM('CA brut produits &amp; sites'!N624:N635)</f>
        <v>0</v>
      </c>
      <c r="O580" s="92">
        <f>SUM('CA brut produits &amp; sites'!O624:O635)</f>
        <v>0</v>
      </c>
      <c r="P580" s="93">
        <f>SUM('CA brut produits &amp; sites'!P624:P635)</f>
        <v>185</v>
      </c>
    </row>
    <row r="581" spans="1:16" x14ac:dyDescent="0.3">
      <c r="A581" s="94">
        <v>44317</v>
      </c>
      <c r="B581" s="146"/>
      <c r="C581" s="92">
        <f t="shared" ref="C581" si="95">SUM(D581:P581)</f>
        <v>77047.710000000006</v>
      </c>
      <c r="D581" s="92">
        <f>SUM('CA brut produits &amp; sites'!D625:D636)</f>
        <v>19613.22</v>
      </c>
      <c r="E581" s="92">
        <f>SUM('CA brut produits &amp; sites'!E625:E636)</f>
        <v>39154.720000000001</v>
      </c>
      <c r="F581" s="92">
        <f>SUM('CA brut produits &amp; sites'!F625:F636)</f>
        <v>182.76</v>
      </c>
      <c r="G581" s="92">
        <f>SUM('CA brut produits &amp; sites'!G625:G636)</f>
        <v>57.39</v>
      </c>
      <c r="H581" s="92">
        <f>SUM('CA brut produits &amp; sites'!H625:H636)</f>
        <v>2822.75</v>
      </c>
      <c r="I581" s="92">
        <f>SUM('CA brut produits &amp; sites'!I625:I636)</f>
        <v>194.02</v>
      </c>
      <c r="J581" s="92">
        <f>SUM('CA brut produits &amp; sites'!J625:J636)</f>
        <v>0</v>
      </c>
      <c r="K581" s="92">
        <f>SUM('CA brut produits &amp; sites'!K625:K636)</f>
        <v>14812.850000000002</v>
      </c>
      <c r="L581" s="92">
        <f>SUM('CA brut produits &amp; sites'!L625:L636)</f>
        <v>25</v>
      </c>
      <c r="M581" s="92">
        <f>SUM('CA brut produits &amp; sites'!M625:M636)</f>
        <v>0</v>
      </c>
      <c r="N581" s="92">
        <f>SUM('CA brut produits &amp; sites'!N625:N636)</f>
        <v>0</v>
      </c>
      <c r="O581" s="92">
        <f>SUM('CA brut produits &amp; sites'!O625:O636)</f>
        <v>0</v>
      </c>
      <c r="P581" s="93">
        <f>SUM('CA brut produits &amp; sites'!P625:P636)</f>
        <v>185</v>
      </c>
    </row>
    <row r="582" spans="1:16" x14ac:dyDescent="0.3">
      <c r="A582" s="94">
        <v>44348</v>
      </c>
      <c r="B582" s="146"/>
      <c r="C582" s="92">
        <f t="shared" ref="C582" si="96">SUM(D582:P582)</f>
        <v>79696.259999999995</v>
      </c>
      <c r="D582" s="92">
        <f>SUM('CA brut produits &amp; sites'!D626:D637)</f>
        <v>20291.95</v>
      </c>
      <c r="E582" s="92">
        <f>SUM('CA brut produits &amp; sites'!E626:E637)</f>
        <v>40601.03</v>
      </c>
      <c r="F582" s="92">
        <f>SUM('CA brut produits &amp; sites'!F626:F637)</f>
        <v>182.76</v>
      </c>
      <c r="G582" s="92">
        <f>SUM('CA brut produits &amp; sites'!G626:G637)</f>
        <v>57.39</v>
      </c>
      <c r="H582" s="92">
        <f>SUM('CA brut produits &amp; sites'!H626:H637)</f>
        <v>2822.75</v>
      </c>
      <c r="I582" s="92">
        <f>SUM('CA brut produits &amp; sites'!I626:I637)</f>
        <v>194.02</v>
      </c>
      <c r="J582" s="92">
        <f>SUM('CA brut produits &amp; sites'!J626:J637)</f>
        <v>0</v>
      </c>
      <c r="K582" s="92">
        <f>SUM('CA brut produits &amp; sites'!K626:K637)</f>
        <v>15336.360000000002</v>
      </c>
      <c r="L582" s="92">
        <f>SUM('CA brut produits &amp; sites'!L626:L637)</f>
        <v>25</v>
      </c>
      <c r="M582" s="92">
        <f>SUM('CA brut produits &amp; sites'!M626:M637)</f>
        <v>0</v>
      </c>
      <c r="N582" s="92">
        <f>SUM('CA brut produits &amp; sites'!N626:N637)</f>
        <v>0</v>
      </c>
      <c r="O582" s="92">
        <f>SUM('CA brut produits &amp; sites'!O626:O637)</f>
        <v>0</v>
      </c>
      <c r="P582" s="93">
        <f>SUM('CA brut produits &amp; sites'!P626:P637)</f>
        <v>185</v>
      </c>
    </row>
    <row r="583" spans="1:16" x14ac:dyDescent="0.3">
      <c r="A583" s="94">
        <v>44378</v>
      </c>
      <c r="B583" s="146"/>
      <c r="C583" s="92">
        <f t="shared" ref="C583" si="97">SUM(D583:P583)</f>
        <v>79696.259999999995</v>
      </c>
      <c r="D583" s="92">
        <f>SUM('CA brut produits &amp; sites'!D627:D638)</f>
        <v>20291.95</v>
      </c>
      <c r="E583" s="92">
        <f>SUM('CA brut produits &amp; sites'!E627:E638)</f>
        <v>40601.03</v>
      </c>
      <c r="F583" s="92">
        <f>SUM('CA brut produits &amp; sites'!F627:F638)</f>
        <v>182.76</v>
      </c>
      <c r="G583" s="92">
        <f>SUM('CA brut produits &amp; sites'!G627:G638)</f>
        <v>57.39</v>
      </c>
      <c r="H583" s="92">
        <f>SUM('CA brut produits &amp; sites'!H627:H638)</f>
        <v>2822.75</v>
      </c>
      <c r="I583" s="92">
        <f>SUM('CA brut produits &amp; sites'!I627:I638)</f>
        <v>194.02</v>
      </c>
      <c r="J583" s="92">
        <f>SUM('CA brut produits &amp; sites'!J627:J638)</f>
        <v>0</v>
      </c>
      <c r="K583" s="92">
        <f>SUM('CA brut produits &amp; sites'!K627:K638)</f>
        <v>15336.360000000002</v>
      </c>
      <c r="L583" s="92">
        <f>SUM('CA brut produits &amp; sites'!L627:L638)</f>
        <v>25</v>
      </c>
      <c r="M583" s="92">
        <f>SUM('CA brut produits &amp; sites'!M627:M638)</f>
        <v>0</v>
      </c>
      <c r="N583" s="92">
        <f>SUM('CA brut produits &amp; sites'!N627:N638)</f>
        <v>0</v>
      </c>
      <c r="O583" s="92">
        <f>SUM('CA brut produits &amp; sites'!O627:O638)</f>
        <v>0</v>
      </c>
      <c r="P583" s="93">
        <f>SUM('CA brut produits &amp; sites'!P627:P638)</f>
        <v>185</v>
      </c>
    </row>
    <row r="584" spans="1:16" x14ac:dyDescent="0.3">
      <c r="A584" s="94">
        <v>44409</v>
      </c>
      <c r="B584" s="146"/>
      <c r="C584" s="92">
        <f t="shared" ref="C584:C594" si="98">SUM(D584:P584)</f>
        <v>78951.590000000011</v>
      </c>
      <c r="D584" s="92">
        <f>SUM('CA brut produits &amp; sites'!D628:D639)</f>
        <v>19915.39</v>
      </c>
      <c r="E584" s="92">
        <f>SUM('CA brut produits &amp; sites'!E628:E639)</f>
        <v>40425.270000000004</v>
      </c>
      <c r="F584" s="92">
        <f>SUM('CA brut produits &amp; sites'!F628:F639)</f>
        <v>32.76</v>
      </c>
      <c r="G584" s="92">
        <f>SUM('CA brut produits &amp; sites'!G628:G639)</f>
        <v>71.19</v>
      </c>
      <c r="H584" s="92">
        <f>SUM('CA brut produits &amp; sites'!H628:H639)</f>
        <v>2640.75</v>
      </c>
      <c r="I584" s="92">
        <f>SUM('CA brut produits &amp; sites'!I628:I639)</f>
        <v>54.02</v>
      </c>
      <c r="J584" s="92">
        <f>SUM('CA brut produits &amp; sites'!J628:J639)</f>
        <v>0</v>
      </c>
      <c r="K584" s="92">
        <f>SUM('CA brut produits &amp; sites'!K628:K639)</f>
        <v>15697.210000000001</v>
      </c>
      <c r="L584" s="92">
        <f>SUM('CA brut produits &amp; sites'!L628:L639)</f>
        <v>15</v>
      </c>
      <c r="M584" s="92">
        <f>SUM('CA brut produits &amp; sites'!M628:M639)</f>
        <v>0</v>
      </c>
      <c r="N584" s="92">
        <f>SUM('CA brut produits &amp; sites'!N628:N639)</f>
        <v>0</v>
      </c>
      <c r="O584" s="92">
        <f>SUM('CA brut produits &amp; sites'!O628:O639)</f>
        <v>0</v>
      </c>
      <c r="P584" s="93">
        <f>SUM('CA brut produits &amp; sites'!P628:P639)</f>
        <v>100</v>
      </c>
    </row>
    <row r="585" spans="1:16" x14ac:dyDescent="0.3">
      <c r="A585" s="94">
        <v>44440</v>
      </c>
      <c r="B585" s="146"/>
      <c r="C585" s="92">
        <f t="shared" si="98"/>
        <v>72682.290000000008</v>
      </c>
      <c r="D585" s="92">
        <f>SUM('CA brut produits &amp; sites'!D629:D640)</f>
        <v>19414.41</v>
      </c>
      <c r="E585" s="92">
        <f>SUM('CA brut produits &amp; sites'!E629:E640)</f>
        <v>37696.070000000007</v>
      </c>
      <c r="F585" s="92">
        <f>SUM('CA brut produits &amp; sites'!F629:F640)</f>
        <v>41.12</v>
      </c>
      <c r="G585" s="92">
        <f>SUM('CA brut produits &amp; sites'!G629:G640)</f>
        <v>85.62</v>
      </c>
      <c r="H585" s="92">
        <f>SUM('CA brut produits &amp; sites'!H629:H640)</f>
        <v>2818.6800000000003</v>
      </c>
      <c r="I585" s="92">
        <f>SUM('CA brut produits &amp; sites'!I629:I640)</f>
        <v>124.39000000000001</v>
      </c>
      <c r="J585" s="92">
        <f>SUM('CA brut produits &amp; sites'!J629:J640)</f>
        <v>0</v>
      </c>
      <c r="K585" s="92">
        <f>SUM('CA brut produits &amp; sites'!K629:K640)</f>
        <v>12472</v>
      </c>
      <c r="L585" s="92">
        <f>SUM('CA brut produits &amp; sites'!L629:L640)</f>
        <v>15</v>
      </c>
      <c r="M585" s="92">
        <f>SUM('CA brut produits &amp; sites'!M629:M640)</f>
        <v>0</v>
      </c>
      <c r="N585" s="92">
        <f>SUM('CA brut produits &amp; sites'!N629:N640)</f>
        <v>0</v>
      </c>
      <c r="O585" s="92">
        <f>SUM('CA brut produits &amp; sites'!O629:O640)</f>
        <v>0</v>
      </c>
      <c r="P585" s="93">
        <f>SUM('CA brut produits &amp; sites'!P629:P640)</f>
        <v>15</v>
      </c>
    </row>
    <row r="586" spans="1:16" x14ac:dyDescent="0.3">
      <c r="A586" s="94">
        <v>44470</v>
      </c>
      <c r="B586" s="146"/>
      <c r="C586" s="92">
        <f t="shared" si="98"/>
        <v>79708.97</v>
      </c>
      <c r="D586" s="92">
        <f>SUM('CA brut produits &amp; sites'!D630:D641)</f>
        <v>23809.749999999996</v>
      </c>
      <c r="E586" s="92">
        <f>SUM('CA brut produits &amp; sites'!E630:E641)</f>
        <v>37671.360000000001</v>
      </c>
      <c r="F586" s="92">
        <f>SUM('CA brut produits &amp; sites'!F630:F641)</f>
        <v>41.12</v>
      </c>
      <c r="G586" s="92">
        <f>SUM('CA brut produits &amp; sites'!G630:G641)</f>
        <v>68.52</v>
      </c>
      <c r="H586" s="92">
        <f>SUM('CA brut produits &amp; sites'!H630:H641)</f>
        <v>1854.49</v>
      </c>
      <c r="I586" s="92">
        <f>SUM('CA brut produits &amp; sites'!I630:I641)</f>
        <v>70.37</v>
      </c>
      <c r="J586" s="92">
        <f>SUM('CA brut produits &amp; sites'!J630:J641)</f>
        <v>0</v>
      </c>
      <c r="K586" s="92">
        <f>SUM('CA brut produits &amp; sites'!K630:K641)</f>
        <v>16163.36</v>
      </c>
      <c r="L586" s="92">
        <f>SUM('CA brut produits &amp; sites'!L630:L641)</f>
        <v>15</v>
      </c>
      <c r="M586" s="92">
        <f>SUM('CA brut produits &amp; sites'!M630:M641)</f>
        <v>0</v>
      </c>
      <c r="N586" s="92">
        <f>SUM('CA brut produits &amp; sites'!N630:N641)</f>
        <v>0</v>
      </c>
      <c r="O586" s="92">
        <f>SUM('CA brut produits &amp; sites'!O630:O641)</f>
        <v>0</v>
      </c>
      <c r="P586" s="93">
        <f>SUM('CA brut produits &amp; sites'!P630:P641)</f>
        <v>15</v>
      </c>
    </row>
    <row r="587" spans="1:16" x14ac:dyDescent="0.3">
      <c r="A587" s="94">
        <v>44501</v>
      </c>
      <c r="B587" s="146"/>
      <c r="C587" s="92">
        <f t="shared" si="98"/>
        <v>87856.109999999986</v>
      </c>
      <c r="D587" s="92">
        <f>SUM('CA brut produits &amp; sites'!D631:D642)</f>
        <v>27927.319999999996</v>
      </c>
      <c r="E587" s="92">
        <f>SUM('CA brut produits &amp; sites'!E631:E642)</f>
        <v>40230.019999999997</v>
      </c>
      <c r="F587" s="92">
        <f>SUM('CA brut produits &amp; sites'!F631:F642)</f>
        <v>41.12</v>
      </c>
      <c r="G587" s="92">
        <f>SUM('CA brut produits &amp; sites'!G631:G642)</f>
        <v>68.52</v>
      </c>
      <c r="H587" s="92">
        <f>SUM('CA brut produits &amp; sites'!H631:H642)</f>
        <v>2601.23</v>
      </c>
      <c r="I587" s="92">
        <f>SUM('CA brut produits &amp; sites'!I631:I642)</f>
        <v>70.37</v>
      </c>
      <c r="J587" s="92">
        <f>SUM('CA brut produits &amp; sites'!J631:J642)</f>
        <v>0</v>
      </c>
      <c r="K587" s="92">
        <f>SUM('CA brut produits &amp; sites'!K631:K642)</f>
        <v>16887.530000000002</v>
      </c>
      <c r="L587" s="92">
        <f>SUM('CA brut produits &amp; sites'!L631:L642)</f>
        <v>15</v>
      </c>
      <c r="M587" s="92">
        <f>SUM('CA brut produits &amp; sites'!M631:M642)</f>
        <v>0</v>
      </c>
      <c r="N587" s="92">
        <f>SUM('CA brut produits &amp; sites'!N631:N642)</f>
        <v>0</v>
      </c>
      <c r="O587" s="92">
        <f>SUM('CA brut produits &amp; sites'!O631:O642)</f>
        <v>0</v>
      </c>
      <c r="P587" s="93">
        <f>SUM('CA brut produits &amp; sites'!P631:P642)</f>
        <v>15</v>
      </c>
    </row>
    <row r="588" spans="1:16" x14ac:dyDescent="0.3">
      <c r="A588" s="94">
        <v>44531</v>
      </c>
      <c r="B588" s="146"/>
      <c r="C588" s="92">
        <f t="shared" si="98"/>
        <v>86484.319999999992</v>
      </c>
      <c r="D588" s="92">
        <f>SUM('CA brut produits &amp; sites'!D632:D643)</f>
        <v>28877.239999999998</v>
      </c>
      <c r="E588" s="92">
        <f>SUM('CA brut produits &amp; sites'!E632:E643)</f>
        <v>39317.71</v>
      </c>
      <c r="F588" s="92">
        <f>SUM('CA brut produits &amp; sites'!F632:F643)</f>
        <v>41.12</v>
      </c>
      <c r="G588" s="92">
        <f>SUM('CA brut produits &amp; sites'!G632:G643)</f>
        <v>68.52</v>
      </c>
      <c r="H588" s="92">
        <f>SUM('CA brut produits &amp; sites'!H632:H643)</f>
        <v>2970.83</v>
      </c>
      <c r="I588" s="92">
        <f>SUM('CA brut produits &amp; sites'!I632:I643)</f>
        <v>70.37</v>
      </c>
      <c r="J588" s="92">
        <f>SUM('CA brut produits &amp; sites'!J632:J643)</f>
        <v>0</v>
      </c>
      <c r="K588" s="92">
        <f>SUM('CA brut produits &amp; sites'!K632:K643)</f>
        <v>15093.53</v>
      </c>
      <c r="L588" s="92">
        <f>SUM('CA brut produits &amp; sites'!L632:L643)</f>
        <v>45</v>
      </c>
      <c r="M588" s="92">
        <f>SUM('CA brut produits &amp; sites'!M632:M643)</f>
        <v>0</v>
      </c>
      <c r="N588" s="92">
        <f>SUM('CA brut produits &amp; sites'!N632:N643)</f>
        <v>0</v>
      </c>
      <c r="O588" s="92">
        <f>SUM('CA brut produits &amp; sites'!O632:O643)</f>
        <v>0</v>
      </c>
      <c r="P588" s="93">
        <f>SUM('CA brut produits &amp; sites'!P632:P643)</f>
        <v>0</v>
      </c>
    </row>
    <row r="589" spans="1:16" x14ac:dyDescent="0.3">
      <c r="A589" s="94">
        <v>44562</v>
      </c>
      <c r="B589" s="146"/>
      <c r="C589" s="92">
        <f t="shared" si="98"/>
        <v>93544.459999999992</v>
      </c>
      <c r="D589" s="92">
        <f>SUM('CA brut produits &amp; sites'!D633:D644)</f>
        <v>30554.229999999996</v>
      </c>
      <c r="E589" s="92">
        <f>SUM('CA brut produits &amp; sites'!E633:E644)</f>
        <v>43881.86</v>
      </c>
      <c r="F589" s="92">
        <f>SUM('CA brut produits &amp; sites'!F633:F644)</f>
        <v>41.12</v>
      </c>
      <c r="G589" s="92">
        <f>SUM('CA brut produits &amp; sites'!G633:G644)</f>
        <v>69.239999999999995</v>
      </c>
      <c r="H589" s="92">
        <f>SUM('CA brut produits &amp; sites'!H633:H644)</f>
        <v>3526.1099999999997</v>
      </c>
      <c r="I589" s="92">
        <f>SUM('CA brut produits &amp; sites'!I633:I644)</f>
        <v>70.37</v>
      </c>
      <c r="J589" s="92">
        <f>SUM('CA brut produits &amp; sites'!J633:J644)</f>
        <v>0</v>
      </c>
      <c r="K589" s="92">
        <f>SUM('CA brut produits &amp; sites'!K633:K644)</f>
        <v>15356.529999999999</v>
      </c>
      <c r="L589" s="92">
        <f>SUM('CA brut produits &amp; sites'!L633:L644)</f>
        <v>45</v>
      </c>
      <c r="M589" s="92">
        <f>SUM('CA brut produits &amp; sites'!M633:M644)</f>
        <v>0</v>
      </c>
      <c r="N589" s="92">
        <f>SUM('CA brut produits &amp; sites'!N633:N644)</f>
        <v>0</v>
      </c>
      <c r="O589" s="92">
        <f>SUM('CA brut produits &amp; sites'!O633:O644)</f>
        <v>0</v>
      </c>
      <c r="P589" s="93">
        <f>SUM('CA brut produits &amp; sites'!P633:P644)</f>
        <v>0</v>
      </c>
    </row>
    <row r="590" spans="1:16" x14ac:dyDescent="0.3">
      <c r="A590" s="94">
        <v>44593</v>
      </c>
      <c r="B590" s="146"/>
      <c r="C590" s="92">
        <f t="shared" si="98"/>
        <v>98105.199999999983</v>
      </c>
      <c r="D590" s="92">
        <f>SUM('CA brut produits &amp; sites'!D634:D645)</f>
        <v>32210.03</v>
      </c>
      <c r="E590" s="92">
        <f>SUM('CA brut produits &amp; sites'!E634:E645)</f>
        <v>45777.899999999994</v>
      </c>
      <c r="F590" s="92">
        <f>SUM('CA brut produits &amp; sites'!F634:F645)</f>
        <v>41.12</v>
      </c>
      <c r="G590" s="92">
        <f>SUM('CA brut produits &amp; sites'!G634:G645)</f>
        <v>69.239999999999995</v>
      </c>
      <c r="H590" s="92">
        <f>SUM('CA brut produits &amp; sites'!H634:H645)</f>
        <v>4191.25</v>
      </c>
      <c r="I590" s="92">
        <f>SUM('CA brut produits &amp; sites'!I634:I645)</f>
        <v>70.37</v>
      </c>
      <c r="J590" s="92">
        <f>SUM('CA brut produits &amp; sites'!J634:J645)</f>
        <v>0</v>
      </c>
      <c r="K590" s="92">
        <f>SUM('CA brut produits &amp; sites'!K634:K645)</f>
        <v>15700.289999999999</v>
      </c>
      <c r="L590" s="92">
        <f>SUM('CA brut produits &amp; sites'!L634:L645)</f>
        <v>45</v>
      </c>
      <c r="M590" s="92">
        <f>SUM('CA brut produits &amp; sites'!M634:M645)</f>
        <v>0</v>
      </c>
      <c r="N590" s="92">
        <f>SUM('CA brut produits &amp; sites'!N634:N645)</f>
        <v>0</v>
      </c>
      <c r="O590" s="92">
        <f>SUM('CA brut produits &amp; sites'!O634:O645)</f>
        <v>0</v>
      </c>
      <c r="P590" s="93">
        <f>SUM('CA brut produits &amp; sites'!P634:P645)</f>
        <v>0</v>
      </c>
    </row>
    <row r="591" spans="1:16" x14ac:dyDescent="0.3">
      <c r="A591" s="94">
        <v>44621</v>
      </c>
      <c r="B591" s="146"/>
      <c r="C591" s="92">
        <f t="shared" si="98"/>
        <v>99987.289999999979</v>
      </c>
      <c r="D591" s="92">
        <f>SUM('CA brut produits &amp; sites'!D635:D646)</f>
        <v>33372.9</v>
      </c>
      <c r="E591" s="92">
        <f>SUM('CA brut produits &amp; sites'!E635:E646)</f>
        <v>46118.649999999994</v>
      </c>
      <c r="F591" s="92">
        <f>SUM('CA brut produits &amp; sites'!F635:F646)</f>
        <v>71.38</v>
      </c>
      <c r="G591" s="92">
        <f>SUM('CA brut produits &amp; sites'!G635:G646)</f>
        <v>41.13</v>
      </c>
      <c r="H591" s="92">
        <f>SUM('CA brut produits &amp; sites'!H635:H646)</f>
        <v>4343.4299999999994</v>
      </c>
      <c r="I591" s="92">
        <f>SUM('CA brut produits &amp; sites'!I635:I646)</f>
        <v>70.37</v>
      </c>
      <c r="J591" s="92">
        <f>SUM('CA brut produits &amp; sites'!J635:J646)</f>
        <v>0</v>
      </c>
      <c r="K591" s="92">
        <f>SUM('CA brut produits &amp; sites'!K635:K646)</f>
        <v>15896.429999999998</v>
      </c>
      <c r="L591" s="92">
        <f>SUM('CA brut produits &amp; sites'!L635:L646)</f>
        <v>45</v>
      </c>
      <c r="M591" s="92">
        <f>SUM('CA brut produits &amp; sites'!M635:M646)</f>
        <v>22</v>
      </c>
      <c r="N591" s="92">
        <f>SUM('CA brut produits &amp; sites'!N635:N646)</f>
        <v>0</v>
      </c>
      <c r="O591" s="92">
        <f>SUM('CA brut produits &amp; sites'!O635:O646)</f>
        <v>0</v>
      </c>
      <c r="P591" s="93">
        <f>SUM('CA brut produits &amp; sites'!P635:P646)</f>
        <v>6</v>
      </c>
    </row>
    <row r="592" spans="1:16" x14ac:dyDescent="0.3">
      <c r="A592" s="94">
        <v>44652</v>
      </c>
      <c r="B592" s="146"/>
      <c r="C592" s="92">
        <f t="shared" si="98"/>
        <v>104797.28</v>
      </c>
      <c r="D592" s="92">
        <f>SUM('CA brut produits &amp; sites'!D636:D647)</f>
        <v>36655.03</v>
      </c>
      <c r="E592" s="92">
        <f>SUM('CA brut produits &amp; sites'!E636:E647)</f>
        <v>47318.880000000005</v>
      </c>
      <c r="F592" s="92">
        <f>SUM('CA brut produits &amp; sites'!F636:F647)</f>
        <v>71.38</v>
      </c>
      <c r="G592" s="92">
        <f>SUM('CA brut produits &amp; sites'!G636:G647)</f>
        <v>41.13</v>
      </c>
      <c r="H592" s="92">
        <f>SUM('CA brut produits &amp; sites'!H636:H647)</f>
        <v>4389.7599999999993</v>
      </c>
      <c r="I592" s="92">
        <f>SUM('CA brut produits &amp; sites'!I636:I647)</f>
        <v>70.37</v>
      </c>
      <c r="J592" s="92">
        <f>SUM('CA brut produits &amp; sites'!J636:J647)</f>
        <v>0</v>
      </c>
      <c r="K592" s="92">
        <f>SUM('CA brut produits &amp; sites'!K636:K647)</f>
        <v>16131.729999999998</v>
      </c>
      <c r="L592" s="92">
        <f>SUM('CA brut produits &amp; sites'!L636:L647)</f>
        <v>30</v>
      </c>
      <c r="M592" s="92">
        <f>SUM('CA brut produits &amp; sites'!M636:M647)</f>
        <v>83</v>
      </c>
      <c r="N592" s="92">
        <f>SUM('CA brut produits &amp; sites'!N636:N647)</f>
        <v>0</v>
      </c>
      <c r="O592" s="92">
        <f>SUM('CA brut produits &amp; sites'!O636:O647)</f>
        <v>0</v>
      </c>
      <c r="P592" s="93">
        <f>SUM('CA brut produits &amp; sites'!P636:P647)</f>
        <v>6</v>
      </c>
    </row>
    <row r="593" spans="1:16" x14ac:dyDescent="0.3">
      <c r="A593" s="94">
        <v>44682</v>
      </c>
      <c r="B593" s="146"/>
      <c r="C593" s="92">
        <f t="shared" si="98"/>
        <v>105863.54999999999</v>
      </c>
      <c r="D593" s="92">
        <f>SUM('CA brut produits &amp; sites'!D637:D648)</f>
        <v>37809.969999999994</v>
      </c>
      <c r="E593" s="92">
        <f>SUM('CA brut produits &amp; sites'!E637:E648)</f>
        <v>47066.53</v>
      </c>
      <c r="F593" s="92">
        <f>SUM('CA brut produits &amp; sites'!F637:F648)</f>
        <v>90.58</v>
      </c>
      <c r="G593" s="92">
        <f>SUM('CA brut produits &amp; sites'!G637:G648)</f>
        <v>36.090000000000003</v>
      </c>
      <c r="H593" s="92">
        <f>SUM('CA brut produits &amp; sites'!H637:H648)</f>
        <v>4422.0899999999992</v>
      </c>
      <c r="I593" s="92">
        <f>SUM('CA brut produits &amp; sites'!I637:I648)</f>
        <v>70.37</v>
      </c>
      <c r="J593" s="92">
        <f>SUM('CA brut produits &amp; sites'!J637:J648)</f>
        <v>0</v>
      </c>
      <c r="K593" s="92">
        <f>SUM('CA brut produits &amp; sites'!K637:K648)</f>
        <v>16206.64</v>
      </c>
      <c r="L593" s="92">
        <f>SUM('CA brut produits &amp; sites'!L637:L648)</f>
        <v>65.28</v>
      </c>
      <c r="M593" s="92">
        <f>SUM('CA brut produits &amp; sites'!M637:M648)</f>
        <v>90</v>
      </c>
      <c r="N593" s="92">
        <f>SUM('CA brut produits &amp; sites'!N637:N648)</f>
        <v>0</v>
      </c>
      <c r="O593" s="92">
        <f>SUM('CA brut produits &amp; sites'!O637:O648)</f>
        <v>0</v>
      </c>
      <c r="P593" s="93">
        <f>SUM('CA brut produits &amp; sites'!P637:P648)</f>
        <v>6</v>
      </c>
    </row>
    <row r="594" spans="1:16" x14ac:dyDescent="0.3">
      <c r="A594" s="94">
        <v>44713</v>
      </c>
      <c r="B594" s="146"/>
      <c r="C594" s="92">
        <f t="shared" si="98"/>
        <v>108378.87999999998</v>
      </c>
      <c r="D594" s="92">
        <f>SUM('CA brut produits &amp; sites'!D638:D649)</f>
        <v>38892.479999999996</v>
      </c>
      <c r="E594" s="92">
        <f>SUM('CA brut produits &amp; sites'!E638:E649)</f>
        <v>47990.57</v>
      </c>
      <c r="F594" s="92">
        <f>SUM('CA brut produits &amp; sites'!F638:F649)</f>
        <v>92.83</v>
      </c>
      <c r="G594" s="92">
        <f>SUM('CA brut produits &amp; sites'!G638:G649)</f>
        <v>36.090000000000003</v>
      </c>
      <c r="H594" s="92">
        <f>SUM('CA brut produits &amp; sites'!H638:H649)</f>
        <v>4869.579999999999</v>
      </c>
      <c r="I594" s="92">
        <f>SUM('CA brut produits &amp; sites'!I638:I649)</f>
        <v>70.37</v>
      </c>
      <c r="J594" s="92">
        <f>SUM('CA brut produits &amp; sites'!J638:J649)</f>
        <v>0</v>
      </c>
      <c r="K594" s="92">
        <f>SUM('CA brut produits &amp; sites'!K638:K649)</f>
        <v>16265.679999999998</v>
      </c>
      <c r="L594" s="92">
        <f>SUM('CA brut produits &amp; sites'!L638:L649)</f>
        <v>65.28</v>
      </c>
      <c r="M594" s="92">
        <f>SUM('CA brut produits &amp; sites'!M638:M649)</f>
        <v>90</v>
      </c>
      <c r="N594" s="92">
        <f>SUM('CA brut produits &amp; sites'!N638:N649)</f>
        <v>0</v>
      </c>
      <c r="O594" s="92">
        <f>SUM('CA brut produits &amp; sites'!O638:O649)</f>
        <v>0</v>
      </c>
      <c r="P594" s="93">
        <f>SUM('CA brut produits &amp; sites'!P638:P649)</f>
        <v>6</v>
      </c>
    </row>
    <row r="595" spans="1:16" x14ac:dyDescent="0.3">
      <c r="A595" s="94">
        <v>44743</v>
      </c>
      <c r="B595" s="146"/>
      <c r="P595" s="93"/>
    </row>
    <row r="596" spans="1:16" x14ac:dyDescent="0.3">
      <c r="A596" s="94">
        <v>44774</v>
      </c>
      <c r="B596" s="146"/>
      <c r="P596" s="93"/>
    </row>
    <row r="597" spans="1:16" x14ac:dyDescent="0.3">
      <c r="A597" s="94">
        <v>44805</v>
      </c>
      <c r="B597" s="146"/>
      <c r="P597" s="93"/>
    </row>
    <row r="598" spans="1:16" x14ac:dyDescent="0.3">
      <c r="A598" s="94">
        <v>44835</v>
      </c>
      <c r="B598" s="146"/>
      <c r="P598" s="93"/>
    </row>
    <row r="599" spans="1:16" x14ac:dyDescent="0.3">
      <c r="A599" s="94">
        <v>44866</v>
      </c>
      <c r="B599" s="146"/>
      <c r="P599" s="93"/>
    </row>
    <row r="600" spans="1:16" x14ac:dyDescent="0.3">
      <c r="A600" s="94">
        <v>44896</v>
      </c>
      <c r="B600" s="146"/>
      <c r="P600" s="93"/>
    </row>
    <row r="601" spans="1:16" x14ac:dyDescent="0.3">
      <c r="A601" s="94"/>
      <c r="B601" s="146"/>
      <c r="P601" s="93"/>
    </row>
    <row r="602" spans="1:16" x14ac:dyDescent="0.3">
      <c r="A602" s="94"/>
      <c r="B602" s="146"/>
      <c r="P602" s="93"/>
    </row>
    <row r="603" spans="1:16" x14ac:dyDescent="0.3">
      <c r="A603" s="94"/>
      <c r="B603" s="146"/>
      <c r="P603" s="93"/>
    </row>
    <row r="604" spans="1:16" ht="15" thickBot="1" x14ac:dyDescent="0.35">
      <c r="A604" s="94"/>
      <c r="B604" s="149"/>
      <c r="P604" s="93"/>
    </row>
    <row r="605" spans="1:16" ht="17.100000000000001" customHeight="1" x14ac:dyDescent="0.3">
      <c r="A605" s="88">
        <v>41974</v>
      </c>
      <c r="B605" s="145" t="s">
        <v>21</v>
      </c>
      <c r="C605" s="95">
        <f t="shared" ref="C605:C641" si="99">SUM(D605:N605)</f>
        <v>370220.41000000003</v>
      </c>
      <c r="D605" s="95">
        <f>SUM('CA brut produits &amp; sites'!D658:D669)</f>
        <v>150980.07</v>
      </c>
      <c r="E605" s="95">
        <f>SUM('CA brut produits &amp; sites'!E658:E669)</f>
        <v>31456.449999999997</v>
      </c>
      <c r="F605" s="95">
        <f>SUM('CA brut produits &amp; sites'!F658:F669)</f>
        <v>18.049999999999997</v>
      </c>
      <c r="G605" s="95">
        <f>SUM('CA brut produits &amp; sites'!G658:G669)</f>
        <v>3132.87</v>
      </c>
      <c r="H605" s="95">
        <f>SUM('CA brut produits &amp; sites'!H658:H669)</f>
        <v>49.68</v>
      </c>
      <c r="I605" s="95">
        <f>SUM('CA brut produits &amp; sites'!I658:I669)</f>
        <v>11661.679999999998</v>
      </c>
      <c r="J605" s="95">
        <f>SUM('CA brut produits &amp; sites'!J658:J669)</f>
        <v>0</v>
      </c>
      <c r="K605" s="95">
        <f>SUM('CA brut produits &amp; sites'!K658:K669)</f>
        <v>172921.61000000002</v>
      </c>
      <c r="L605" s="95">
        <f>SUM('CA brut produits &amp; sites'!L658:L669)</f>
        <v>0</v>
      </c>
      <c r="M605" s="95">
        <f>SUM('CA brut produits &amp; sites'!M658:M669)</f>
        <v>0</v>
      </c>
      <c r="N605" s="95">
        <f>SUM('CA brut produits &amp; sites'!N658:N669)</f>
        <v>0</v>
      </c>
      <c r="O605" s="95">
        <f>SUM('CA brut produits &amp; sites'!O658:O669)</f>
        <v>0</v>
      </c>
      <c r="P605" s="97">
        <f>SUM('CA brut produits &amp; sites'!P658:P669)</f>
        <v>0</v>
      </c>
    </row>
    <row r="606" spans="1:16" x14ac:dyDescent="0.3">
      <c r="A606" s="87">
        <v>42005</v>
      </c>
      <c r="B606" s="146"/>
      <c r="C606" s="92">
        <f t="shared" si="99"/>
        <v>358508.16000000003</v>
      </c>
      <c r="D606" s="92">
        <f>SUM('CA brut produits &amp; sites'!D659:D670)</f>
        <v>152282.79</v>
      </c>
      <c r="E606" s="92">
        <f>SUM('CA brut produits &amp; sites'!E659:E670)</f>
        <v>28954.260000000002</v>
      </c>
      <c r="F606" s="92">
        <f>SUM('CA brut produits &amp; sites'!F659:F670)</f>
        <v>13.54</v>
      </c>
      <c r="G606" s="92">
        <f>SUM('CA brut produits &amp; sites'!G659:G670)</f>
        <v>3501.29</v>
      </c>
      <c r="H606" s="92">
        <f>SUM('CA brut produits &amp; sites'!H659:H670)</f>
        <v>0</v>
      </c>
      <c r="I606" s="92">
        <f>SUM('CA brut produits &amp; sites'!I659:I670)</f>
        <v>11554.73</v>
      </c>
      <c r="J606" s="92">
        <f>SUM('CA brut produits &amp; sites'!J659:J670)</f>
        <v>0</v>
      </c>
      <c r="K606" s="92">
        <f>SUM('CA brut produits &amp; sites'!K659:K670)</f>
        <v>162201.55000000002</v>
      </c>
      <c r="L606" s="92">
        <f>SUM('CA brut produits &amp; sites'!L659:L670)</f>
        <v>0</v>
      </c>
      <c r="M606" s="92">
        <f>SUM('CA brut produits &amp; sites'!M659:M670)</f>
        <v>0</v>
      </c>
      <c r="N606" s="92">
        <f>SUM('CA brut produits &amp; sites'!N659:N670)</f>
        <v>0</v>
      </c>
      <c r="O606" s="92">
        <f>SUM('CA brut produits &amp; sites'!O659:O670)</f>
        <v>0</v>
      </c>
      <c r="P606" s="93">
        <f>SUM('CA brut produits &amp; sites'!P659:P670)</f>
        <v>0</v>
      </c>
    </row>
    <row r="607" spans="1:16" x14ac:dyDescent="0.3">
      <c r="A607" s="87">
        <v>42036</v>
      </c>
      <c r="B607" s="146"/>
      <c r="C607" s="92">
        <f t="shared" si="99"/>
        <v>346482.17</v>
      </c>
      <c r="D607" s="92">
        <f>SUM('CA brut produits &amp; sites'!D660:D671)</f>
        <v>152673.56</v>
      </c>
      <c r="E607" s="92">
        <f>SUM('CA brut produits &amp; sites'!E660:E671)</f>
        <v>26611.81</v>
      </c>
      <c r="F607" s="92">
        <f>SUM('CA brut produits &amp; sites'!F660:F671)</f>
        <v>13.54</v>
      </c>
      <c r="G607" s="92">
        <f>SUM('CA brut produits &amp; sites'!G660:G671)</f>
        <v>3848.77</v>
      </c>
      <c r="H607" s="92">
        <f>SUM('CA brut produits &amp; sites'!H660:H671)</f>
        <v>0</v>
      </c>
      <c r="I607" s="92">
        <f>SUM('CA brut produits &amp; sites'!I660:I671)</f>
        <v>12971.579999999998</v>
      </c>
      <c r="J607" s="92">
        <f>SUM('CA brut produits &amp; sites'!J660:J671)</f>
        <v>0</v>
      </c>
      <c r="K607" s="92">
        <f>SUM('CA brut produits &amp; sites'!K660:K671)</f>
        <v>150362.91</v>
      </c>
      <c r="L607" s="92">
        <f>SUM('CA brut produits &amp; sites'!L660:L671)</f>
        <v>0</v>
      </c>
      <c r="M607" s="92">
        <f>SUM('CA brut produits &amp; sites'!M660:M671)</f>
        <v>0</v>
      </c>
      <c r="N607" s="92">
        <f>SUM('CA brut produits &amp; sites'!N660:N671)</f>
        <v>0</v>
      </c>
      <c r="O607" s="92">
        <f>SUM('CA brut produits &amp; sites'!O660:O671)</f>
        <v>0</v>
      </c>
      <c r="P607" s="93">
        <f>SUM('CA brut produits &amp; sites'!P660:P671)</f>
        <v>0</v>
      </c>
    </row>
    <row r="608" spans="1:16" x14ac:dyDescent="0.3">
      <c r="A608" s="87">
        <v>42064</v>
      </c>
      <c r="B608" s="146"/>
      <c r="C608" s="92">
        <f t="shared" si="99"/>
        <v>344597.03</v>
      </c>
      <c r="D608" s="92">
        <f>SUM('CA brut produits &amp; sites'!D661:D672)</f>
        <v>152478.34</v>
      </c>
      <c r="E608" s="92">
        <f>SUM('CA brut produits &amp; sites'!E661:E672)</f>
        <v>24888.930000000008</v>
      </c>
      <c r="F608" s="92">
        <f>SUM('CA brut produits &amp; sites'!F661:F672)</f>
        <v>13.54</v>
      </c>
      <c r="G608" s="92">
        <f>SUM('CA brut produits &amp; sites'!G661:G672)</f>
        <v>3854.8200000000006</v>
      </c>
      <c r="H608" s="92">
        <f>SUM('CA brut produits &amp; sites'!H661:H672)</f>
        <v>0</v>
      </c>
      <c r="I608" s="92">
        <f>SUM('CA brut produits &amp; sites'!I661:I672)</f>
        <v>14233.529999999999</v>
      </c>
      <c r="J608" s="92">
        <f>SUM('CA brut produits &amp; sites'!J661:J672)</f>
        <v>0</v>
      </c>
      <c r="K608" s="92">
        <f>SUM('CA brut produits &amp; sites'!K661:K672)</f>
        <v>149127.87</v>
      </c>
      <c r="L608" s="92">
        <f>SUM('CA brut produits &amp; sites'!L661:L672)</f>
        <v>0</v>
      </c>
      <c r="M608" s="92">
        <f>SUM('CA brut produits &amp; sites'!M661:M672)</f>
        <v>0</v>
      </c>
      <c r="N608" s="92">
        <f>SUM('CA brut produits &amp; sites'!N661:N672)</f>
        <v>0</v>
      </c>
      <c r="O608" s="92">
        <f>SUM('CA brut produits &amp; sites'!O661:O672)</f>
        <v>0</v>
      </c>
      <c r="P608" s="93">
        <f>SUM('CA brut produits &amp; sites'!P661:P672)</f>
        <v>0</v>
      </c>
    </row>
    <row r="609" spans="1:16" x14ac:dyDescent="0.3">
      <c r="A609" s="87">
        <v>42095</v>
      </c>
      <c r="B609" s="146"/>
      <c r="C609" s="92">
        <f t="shared" si="99"/>
        <v>369882.33999999997</v>
      </c>
      <c r="D609" s="92">
        <f>SUM('CA brut produits &amp; sites'!D662:D673)</f>
        <v>153795.25</v>
      </c>
      <c r="E609" s="92">
        <f>SUM('CA brut produits &amp; sites'!E662:E673)</f>
        <v>31598.780000000002</v>
      </c>
      <c r="F609" s="92">
        <f>SUM('CA brut produits &amp; sites'!F662:F673)</f>
        <v>13.54</v>
      </c>
      <c r="G609" s="92">
        <f>SUM('CA brut produits &amp; sites'!G662:G673)</f>
        <v>3875.83</v>
      </c>
      <c r="H609" s="92">
        <f>SUM('CA brut produits &amp; sites'!H662:H673)</f>
        <v>0</v>
      </c>
      <c r="I609" s="92">
        <f>SUM('CA brut produits &amp; sites'!I662:I673)</f>
        <v>16341.979999999998</v>
      </c>
      <c r="J609" s="92">
        <f>SUM('CA brut produits &amp; sites'!J662:J673)</f>
        <v>0</v>
      </c>
      <c r="K609" s="92">
        <f>SUM('CA brut produits &amp; sites'!K662:K673)</f>
        <v>164256.95999999999</v>
      </c>
      <c r="L609" s="92">
        <f>SUM('CA brut produits &amp; sites'!L662:L673)</f>
        <v>0</v>
      </c>
      <c r="M609" s="92">
        <f>SUM('CA brut produits &amp; sites'!M662:M673)</f>
        <v>0</v>
      </c>
      <c r="N609" s="92">
        <f>SUM('CA brut produits &amp; sites'!N662:N673)</f>
        <v>0</v>
      </c>
      <c r="O609" s="92">
        <f>SUM('CA brut produits &amp; sites'!O662:O673)</f>
        <v>0</v>
      </c>
      <c r="P609" s="93">
        <f>SUM('CA brut produits &amp; sites'!P662:P673)</f>
        <v>0</v>
      </c>
    </row>
    <row r="610" spans="1:16" x14ac:dyDescent="0.3">
      <c r="A610" s="87">
        <v>42125</v>
      </c>
      <c r="B610" s="146"/>
      <c r="C610" s="92">
        <f t="shared" si="99"/>
        <v>365874.93999999994</v>
      </c>
      <c r="D610" s="92">
        <f>SUM('CA brut produits &amp; sites'!D663:D674)</f>
        <v>151001.03999999998</v>
      </c>
      <c r="E610" s="92">
        <f>SUM('CA brut produits &amp; sites'!E663:E674)</f>
        <v>30225.160000000003</v>
      </c>
      <c r="F610" s="92">
        <f>SUM('CA brut produits &amp; sites'!F663:F674)</f>
        <v>52.22</v>
      </c>
      <c r="G610" s="92">
        <f>SUM('CA brut produits &amp; sites'!G663:G674)</f>
        <v>3124.8100000000004</v>
      </c>
      <c r="H610" s="92">
        <f>SUM('CA brut produits &amp; sites'!H663:H674)</f>
        <v>73.41</v>
      </c>
      <c r="I610" s="92">
        <f>SUM('CA brut produits &amp; sites'!I663:I674)</f>
        <v>15666.319999999998</v>
      </c>
      <c r="J610" s="92">
        <f>SUM('CA brut produits &amp; sites'!J663:J674)</f>
        <v>0</v>
      </c>
      <c r="K610" s="92">
        <f>SUM('CA brut produits &amp; sites'!K663:K674)</f>
        <v>165731.97999999998</v>
      </c>
      <c r="L610" s="92">
        <f>SUM('CA brut produits &amp; sites'!L663:L674)</f>
        <v>0</v>
      </c>
      <c r="M610" s="92">
        <f>SUM('CA brut produits &amp; sites'!M663:M674)</f>
        <v>0</v>
      </c>
      <c r="N610" s="92">
        <f>SUM('CA brut produits &amp; sites'!N663:N674)</f>
        <v>0</v>
      </c>
      <c r="O610" s="92">
        <f>SUM('CA brut produits &amp; sites'!O663:O674)</f>
        <v>0</v>
      </c>
      <c r="P610" s="93">
        <f>SUM('CA brut produits &amp; sites'!P663:P674)</f>
        <v>0</v>
      </c>
    </row>
    <row r="611" spans="1:16" x14ac:dyDescent="0.3">
      <c r="A611" s="87">
        <v>42156</v>
      </c>
      <c r="B611" s="146"/>
      <c r="C611" s="92">
        <f t="shared" si="99"/>
        <v>358298.74</v>
      </c>
      <c r="D611" s="92">
        <f>SUM('CA brut produits &amp; sites'!D664:D675)</f>
        <v>152136.9</v>
      </c>
      <c r="E611" s="92">
        <f>SUM('CA brut produits &amp; sites'!E664:E675)</f>
        <v>28672.2</v>
      </c>
      <c r="F611" s="92">
        <f>SUM('CA brut produits &amp; sites'!F664:F675)</f>
        <v>98.94</v>
      </c>
      <c r="G611" s="92">
        <f>SUM('CA brut produits &amp; sites'!G664:G675)</f>
        <v>3293.7300000000005</v>
      </c>
      <c r="H611" s="92">
        <f>SUM('CA brut produits &amp; sites'!H664:H675)</f>
        <v>88.09</v>
      </c>
      <c r="I611" s="92">
        <f>SUM('CA brut produits &amp; sites'!I664:I675)</f>
        <v>14166.929999999998</v>
      </c>
      <c r="J611" s="92">
        <f>SUM('CA brut produits &amp; sites'!J664:J675)</f>
        <v>0</v>
      </c>
      <c r="K611" s="92">
        <f>SUM('CA brut produits &amp; sites'!K664:K675)</f>
        <v>159841.95000000001</v>
      </c>
      <c r="L611" s="92">
        <f>SUM('CA brut produits &amp; sites'!L664:L675)</f>
        <v>0</v>
      </c>
      <c r="M611" s="92">
        <f>SUM('CA brut produits &amp; sites'!M664:M675)</f>
        <v>0</v>
      </c>
      <c r="N611" s="92">
        <f>SUM('CA brut produits &amp; sites'!N664:N675)</f>
        <v>0</v>
      </c>
      <c r="O611" s="92">
        <f>SUM('CA brut produits &amp; sites'!O664:O675)</f>
        <v>0</v>
      </c>
      <c r="P611" s="93">
        <f>SUM('CA brut produits &amp; sites'!P664:P675)</f>
        <v>0</v>
      </c>
    </row>
    <row r="612" spans="1:16" x14ac:dyDescent="0.3">
      <c r="A612" s="87">
        <v>42186</v>
      </c>
      <c r="B612" s="146"/>
      <c r="C612" s="92">
        <f t="shared" si="99"/>
        <v>326516.41000000003</v>
      </c>
      <c r="D612" s="92">
        <f>SUM('CA brut produits &amp; sites'!D665:D676)</f>
        <v>148223.44</v>
      </c>
      <c r="E612" s="92">
        <f>SUM('CA brut produits &amp; sites'!E665:E676)</f>
        <v>24879.13</v>
      </c>
      <c r="F612" s="92">
        <f>SUM('CA brut produits &amp; sites'!F665:F676)</f>
        <v>98.94</v>
      </c>
      <c r="G612" s="92">
        <f>SUM('CA brut produits &amp; sites'!G665:G676)</f>
        <v>2829.57</v>
      </c>
      <c r="H612" s="92">
        <f>SUM('CA brut produits &amp; sites'!H665:H676)</f>
        <v>88.09</v>
      </c>
      <c r="I612" s="92">
        <f>SUM('CA brut produits &amp; sites'!I665:I676)</f>
        <v>11438.019999999999</v>
      </c>
      <c r="J612" s="92">
        <f>SUM('CA brut produits &amp; sites'!J665:J676)</f>
        <v>0</v>
      </c>
      <c r="K612" s="92">
        <f>SUM('CA brut produits &amp; sites'!K665:K676)</f>
        <v>138959.22</v>
      </c>
      <c r="L612" s="92">
        <f>SUM('CA brut produits &amp; sites'!L665:L676)</f>
        <v>0</v>
      </c>
      <c r="M612" s="92">
        <f>SUM('CA brut produits &amp; sites'!M665:M676)</f>
        <v>0</v>
      </c>
      <c r="N612" s="92">
        <f>SUM('CA brut produits &amp; sites'!N665:N676)</f>
        <v>0</v>
      </c>
      <c r="O612" s="92">
        <f>SUM('CA brut produits &amp; sites'!O665:O676)</f>
        <v>0</v>
      </c>
      <c r="P612" s="93">
        <f>SUM('CA brut produits &amp; sites'!P665:P676)</f>
        <v>0</v>
      </c>
    </row>
    <row r="613" spans="1:16" x14ac:dyDescent="0.3">
      <c r="A613" s="87">
        <v>42217</v>
      </c>
      <c r="B613" s="146"/>
      <c r="C613" s="92">
        <f t="shared" si="99"/>
        <v>329471.62</v>
      </c>
      <c r="D613" s="92">
        <f>SUM('CA brut produits &amp; sites'!D666:D677)</f>
        <v>150626.63999999998</v>
      </c>
      <c r="E613" s="92">
        <f>SUM('CA brut produits &amp; sites'!E666:E677)</f>
        <v>24642.690000000002</v>
      </c>
      <c r="F613" s="92">
        <f>SUM('CA brut produits &amp; sites'!F666:F677)</f>
        <v>98.94</v>
      </c>
      <c r="G613" s="92">
        <f>SUM('CA brut produits &amp; sites'!G666:G677)</f>
        <v>2791.7000000000003</v>
      </c>
      <c r="H613" s="92">
        <f>SUM('CA brut produits &amp; sites'!H666:H677)</f>
        <v>88.09</v>
      </c>
      <c r="I613" s="92">
        <f>SUM('CA brut produits &amp; sites'!I666:I677)</f>
        <v>11275.809999999998</v>
      </c>
      <c r="J613" s="92">
        <f>SUM('CA brut produits &amp; sites'!J666:J677)</f>
        <v>0</v>
      </c>
      <c r="K613" s="92">
        <f>SUM('CA brut produits &amp; sites'!K666:K677)</f>
        <v>139947.75</v>
      </c>
      <c r="L613" s="92">
        <f>SUM('CA brut produits &amp; sites'!L666:L677)</f>
        <v>0</v>
      </c>
      <c r="M613" s="92">
        <f>SUM('CA brut produits &amp; sites'!M666:M677)</f>
        <v>0</v>
      </c>
      <c r="N613" s="92">
        <f>SUM('CA brut produits &amp; sites'!N666:N677)</f>
        <v>0</v>
      </c>
      <c r="O613" s="92">
        <f>SUM('CA brut produits &amp; sites'!O666:O677)</f>
        <v>0</v>
      </c>
      <c r="P613" s="93">
        <f>SUM('CA brut produits &amp; sites'!P666:P677)</f>
        <v>0</v>
      </c>
    </row>
    <row r="614" spans="1:16" x14ac:dyDescent="0.3">
      <c r="A614" s="87">
        <v>42248</v>
      </c>
      <c r="B614" s="146"/>
      <c r="C614" s="92">
        <f t="shared" si="99"/>
        <v>332060.11</v>
      </c>
      <c r="D614" s="92">
        <f>SUM('CA brut produits &amp; sites'!D667:D678)</f>
        <v>154931.08999999997</v>
      </c>
      <c r="E614" s="92">
        <f>SUM('CA brut produits &amp; sites'!E667:E678)</f>
        <v>25489.470000000005</v>
      </c>
      <c r="F614" s="92">
        <f>SUM('CA brut produits &amp; sites'!F667:F678)</f>
        <v>98.94</v>
      </c>
      <c r="G614" s="92">
        <f>SUM('CA brut produits &amp; sites'!G667:G678)</f>
        <v>2951.51</v>
      </c>
      <c r="H614" s="92">
        <f>SUM('CA brut produits &amp; sites'!H667:H678)</f>
        <v>88.09</v>
      </c>
      <c r="I614" s="92">
        <f>SUM('CA brut produits &amp; sites'!I667:I678)</f>
        <v>11748.429999999998</v>
      </c>
      <c r="J614" s="92">
        <f>SUM('CA brut produits &amp; sites'!J667:J678)</f>
        <v>0</v>
      </c>
      <c r="K614" s="92">
        <f>SUM('CA brut produits &amp; sites'!K667:K678)</f>
        <v>136752.57999999999</v>
      </c>
      <c r="L614" s="92">
        <f>SUM('CA brut produits &amp; sites'!L667:L678)</f>
        <v>0</v>
      </c>
      <c r="M614" s="92">
        <f>SUM('CA brut produits &amp; sites'!M667:M678)</f>
        <v>0</v>
      </c>
      <c r="N614" s="92">
        <f>SUM('CA brut produits &amp; sites'!N667:N678)</f>
        <v>0</v>
      </c>
      <c r="O614" s="92">
        <f>SUM('CA brut produits &amp; sites'!O667:O678)</f>
        <v>0</v>
      </c>
      <c r="P614" s="93">
        <f>SUM('CA brut produits &amp; sites'!P667:P678)</f>
        <v>0</v>
      </c>
    </row>
    <row r="615" spans="1:16" x14ac:dyDescent="0.3">
      <c r="A615" s="87">
        <v>42278</v>
      </c>
      <c r="B615" s="146"/>
      <c r="C615" s="92">
        <f t="shared" si="99"/>
        <v>311131.49999999994</v>
      </c>
      <c r="D615" s="92">
        <f>SUM('CA brut produits &amp; sites'!D668:D679)</f>
        <v>148625.50999999995</v>
      </c>
      <c r="E615" s="92">
        <f>SUM('CA brut produits &amp; sites'!E668:E679)</f>
        <v>22627.740000000005</v>
      </c>
      <c r="F615" s="92">
        <f>SUM('CA brut produits &amp; sites'!F668:F679)</f>
        <v>190.56</v>
      </c>
      <c r="G615" s="92">
        <f>SUM('CA brut produits &amp; sites'!G668:G679)</f>
        <v>2592.3199999999997</v>
      </c>
      <c r="H615" s="92">
        <f>SUM('CA brut produits &amp; sites'!H668:H679)</f>
        <v>88.09</v>
      </c>
      <c r="I615" s="92">
        <f>SUM('CA brut produits &amp; sites'!I668:I679)</f>
        <v>9559.8299999999981</v>
      </c>
      <c r="J615" s="92">
        <f>SUM('CA brut produits &amp; sites'!J668:J679)</f>
        <v>0</v>
      </c>
      <c r="K615" s="92">
        <f>SUM('CA brut produits &amp; sites'!K668:K679)</f>
        <v>127447.45</v>
      </c>
      <c r="L615" s="92">
        <f>SUM('CA brut produits &amp; sites'!L668:L679)</f>
        <v>0</v>
      </c>
      <c r="M615" s="92">
        <f>SUM('CA brut produits &amp; sites'!M668:M679)</f>
        <v>0</v>
      </c>
      <c r="N615" s="92">
        <f>SUM('CA brut produits &amp; sites'!N668:N679)</f>
        <v>0</v>
      </c>
      <c r="O615" s="92">
        <f>SUM('CA brut produits &amp; sites'!O668:O679)</f>
        <v>0</v>
      </c>
      <c r="P615" s="93">
        <f>SUM('CA brut produits &amp; sites'!P668:P679)</f>
        <v>0</v>
      </c>
    </row>
    <row r="616" spans="1:16" x14ac:dyDescent="0.3">
      <c r="A616" s="87">
        <v>42309</v>
      </c>
      <c r="B616" s="146"/>
      <c r="C616" s="92">
        <f t="shared" si="99"/>
        <v>307105.09000000003</v>
      </c>
      <c r="D616" s="92">
        <f>SUM('CA brut produits &amp; sites'!D669:D680)</f>
        <v>146679.43</v>
      </c>
      <c r="E616" s="92">
        <f>SUM('CA brut produits &amp; sites'!E669:E680)</f>
        <v>21294.250000000007</v>
      </c>
      <c r="F616" s="92">
        <f>SUM('CA brut produits &amp; sites'!F669:F680)</f>
        <v>202.96</v>
      </c>
      <c r="G616" s="92">
        <f>SUM('CA brut produits &amp; sites'!G669:G680)</f>
        <v>2520.0400000000004</v>
      </c>
      <c r="H616" s="92">
        <f>SUM('CA brut produits &amp; sites'!H669:H680)</f>
        <v>132.13999999999999</v>
      </c>
      <c r="I616" s="92">
        <f>SUM('CA brut produits &amp; sites'!I669:I680)</f>
        <v>9563.4499999999989</v>
      </c>
      <c r="J616" s="92">
        <f>SUM('CA brut produits &amp; sites'!J669:J680)</f>
        <v>0</v>
      </c>
      <c r="K616" s="92">
        <f>SUM('CA brut produits &amp; sites'!K669:K680)</f>
        <v>126712.81999999999</v>
      </c>
      <c r="L616" s="92">
        <f>SUM('CA brut produits &amp; sites'!L669:L680)</f>
        <v>0</v>
      </c>
      <c r="M616" s="92">
        <f>SUM('CA brut produits &amp; sites'!M669:M680)</f>
        <v>0</v>
      </c>
      <c r="N616" s="92">
        <f>SUM('CA brut produits &amp; sites'!N669:N680)</f>
        <v>0</v>
      </c>
      <c r="O616" s="92">
        <f>SUM('CA brut produits &amp; sites'!O669:O680)</f>
        <v>0</v>
      </c>
      <c r="P616" s="93">
        <f>SUM('CA brut produits &amp; sites'!P669:P680)</f>
        <v>0</v>
      </c>
    </row>
    <row r="617" spans="1:16" x14ac:dyDescent="0.3">
      <c r="A617" s="87">
        <v>42339</v>
      </c>
      <c r="B617" s="146"/>
      <c r="C617" s="92">
        <f t="shared" si="99"/>
        <v>306539.28999999998</v>
      </c>
      <c r="D617" s="92">
        <f>SUM('CA brut produits &amp; sites'!D670:D681)</f>
        <v>147071.63</v>
      </c>
      <c r="E617" s="92">
        <f>SUM('CA brut produits &amp; sites'!E670:E681)</f>
        <v>20279.100000000006</v>
      </c>
      <c r="F617" s="92">
        <f>SUM('CA brut produits &amp; sites'!F670:F681)</f>
        <v>202.96</v>
      </c>
      <c r="G617" s="92">
        <f>SUM('CA brut produits &amp; sites'!G670:G681)</f>
        <v>2465.3999999999996</v>
      </c>
      <c r="H617" s="92">
        <f>SUM('CA brut produits &amp; sites'!H670:H681)</f>
        <v>293.64</v>
      </c>
      <c r="I617" s="92">
        <f>SUM('CA brut produits &amp; sites'!I670:I681)</f>
        <v>9365.24</v>
      </c>
      <c r="J617" s="92">
        <f>SUM('CA brut produits &amp; sites'!J670:J681)</f>
        <v>0</v>
      </c>
      <c r="K617" s="92">
        <f>SUM('CA brut produits &amp; sites'!K670:K681)</f>
        <v>126861.31999999999</v>
      </c>
      <c r="L617" s="92">
        <f>SUM('CA brut produits &amp; sites'!L670:L681)</f>
        <v>0</v>
      </c>
      <c r="M617" s="92">
        <f>SUM('CA brut produits &amp; sites'!M670:M681)</f>
        <v>0</v>
      </c>
      <c r="N617" s="92">
        <f>SUM('CA brut produits &amp; sites'!N670:N681)</f>
        <v>0</v>
      </c>
      <c r="O617" s="92">
        <f>SUM('CA brut produits &amp; sites'!O670:O681)</f>
        <v>0</v>
      </c>
      <c r="P617" s="93">
        <f>SUM('CA brut produits &amp; sites'!P670:P681)</f>
        <v>0</v>
      </c>
    </row>
    <row r="618" spans="1:16" x14ac:dyDescent="0.3">
      <c r="A618" s="87">
        <v>42370</v>
      </c>
      <c r="B618" s="146"/>
      <c r="C618" s="92">
        <f t="shared" si="99"/>
        <v>288175.78000000003</v>
      </c>
      <c r="D618" s="92">
        <f>SUM('CA brut produits &amp; sites'!D671:D682)</f>
        <v>138074.68999999997</v>
      </c>
      <c r="E618" s="92">
        <f>SUM('CA brut produits &amp; sites'!E671:E682)</f>
        <v>18750.920000000006</v>
      </c>
      <c r="F618" s="92">
        <f>SUM('CA brut produits &amp; sites'!F671:F682)</f>
        <v>256.28000000000003</v>
      </c>
      <c r="G618" s="92">
        <f>SUM('CA brut produits &amp; sites'!G671:G682)</f>
        <v>2118.6999999999998</v>
      </c>
      <c r="H618" s="92">
        <f>SUM('CA brut produits &amp; sites'!H671:H682)</f>
        <v>337.69</v>
      </c>
      <c r="I618" s="92">
        <f>SUM('CA brut produits &amp; sites'!I671:I682)</f>
        <v>9645.16</v>
      </c>
      <c r="J618" s="92">
        <f>SUM('CA brut produits &amp; sites'!J671:J682)</f>
        <v>0</v>
      </c>
      <c r="K618" s="92">
        <f>SUM('CA brut produits &amp; sites'!K671:K682)</f>
        <v>118992.34</v>
      </c>
      <c r="L618" s="92">
        <f>SUM('CA brut produits &amp; sites'!L671:L682)</f>
        <v>0</v>
      </c>
      <c r="M618" s="92">
        <f>SUM('CA brut produits &amp; sites'!M671:M682)</f>
        <v>0</v>
      </c>
      <c r="N618" s="92">
        <f>SUM('CA brut produits &amp; sites'!N671:N682)</f>
        <v>0</v>
      </c>
      <c r="O618" s="92">
        <f>SUM('CA brut produits &amp; sites'!O671:O682)</f>
        <v>0</v>
      </c>
      <c r="P618" s="93">
        <f>SUM('CA brut produits &amp; sites'!P671:P682)</f>
        <v>0</v>
      </c>
    </row>
    <row r="619" spans="1:16" x14ac:dyDescent="0.3">
      <c r="A619" s="87">
        <v>42401</v>
      </c>
      <c r="B619" s="146"/>
      <c r="C619" s="92">
        <f t="shared" si="99"/>
        <v>283069.74</v>
      </c>
      <c r="D619" s="92">
        <f>SUM('CA brut produits &amp; sites'!D672:D683)</f>
        <v>140974.15999999997</v>
      </c>
      <c r="E619" s="92">
        <f>SUM('CA brut produits &amp; sites'!E672:E683)</f>
        <v>16926.03</v>
      </c>
      <c r="F619" s="92">
        <f>SUM('CA brut produits &amp; sites'!F672:F683)</f>
        <v>256.28000000000003</v>
      </c>
      <c r="G619" s="92">
        <f>SUM('CA brut produits &amp; sites'!G672:G683)</f>
        <v>1495.1500000000003</v>
      </c>
      <c r="H619" s="92">
        <f>SUM('CA brut produits &amp; sites'!H672:H683)</f>
        <v>469.83</v>
      </c>
      <c r="I619" s="92">
        <f>SUM('CA brut produits &amp; sites'!I672:I683)</f>
        <v>8890.07</v>
      </c>
      <c r="J619" s="92">
        <f>SUM('CA brut produits &amp; sites'!J672:J683)</f>
        <v>0</v>
      </c>
      <c r="K619" s="92">
        <f>SUM('CA brut produits &amp; sites'!K672:K683)</f>
        <v>114058.22</v>
      </c>
      <c r="L619" s="92">
        <f>SUM('CA brut produits &amp; sites'!L672:L683)</f>
        <v>0</v>
      </c>
      <c r="M619" s="92">
        <f>SUM('CA brut produits &amp; sites'!M672:M683)</f>
        <v>0</v>
      </c>
      <c r="N619" s="92">
        <f>SUM('CA brut produits &amp; sites'!N672:N683)</f>
        <v>0</v>
      </c>
      <c r="O619" s="92">
        <f>SUM('CA brut produits &amp; sites'!O672:O683)</f>
        <v>0</v>
      </c>
      <c r="P619" s="93">
        <f>SUM('CA brut produits &amp; sites'!P672:P683)</f>
        <v>0</v>
      </c>
    </row>
    <row r="620" spans="1:16" x14ac:dyDescent="0.3">
      <c r="A620" s="87">
        <v>42430</v>
      </c>
      <c r="B620" s="146"/>
      <c r="C620" s="92">
        <f t="shared" si="99"/>
        <v>281210.95999999996</v>
      </c>
      <c r="D620" s="92">
        <f>SUM('CA brut produits &amp; sites'!D673:D684)</f>
        <v>135625.68999999997</v>
      </c>
      <c r="E620" s="92">
        <f>SUM('CA brut produits &amp; sites'!E673:E684)</f>
        <v>17509.270000000004</v>
      </c>
      <c r="F620" s="92">
        <f>SUM('CA brut produits &amp; sites'!F673:F684)</f>
        <v>256.28000000000003</v>
      </c>
      <c r="G620" s="92">
        <f>SUM('CA brut produits &amp; sites'!G673:G684)</f>
        <v>1488.3500000000004</v>
      </c>
      <c r="H620" s="92">
        <f>SUM('CA brut produits &amp; sites'!H673:H684)</f>
        <v>513.88</v>
      </c>
      <c r="I620" s="92">
        <f>SUM('CA brut produits &amp; sites'!I673:I684)</f>
        <v>6696.829999999999</v>
      </c>
      <c r="J620" s="92">
        <f>SUM('CA brut produits &amp; sites'!J673:J684)</f>
        <v>0</v>
      </c>
      <c r="K620" s="92">
        <f>SUM('CA brut produits &amp; sites'!K673:K684)</f>
        <v>119120.65999999999</v>
      </c>
      <c r="L620" s="92">
        <f>SUM('CA brut produits &amp; sites'!L673:L684)</f>
        <v>0</v>
      </c>
      <c r="M620" s="92">
        <f>SUM('CA brut produits &amp; sites'!M673:M684)</f>
        <v>0</v>
      </c>
      <c r="N620" s="92">
        <f>SUM('CA brut produits &amp; sites'!N673:N684)</f>
        <v>0</v>
      </c>
      <c r="O620" s="92">
        <f>SUM('CA brut produits &amp; sites'!O673:O684)</f>
        <v>0</v>
      </c>
      <c r="P620" s="93">
        <f>SUM('CA brut produits &amp; sites'!P673:P684)</f>
        <v>0</v>
      </c>
    </row>
    <row r="621" spans="1:16" x14ac:dyDescent="0.3">
      <c r="A621" s="87">
        <v>42461</v>
      </c>
      <c r="B621" s="146"/>
      <c r="C621" s="92">
        <f t="shared" si="99"/>
        <v>248794.5</v>
      </c>
      <c r="D621" s="92">
        <f>SUM('CA brut produits &amp; sites'!D674:D685)</f>
        <v>126647.61999999998</v>
      </c>
      <c r="E621" s="92">
        <f>SUM('CA brut produits &amp; sites'!E674:E685)</f>
        <v>11068.5</v>
      </c>
      <c r="F621" s="92">
        <f>SUM('CA brut produits &amp; sites'!F674:F685)</f>
        <v>256.28000000000003</v>
      </c>
      <c r="G621" s="92">
        <f>SUM('CA brut produits &amp; sites'!G674:G685)</f>
        <v>1248.6699999999998</v>
      </c>
      <c r="H621" s="92">
        <f>SUM('CA brut produits &amp; sites'!H674:H685)</f>
        <v>513.88</v>
      </c>
      <c r="I621" s="92">
        <f>SUM('CA brut produits &amp; sites'!I674:I685)</f>
        <v>4292.7699999999995</v>
      </c>
      <c r="J621" s="92">
        <f>SUM('CA brut produits &amp; sites'!J674:J685)</f>
        <v>0</v>
      </c>
      <c r="K621" s="92">
        <f>SUM('CA brut produits &amp; sites'!K674:K685)</f>
        <v>104766.78</v>
      </c>
      <c r="L621" s="92">
        <f>SUM('CA brut produits &amp; sites'!L674:L685)</f>
        <v>0</v>
      </c>
      <c r="M621" s="92">
        <f>SUM('CA brut produits &amp; sites'!M674:M685)</f>
        <v>0</v>
      </c>
      <c r="N621" s="92">
        <f>SUM('CA brut produits &amp; sites'!N674:N685)</f>
        <v>0</v>
      </c>
      <c r="O621" s="92">
        <f>SUM('CA brut produits &amp; sites'!O674:O685)</f>
        <v>0</v>
      </c>
      <c r="P621" s="93">
        <f>SUM('CA brut produits &amp; sites'!P674:P685)</f>
        <v>0</v>
      </c>
    </row>
    <row r="622" spans="1:16" x14ac:dyDescent="0.3">
      <c r="A622" s="87">
        <v>42491</v>
      </c>
      <c r="B622" s="146"/>
      <c r="C622" s="92">
        <f t="shared" si="99"/>
        <v>250348.50999999998</v>
      </c>
      <c r="D622" s="92">
        <f>SUM('CA brut produits &amp; sites'!D675:D686)</f>
        <v>128019.79999999999</v>
      </c>
      <c r="E622" s="92">
        <f>SUM('CA brut produits &amp; sites'!E675:E686)</f>
        <v>10644.910000000002</v>
      </c>
      <c r="F622" s="92">
        <f>SUM('CA brut produits &amp; sites'!F675:F686)</f>
        <v>239.7</v>
      </c>
      <c r="G622" s="92">
        <f>SUM('CA brut produits &amp; sites'!G675:G686)</f>
        <v>1150.08</v>
      </c>
      <c r="H622" s="92">
        <f>SUM('CA brut produits &amp; sites'!H675:H686)</f>
        <v>440.46999999999997</v>
      </c>
      <c r="I622" s="92">
        <f>SUM('CA brut produits &amp; sites'!I675:I686)</f>
        <v>6937.98</v>
      </c>
      <c r="J622" s="92">
        <f>SUM('CA brut produits &amp; sites'!J675:J686)</f>
        <v>0</v>
      </c>
      <c r="K622" s="92">
        <f>SUM('CA brut produits &amp; sites'!K675:K686)</f>
        <v>102915.56999999998</v>
      </c>
      <c r="L622" s="92">
        <f>SUM('CA brut produits &amp; sites'!L675:L686)</f>
        <v>0</v>
      </c>
      <c r="M622" s="92">
        <f>SUM('CA brut produits &amp; sites'!M675:M686)</f>
        <v>0</v>
      </c>
      <c r="N622" s="92">
        <f>SUM('CA brut produits &amp; sites'!N675:N686)</f>
        <v>0</v>
      </c>
      <c r="O622" s="92">
        <f>SUM('CA brut produits &amp; sites'!O675:O686)</f>
        <v>0</v>
      </c>
      <c r="P622" s="93">
        <f>SUM('CA brut produits &amp; sites'!P675:P686)</f>
        <v>0</v>
      </c>
    </row>
    <row r="623" spans="1:16" x14ac:dyDescent="0.3">
      <c r="A623" s="87">
        <v>42522</v>
      </c>
      <c r="B623" s="146"/>
      <c r="C623" s="92">
        <f t="shared" si="99"/>
        <v>241540.90000000002</v>
      </c>
      <c r="D623" s="92">
        <f>SUM('CA brut produits &amp; sites'!D676:D687)</f>
        <v>124816.94999999998</v>
      </c>
      <c r="E623" s="92">
        <f>SUM('CA brut produits &amp; sites'!E676:E687)</f>
        <v>10512.44</v>
      </c>
      <c r="F623" s="92">
        <f>SUM('CA brut produits &amp; sites'!F676:F687)</f>
        <v>207.07</v>
      </c>
      <c r="G623" s="92">
        <f>SUM('CA brut produits &amp; sites'!G676:G687)</f>
        <v>908.19999999999993</v>
      </c>
      <c r="H623" s="92">
        <f>SUM('CA brut produits &amp; sites'!H676:H687)</f>
        <v>425.79</v>
      </c>
      <c r="I623" s="92">
        <f>SUM('CA brut produits &amp; sites'!I676:I687)</f>
        <v>7035.7400000000007</v>
      </c>
      <c r="J623" s="92">
        <f>SUM('CA brut produits &amp; sites'!J676:J687)</f>
        <v>0</v>
      </c>
      <c r="K623" s="92">
        <f>SUM('CA brut produits &amp; sites'!K676:K687)</f>
        <v>97634.71</v>
      </c>
      <c r="L623" s="92">
        <f>SUM('CA brut produits &amp; sites'!L676:L687)</f>
        <v>0</v>
      </c>
      <c r="M623" s="92">
        <f>SUM('CA brut produits &amp; sites'!M676:M687)</f>
        <v>0</v>
      </c>
      <c r="N623" s="92">
        <f>SUM('CA brut produits &amp; sites'!N676:N687)</f>
        <v>0</v>
      </c>
      <c r="O623" s="92">
        <f>SUM('CA brut produits &amp; sites'!O676:O687)</f>
        <v>0</v>
      </c>
      <c r="P623" s="93">
        <f>SUM('CA brut produits &amp; sites'!P676:P687)</f>
        <v>0</v>
      </c>
    </row>
    <row r="624" spans="1:16" x14ac:dyDescent="0.3">
      <c r="A624" s="87">
        <v>42552</v>
      </c>
      <c r="B624" s="146"/>
      <c r="C624" s="92">
        <f t="shared" si="99"/>
        <v>244164.21999999997</v>
      </c>
      <c r="D624" s="92">
        <f>SUM('CA brut produits &amp; sites'!D677:D688)</f>
        <v>124066.64999999998</v>
      </c>
      <c r="E624" s="92">
        <f>SUM('CA brut produits &amp; sites'!E677:E688)</f>
        <v>11377.9</v>
      </c>
      <c r="F624" s="92">
        <f>SUM('CA brut produits &amp; sites'!F677:F688)</f>
        <v>209.82999999999998</v>
      </c>
      <c r="G624" s="92">
        <f>SUM('CA brut produits &amp; sites'!G677:G688)</f>
        <v>1507.13</v>
      </c>
      <c r="H624" s="92">
        <f>SUM('CA brut produits &amp; sites'!H677:H688)</f>
        <v>425.79</v>
      </c>
      <c r="I624" s="92">
        <f>SUM('CA brut produits &amp; sites'!I677:I688)</f>
        <v>7294.0800000000008</v>
      </c>
      <c r="J624" s="92">
        <f>SUM('CA brut produits &amp; sites'!J677:J688)</f>
        <v>0</v>
      </c>
      <c r="K624" s="92">
        <f>SUM('CA brut produits &amp; sites'!K677:K688)</f>
        <v>99282.84</v>
      </c>
      <c r="L624" s="92">
        <f>SUM('CA brut produits &amp; sites'!L677:L688)</f>
        <v>0</v>
      </c>
      <c r="M624" s="92">
        <f>SUM('CA brut produits &amp; sites'!M677:M688)</f>
        <v>0</v>
      </c>
      <c r="N624" s="92">
        <f>SUM('CA brut produits &amp; sites'!N677:N688)</f>
        <v>0</v>
      </c>
      <c r="O624" s="92">
        <f>SUM('CA brut produits &amp; sites'!O677:O688)</f>
        <v>0</v>
      </c>
      <c r="P624" s="93">
        <f>SUM('CA brut produits &amp; sites'!P677:P688)</f>
        <v>0</v>
      </c>
    </row>
    <row r="625" spans="1:16" x14ac:dyDescent="0.3">
      <c r="A625" s="87">
        <v>42583</v>
      </c>
      <c r="B625" s="146"/>
      <c r="C625" s="92">
        <f t="shared" si="99"/>
        <v>245074.49</v>
      </c>
      <c r="D625" s="92">
        <f>SUM('CA brut produits &amp; sites'!D678:D689)</f>
        <v>122757.29999999999</v>
      </c>
      <c r="E625" s="92">
        <f>SUM('CA brut produits &amp; sites'!E678:E689)</f>
        <v>12022.529999999999</v>
      </c>
      <c r="F625" s="92">
        <f>SUM('CA brut produits &amp; sites'!F678:F689)</f>
        <v>218.85999999999999</v>
      </c>
      <c r="G625" s="92">
        <f>SUM('CA brut produits &amp; sites'!G678:G689)</f>
        <v>1453.56</v>
      </c>
      <c r="H625" s="92">
        <f>SUM('CA brut produits &amp; sites'!H678:H689)</f>
        <v>425.79</v>
      </c>
      <c r="I625" s="92">
        <f>SUM('CA brut produits &amp; sites'!I678:I689)</f>
        <v>7772.87</v>
      </c>
      <c r="J625" s="92">
        <f>SUM('CA brut produits &amp; sites'!J678:J689)</f>
        <v>0</v>
      </c>
      <c r="K625" s="92">
        <f>SUM('CA brut produits &amp; sites'!K678:K689)</f>
        <v>99573.58</v>
      </c>
      <c r="L625" s="92">
        <f>SUM('CA brut produits &amp; sites'!L678:L689)</f>
        <v>850</v>
      </c>
      <c r="M625" s="92">
        <f>SUM('CA brut produits &amp; sites'!M678:M689)</f>
        <v>0</v>
      </c>
      <c r="N625" s="92">
        <f>SUM('CA brut produits &amp; sites'!N678:N689)</f>
        <v>0</v>
      </c>
      <c r="O625" s="92">
        <f>SUM('CA brut produits &amp; sites'!O678:O689)</f>
        <v>0</v>
      </c>
      <c r="P625" s="93">
        <f>SUM('CA brut produits &amp; sites'!P678:P689)</f>
        <v>0</v>
      </c>
    </row>
    <row r="626" spans="1:16" x14ac:dyDescent="0.3">
      <c r="A626" s="87">
        <v>42614</v>
      </c>
      <c r="B626" s="146"/>
      <c r="C626" s="92">
        <f t="shared" si="99"/>
        <v>233786.73000000004</v>
      </c>
      <c r="D626" s="92">
        <f>SUM('CA brut produits &amp; sites'!D679:D690)</f>
        <v>120651.66999999998</v>
      </c>
      <c r="E626" s="92">
        <f>SUM('CA brut produits &amp; sites'!E679:E690)</f>
        <v>10341.710000000001</v>
      </c>
      <c r="F626" s="92">
        <f>SUM('CA brut produits &amp; sites'!F679:F690)</f>
        <v>232.39999999999998</v>
      </c>
      <c r="G626" s="92">
        <f>SUM('CA brut produits &amp; sites'!G679:G690)</f>
        <v>1517.9500000000003</v>
      </c>
      <c r="H626" s="92">
        <f>SUM('CA brut produits &amp; sites'!H679:H690)</f>
        <v>425.79</v>
      </c>
      <c r="I626" s="92">
        <f>SUM('CA brut produits &amp; sites'!I679:I690)</f>
        <v>7200.95</v>
      </c>
      <c r="J626" s="92">
        <f>SUM('CA brut produits &amp; sites'!J679:J690)</f>
        <v>0</v>
      </c>
      <c r="K626" s="92">
        <f>SUM('CA brut produits &amp; sites'!K679:K690)</f>
        <v>92566.26</v>
      </c>
      <c r="L626" s="92">
        <f>SUM('CA brut produits &amp; sites'!L679:L690)</f>
        <v>850</v>
      </c>
      <c r="M626" s="92">
        <f>SUM('CA brut produits &amp; sites'!M679:M690)</f>
        <v>0</v>
      </c>
      <c r="N626" s="92">
        <f>SUM('CA brut produits &amp; sites'!N679:N690)</f>
        <v>0</v>
      </c>
      <c r="O626" s="92">
        <f>SUM('CA brut produits &amp; sites'!O679:O690)</f>
        <v>0</v>
      </c>
      <c r="P626" s="93">
        <f>SUM('CA brut produits &amp; sites'!P679:P690)</f>
        <v>0</v>
      </c>
    </row>
    <row r="627" spans="1:16" x14ac:dyDescent="0.3">
      <c r="A627" s="87">
        <v>42644</v>
      </c>
      <c r="B627" s="146"/>
      <c r="C627" s="92">
        <f t="shared" si="99"/>
        <v>232893.00999999995</v>
      </c>
      <c r="D627" s="92">
        <f>SUM('CA brut produits &amp; sites'!D680:D691)</f>
        <v>120122.40999999997</v>
      </c>
      <c r="E627" s="92">
        <f>SUM('CA brut produits &amp; sites'!E680:E691)</f>
        <v>9941.8000000000011</v>
      </c>
      <c r="F627" s="92">
        <f>SUM('CA brut produits &amp; sites'!F680:F691)</f>
        <v>140.78</v>
      </c>
      <c r="G627" s="92">
        <f>SUM('CA brut produits &amp; sites'!G680:G691)</f>
        <v>1530.17</v>
      </c>
      <c r="H627" s="92">
        <f>SUM('CA brut produits &amp; sites'!H680:H691)</f>
        <v>557.93000000000006</v>
      </c>
      <c r="I627" s="92">
        <f>SUM('CA brut produits &amp; sites'!I680:I691)</f>
        <v>7154.99</v>
      </c>
      <c r="J627" s="92">
        <f>SUM('CA brut produits &amp; sites'!J680:J691)</f>
        <v>0</v>
      </c>
      <c r="K627" s="92">
        <f>SUM('CA brut produits &amp; sites'!K680:K691)</f>
        <v>92594.93</v>
      </c>
      <c r="L627" s="92">
        <f>SUM('CA brut produits &amp; sites'!L680:L691)</f>
        <v>850</v>
      </c>
      <c r="M627" s="92">
        <f>SUM('CA brut produits &amp; sites'!M680:M691)</f>
        <v>0</v>
      </c>
      <c r="N627" s="92">
        <f>SUM('CA brut produits &amp; sites'!N680:N691)</f>
        <v>0</v>
      </c>
      <c r="O627" s="92">
        <f>SUM('CA brut produits &amp; sites'!O680:O691)</f>
        <v>0</v>
      </c>
      <c r="P627" s="93">
        <f>SUM('CA brut produits &amp; sites'!P680:P691)</f>
        <v>0</v>
      </c>
    </row>
    <row r="628" spans="1:16" x14ac:dyDescent="0.3">
      <c r="A628" s="87">
        <v>42675</v>
      </c>
      <c r="B628" s="146"/>
      <c r="C628" s="92">
        <f t="shared" si="99"/>
        <v>230848.28999999998</v>
      </c>
      <c r="D628" s="92">
        <f>SUM('CA brut produits &amp; sites'!D681:D692)</f>
        <v>116125.98999999999</v>
      </c>
      <c r="E628" s="92">
        <f>SUM('CA brut produits &amp; sites'!E681:E692)</f>
        <v>11827.69</v>
      </c>
      <c r="F628" s="92">
        <f>SUM('CA brut produits &amp; sites'!F681:F692)</f>
        <v>195.36</v>
      </c>
      <c r="G628" s="92">
        <f>SUM('CA brut produits &amp; sites'!G681:G692)</f>
        <v>1514.4</v>
      </c>
      <c r="H628" s="92">
        <f>SUM('CA brut produits &amp; sites'!H681:H692)</f>
        <v>513.88</v>
      </c>
      <c r="I628" s="92">
        <f>SUM('CA brut produits &amp; sites'!I681:I692)</f>
        <v>7994.9400000000005</v>
      </c>
      <c r="J628" s="92">
        <f>SUM('CA brut produits &amp; sites'!J681:J692)</f>
        <v>0</v>
      </c>
      <c r="K628" s="92">
        <f>SUM('CA brut produits &amp; sites'!K681:K692)</f>
        <v>91826.03</v>
      </c>
      <c r="L628" s="92">
        <f>SUM('CA brut produits &amp; sites'!L681:L692)</f>
        <v>850</v>
      </c>
      <c r="M628" s="92">
        <f>SUM('CA brut produits &amp; sites'!M681:M692)</f>
        <v>0</v>
      </c>
      <c r="N628" s="92">
        <f>SUM('CA brut produits &amp; sites'!N681:N692)</f>
        <v>0</v>
      </c>
      <c r="O628" s="92">
        <f>SUM('CA brut produits &amp; sites'!O681:O692)</f>
        <v>0</v>
      </c>
      <c r="P628" s="93">
        <f>SUM('CA brut produits &amp; sites'!P681:P692)</f>
        <v>0</v>
      </c>
    </row>
    <row r="629" spans="1:16" x14ac:dyDescent="0.3">
      <c r="A629" s="87">
        <v>42705</v>
      </c>
      <c r="B629" s="146"/>
      <c r="C629" s="92">
        <f t="shared" si="99"/>
        <v>228769.77999999997</v>
      </c>
      <c r="D629" s="92">
        <f>SUM('CA brut produits &amp; sites'!D682:D693)</f>
        <v>115464.03999999998</v>
      </c>
      <c r="E629" s="92">
        <f>SUM('CA brut produits &amp; sites'!E682:E693)</f>
        <v>12118.01</v>
      </c>
      <c r="F629" s="92">
        <f>SUM('CA brut produits &amp; sites'!F682:F693)</f>
        <v>195.36</v>
      </c>
      <c r="G629" s="92">
        <f>SUM('CA brut produits &amp; sites'!G682:G693)</f>
        <v>1622.1200000000003</v>
      </c>
      <c r="H629" s="92">
        <f>SUM('CA brut produits &amp; sites'!H682:H693)</f>
        <v>396.43</v>
      </c>
      <c r="I629" s="92">
        <f>SUM('CA brut produits &amp; sites'!I682:I693)</f>
        <v>7769.0999999999995</v>
      </c>
      <c r="J629" s="92">
        <f>SUM('CA brut produits &amp; sites'!J682:J693)</f>
        <v>0</v>
      </c>
      <c r="K629" s="92">
        <f>SUM('CA brut produits &amp; sites'!K682:K693)</f>
        <v>89504.72</v>
      </c>
      <c r="L629" s="92">
        <f>SUM('CA brut produits &amp; sites'!L682:L693)</f>
        <v>1700</v>
      </c>
      <c r="M629" s="92">
        <f>SUM('CA brut produits &amp; sites'!M682:M693)</f>
        <v>0</v>
      </c>
      <c r="N629" s="92">
        <f>SUM('CA brut produits &amp; sites'!N682:N693)</f>
        <v>0</v>
      </c>
      <c r="O629" s="92">
        <f>SUM('CA brut produits &amp; sites'!O682:O693)</f>
        <v>0</v>
      </c>
      <c r="P629" s="93">
        <f>SUM('CA brut produits &amp; sites'!P682:P693)</f>
        <v>0</v>
      </c>
    </row>
    <row r="630" spans="1:16" x14ac:dyDescent="0.3">
      <c r="A630" s="87">
        <v>42736</v>
      </c>
      <c r="B630" s="146"/>
      <c r="C630" s="92">
        <f t="shared" si="99"/>
        <v>243501.66999999998</v>
      </c>
      <c r="D630" s="92">
        <f>SUM('CA brut produits &amp; sites'!D683:D694)</f>
        <v>116527.95999999999</v>
      </c>
      <c r="E630" s="92">
        <f>SUM('CA brut produits &amp; sites'!E683:E694)</f>
        <v>12346.73</v>
      </c>
      <c r="F630" s="92">
        <f>SUM('CA brut produits &amp; sites'!F683:F694)</f>
        <v>142.04000000000002</v>
      </c>
      <c r="G630" s="92">
        <f>SUM('CA brut produits &amp; sites'!G683:G694)</f>
        <v>1677.48</v>
      </c>
      <c r="H630" s="92">
        <f>SUM('CA brut produits &amp; sites'!H683:H694)</f>
        <v>455.15</v>
      </c>
      <c r="I630" s="92">
        <f>SUM('CA brut produits &amp; sites'!I683:I694)</f>
        <v>7417.6299999999992</v>
      </c>
      <c r="J630" s="92">
        <f>SUM('CA brut produits &amp; sites'!J683:J694)</f>
        <v>0</v>
      </c>
      <c r="K630" s="92">
        <f>SUM('CA brut produits &amp; sites'!K683:K694)</f>
        <v>103234.68000000001</v>
      </c>
      <c r="L630" s="92">
        <f>SUM('CA brut produits &amp; sites'!L683:L694)</f>
        <v>1700</v>
      </c>
      <c r="M630" s="92">
        <f>SUM('CA brut produits &amp; sites'!M683:M694)</f>
        <v>0</v>
      </c>
      <c r="N630" s="92">
        <f>SUM('CA brut produits &amp; sites'!N683:N694)</f>
        <v>0</v>
      </c>
      <c r="O630" s="92">
        <f>SUM('CA brut produits &amp; sites'!O683:O694)</f>
        <v>0</v>
      </c>
      <c r="P630" s="93">
        <f>SUM('CA brut produits &amp; sites'!P683:P694)</f>
        <v>0</v>
      </c>
    </row>
    <row r="631" spans="1:16" x14ac:dyDescent="0.3">
      <c r="A631" s="87">
        <v>42767</v>
      </c>
      <c r="B631" s="146"/>
      <c r="C631" s="92">
        <f t="shared" si="99"/>
        <v>249958.52000000002</v>
      </c>
      <c r="D631" s="92">
        <f>SUM('CA brut produits &amp; sites'!D684:D695)</f>
        <v>116215.34999999999</v>
      </c>
      <c r="E631" s="92">
        <f>SUM('CA brut produits &amp; sites'!E684:E695)</f>
        <v>12733.18</v>
      </c>
      <c r="F631" s="92">
        <f>SUM('CA brut produits &amp; sites'!F684:F695)</f>
        <v>142.04000000000002</v>
      </c>
      <c r="G631" s="92">
        <f>SUM('CA brut produits &amp; sites'!G684:G695)</f>
        <v>1679.7300000000005</v>
      </c>
      <c r="H631" s="92">
        <f>SUM('CA brut produits &amp; sites'!H684:H695)</f>
        <v>1321.3899999999999</v>
      </c>
      <c r="I631" s="92">
        <f>SUM('CA brut produits &amp; sites'!I684:I695)</f>
        <v>6464.22</v>
      </c>
      <c r="J631" s="92">
        <f>SUM('CA brut produits &amp; sites'!J684:J695)</f>
        <v>3024</v>
      </c>
      <c r="K631" s="92">
        <f>SUM('CA brut produits &amp; sites'!K684:K695)</f>
        <v>106678.61000000002</v>
      </c>
      <c r="L631" s="92">
        <f>SUM('CA brut produits &amp; sites'!L684:L695)</f>
        <v>1700</v>
      </c>
      <c r="M631" s="92">
        <f>SUM('CA brut produits &amp; sites'!M684:M695)</f>
        <v>0</v>
      </c>
      <c r="N631" s="92">
        <f>SUM('CA brut produits &amp; sites'!N684:N695)</f>
        <v>0</v>
      </c>
      <c r="O631" s="92">
        <f>SUM('CA brut produits &amp; sites'!O684:O695)</f>
        <v>0</v>
      </c>
      <c r="P631" s="93">
        <f>SUM('CA brut produits &amp; sites'!P684:P695)</f>
        <v>0</v>
      </c>
    </row>
    <row r="632" spans="1:16" x14ac:dyDescent="0.3">
      <c r="A632" s="87">
        <v>42795</v>
      </c>
      <c r="B632" s="146"/>
      <c r="C632" s="92">
        <f t="shared" si="99"/>
        <v>253921.95999999996</v>
      </c>
      <c r="D632" s="92">
        <f>SUM('CA brut produits &amp; sites'!D685:D696)</f>
        <v>115571.91999999998</v>
      </c>
      <c r="E632" s="92">
        <f>SUM('CA brut produits &amp; sites'!E685:E696)</f>
        <v>13562.449999999999</v>
      </c>
      <c r="F632" s="92">
        <f>SUM('CA brut produits &amp; sites'!F685:F696)</f>
        <v>142.04000000000002</v>
      </c>
      <c r="G632" s="92">
        <f>SUM('CA brut produits &amp; sites'!G685:G696)</f>
        <v>1676.3400000000004</v>
      </c>
      <c r="H632" s="92">
        <f>SUM('CA brut produits &amp; sites'!H685:H696)</f>
        <v>5109.34</v>
      </c>
      <c r="I632" s="92">
        <f>SUM('CA brut produits &amp; sites'!I685:I696)</f>
        <v>6376.9699999999993</v>
      </c>
      <c r="J632" s="92">
        <f>SUM('CA brut produits &amp; sites'!J685:J696)</f>
        <v>3024</v>
      </c>
      <c r="K632" s="92">
        <f>SUM('CA brut produits &amp; sites'!K685:K696)</f>
        <v>106758.9</v>
      </c>
      <c r="L632" s="92">
        <f>SUM('CA brut produits &amp; sites'!L685:L696)</f>
        <v>1700</v>
      </c>
      <c r="M632" s="92">
        <f>SUM('CA brut produits &amp; sites'!M685:M696)</f>
        <v>0</v>
      </c>
      <c r="N632" s="92">
        <f>SUM('CA brut produits &amp; sites'!N685:N696)</f>
        <v>0</v>
      </c>
      <c r="O632" s="92">
        <f>SUM('CA brut produits &amp; sites'!O685:O696)</f>
        <v>0</v>
      </c>
      <c r="P632" s="93">
        <f>SUM('CA brut produits &amp; sites'!P685:P696)</f>
        <v>0</v>
      </c>
    </row>
    <row r="633" spans="1:16" x14ac:dyDescent="0.3">
      <c r="A633" s="87">
        <v>42826</v>
      </c>
      <c r="B633" s="146"/>
      <c r="C633" s="92">
        <f t="shared" si="99"/>
        <v>253279.04999999996</v>
      </c>
      <c r="D633" s="92">
        <f>SUM('CA brut produits &amp; sites'!D686:D697)</f>
        <v>118850.70999999998</v>
      </c>
      <c r="E633" s="92">
        <f>SUM('CA brut produits &amp; sites'!E686:E697)</f>
        <v>11969.95</v>
      </c>
      <c r="F633" s="92">
        <f>SUM('CA brut produits &amp; sites'!F686:F697)</f>
        <v>142.04000000000002</v>
      </c>
      <c r="G633" s="92">
        <f>SUM('CA brut produits &amp; sites'!G686:G697)</f>
        <v>1376.09</v>
      </c>
      <c r="H633" s="92">
        <f>SUM('CA brut produits &amp; sites'!H686:H697)</f>
        <v>5931.5300000000007</v>
      </c>
      <c r="I633" s="92">
        <f>SUM('CA brut produits &amp; sites'!I686:I697)</f>
        <v>6275.7099999999991</v>
      </c>
      <c r="J633" s="92">
        <f>SUM('CA brut produits &amp; sites'!J686:J697)</f>
        <v>3024</v>
      </c>
      <c r="K633" s="92">
        <f>SUM('CA brut produits &amp; sites'!K686:K697)</f>
        <v>104009.01999999999</v>
      </c>
      <c r="L633" s="92">
        <f>SUM('CA brut produits &amp; sites'!L686:L697)</f>
        <v>1700</v>
      </c>
      <c r="M633" s="92">
        <f>SUM('CA brut produits &amp; sites'!M686:M697)</f>
        <v>0</v>
      </c>
      <c r="N633" s="92">
        <f>SUM('CA brut produits &amp; sites'!N686:N697)</f>
        <v>0</v>
      </c>
      <c r="O633" s="92">
        <f>SUM('CA brut produits &amp; sites'!O686:O697)</f>
        <v>0</v>
      </c>
      <c r="P633" s="93">
        <f>SUM('CA brut produits &amp; sites'!P686:P697)</f>
        <v>0</v>
      </c>
    </row>
    <row r="634" spans="1:16" x14ac:dyDescent="0.3">
      <c r="A634" s="87">
        <v>42856</v>
      </c>
      <c r="B634" s="146"/>
      <c r="C634" s="92">
        <f t="shared" si="99"/>
        <v>246528.39999999997</v>
      </c>
      <c r="D634" s="92">
        <f>SUM('CA brut produits &amp; sites'!D687:D698)</f>
        <v>118409.41999999998</v>
      </c>
      <c r="E634" s="92">
        <f>SUM('CA brut produits &amp; sites'!E687:E698)</f>
        <v>10966.710000000001</v>
      </c>
      <c r="F634" s="92">
        <f>SUM('CA brut produits &amp; sites'!F687:F698)</f>
        <v>119.94</v>
      </c>
      <c r="G634" s="92">
        <f>SUM('CA brut produits &amp; sites'!G687:G698)</f>
        <v>1365.93</v>
      </c>
      <c r="H634" s="92">
        <f>SUM('CA brut produits &amp; sites'!H687:H698)</f>
        <v>9998.44</v>
      </c>
      <c r="I634" s="92">
        <f>SUM('CA brut produits &amp; sites'!I687:I698)</f>
        <v>3153.8700000000008</v>
      </c>
      <c r="J634" s="92">
        <f>SUM('CA brut produits &amp; sites'!J687:J698)</f>
        <v>3024</v>
      </c>
      <c r="K634" s="92">
        <f>SUM('CA brut produits &amp; sites'!K687:K698)</f>
        <v>97790.089999999982</v>
      </c>
      <c r="L634" s="92">
        <f>SUM('CA brut produits &amp; sites'!L687:L698)</f>
        <v>1700</v>
      </c>
      <c r="M634" s="92">
        <f>SUM('CA brut produits &amp; sites'!M687:M698)</f>
        <v>0</v>
      </c>
      <c r="N634" s="92">
        <f>SUM('CA brut produits &amp; sites'!N687:N698)</f>
        <v>0</v>
      </c>
      <c r="O634" s="92">
        <f>SUM('CA brut produits &amp; sites'!O687:O698)</f>
        <v>0</v>
      </c>
      <c r="P634" s="93">
        <f>SUM('CA brut produits &amp; sites'!P687:P698)</f>
        <v>0</v>
      </c>
    </row>
    <row r="635" spans="1:16" x14ac:dyDescent="0.3">
      <c r="A635" s="87">
        <v>42887</v>
      </c>
      <c r="B635" s="146"/>
      <c r="C635" s="92">
        <f t="shared" si="99"/>
        <v>244754.41999999998</v>
      </c>
      <c r="D635" s="92">
        <f>SUM('CA brut produits &amp; sites'!D688:D699)</f>
        <v>116718.87999999999</v>
      </c>
      <c r="E635" s="92">
        <f>SUM('CA brut produits &amp; sites'!E688:E699)</f>
        <v>11161.35</v>
      </c>
      <c r="F635" s="92">
        <f>SUM('CA brut produits &amp; sites'!F688:F699)</f>
        <v>92.31</v>
      </c>
      <c r="G635" s="92">
        <f>SUM('CA brut produits &amp; sites'!G688:G699)</f>
        <v>1365.93</v>
      </c>
      <c r="H635" s="92">
        <f>SUM('CA brut produits &amp; sites'!H688:H699)</f>
        <v>10585.720000000001</v>
      </c>
      <c r="I635" s="92">
        <f>SUM('CA brut produits &amp; sites'!I688:I699)</f>
        <v>3032.3400000000006</v>
      </c>
      <c r="J635" s="92">
        <f>SUM('CA brut produits &amp; sites'!J688:J699)</f>
        <v>3024</v>
      </c>
      <c r="K635" s="92">
        <f>SUM('CA brut produits &amp; sites'!K688:K699)</f>
        <v>97073.889999999985</v>
      </c>
      <c r="L635" s="92">
        <f>SUM('CA brut produits &amp; sites'!L688:L699)</f>
        <v>1700</v>
      </c>
      <c r="M635" s="92">
        <f>SUM('CA brut produits &amp; sites'!M688:M699)</f>
        <v>0</v>
      </c>
      <c r="N635" s="92">
        <f>SUM('CA brut produits &amp; sites'!N688:N699)</f>
        <v>0</v>
      </c>
      <c r="O635" s="92">
        <f>SUM('CA brut produits &amp; sites'!O688:O699)</f>
        <v>0</v>
      </c>
      <c r="P635" s="93">
        <f>SUM('CA brut produits &amp; sites'!P688:P699)</f>
        <v>0</v>
      </c>
    </row>
    <row r="636" spans="1:16" x14ac:dyDescent="0.3">
      <c r="A636" s="87">
        <v>42917</v>
      </c>
      <c r="B636" s="146"/>
      <c r="C636" s="92">
        <f t="shared" si="99"/>
        <v>255424.81</v>
      </c>
      <c r="D636" s="92">
        <f>SUM('CA brut produits &amp; sites'!D689:D700)</f>
        <v>124453.15</v>
      </c>
      <c r="E636" s="92">
        <f>SUM('CA brut produits &amp; sites'!E689:E700)</f>
        <v>10601.42</v>
      </c>
      <c r="F636" s="92">
        <f>SUM('CA brut produits &amp; sites'!F689:F700)</f>
        <v>172.43</v>
      </c>
      <c r="G636" s="92">
        <f>SUM('CA brut produits &amp; sites'!G689:G700)</f>
        <v>924.82</v>
      </c>
      <c r="H636" s="92">
        <f>SUM('CA brut produits &amp; sites'!H689:H700)</f>
        <v>11173.000000000002</v>
      </c>
      <c r="I636" s="92">
        <f>SUM('CA brut produits &amp; sites'!I689:I700)</f>
        <v>2814.25</v>
      </c>
      <c r="J636" s="92">
        <f>SUM('CA brut produits &amp; sites'!J689:J700)</f>
        <v>3024</v>
      </c>
      <c r="K636" s="92">
        <f>SUM('CA brut produits &amp; sites'!K689:K700)</f>
        <v>100561.74</v>
      </c>
      <c r="L636" s="92">
        <f>SUM('CA brut produits &amp; sites'!L689:L700)</f>
        <v>1700</v>
      </c>
      <c r="M636" s="92">
        <f>SUM('CA brut produits &amp; sites'!M689:M700)</f>
        <v>0</v>
      </c>
      <c r="N636" s="92">
        <f>SUM('CA brut produits &amp; sites'!N689:N700)</f>
        <v>0</v>
      </c>
      <c r="O636" s="92">
        <f>SUM('CA brut produits &amp; sites'!O689:O700)</f>
        <v>0</v>
      </c>
      <c r="P636" s="93">
        <f>SUM('CA brut produits &amp; sites'!P689:P700)</f>
        <v>0</v>
      </c>
    </row>
    <row r="637" spans="1:16" x14ac:dyDescent="0.3">
      <c r="A637" s="87">
        <v>42948</v>
      </c>
      <c r="B637" s="146"/>
      <c r="C637" s="92">
        <f t="shared" si="99"/>
        <v>255643.64</v>
      </c>
      <c r="D637" s="92">
        <f>SUM('CA brut produits &amp; sites'!D690:D701)</f>
        <v>124293.56</v>
      </c>
      <c r="E637" s="92">
        <f>SUM('CA brut produits &amp; sites'!E690:E701)</f>
        <v>11520.19</v>
      </c>
      <c r="F637" s="92">
        <f>SUM('CA brut produits &amp; sites'!F690:F701)</f>
        <v>163.4</v>
      </c>
      <c r="G637" s="92">
        <f>SUM('CA brut produits &amp; sites'!G690:G701)</f>
        <v>1656.35</v>
      </c>
      <c r="H637" s="92">
        <f>SUM('CA brut produits &amp; sites'!H690:H701)</f>
        <v>11804.330000000002</v>
      </c>
      <c r="I637" s="92">
        <f>SUM('CA brut produits &amp; sites'!I690:I701)</f>
        <v>2231.5499999999997</v>
      </c>
      <c r="J637" s="92">
        <f>SUM('CA brut produits &amp; sites'!J690:J701)</f>
        <v>3024</v>
      </c>
      <c r="K637" s="92">
        <f>SUM('CA brut produits &amp; sites'!K690:K701)</f>
        <v>98486.960000000021</v>
      </c>
      <c r="L637" s="92">
        <f>SUM('CA brut produits &amp; sites'!L690:L701)</f>
        <v>850</v>
      </c>
      <c r="M637" s="92">
        <f>SUM('CA brut produits &amp; sites'!M690:M701)</f>
        <v>1613.3</v>
      </c>
      <c r="N637" s="92">
        <f>SUM('CA brut produits &amp; sites'!N690:N701)</f>
        <v>0</v>
      </c>
      <c r="O637" s="92">
        <f>SUM('CA brut produits &amp; sites'!O690:O701)</f>
        <v>0</v>
      </c>
      <c r="P637" s="93">
        <f>SUM('CA brut produits &amp; sites'!P690:P701)</f>
        <v>0</v>
      </c>
    </row>
    <row r="638" spans="1:16" x14ac:dyDescent="0.3">
      <c r="A638" s="87">
        <v>42979</v>
      </c>
      <c r="B638" s="146"/>
      <c r="C638" s="92">
        <f t="shared" si="99"/>
        <v>253994.53000000003</v>
      </c>
      <c r="D638" s="92">
        <f>SUM('CA brut produits &amp; sites'!D691:D702)</f>
        <v>122077.95000000001</v>
      </c>
      <c r="E638" s="92">
        <f>SUM('CA brut produits &amp; sites'!E691:E702)</f>
        <v>11488.26</v>
      </c>
      <c r="F638" s="92">
        <f>SUM('CA brut produits &amp; sites'!F691:F702)</f>
        <v>149.86000000000001</v>
      </c>
      <c r="G638" s="92">
        <f>SUM('CA brut produits &amp; sites'!G691:G702)</f>
        <v>1364.72</v>
      </c>
      <c r="H638" s="92">
        <f>SUM('CA brut produits &amp; sites'!H691:H702)</f>
        <v>13243.170000000002</v>
      </c>
      <c r="I638" s="92">
        <f>SUM('CA brut produits &amp; sites'!I691:I702)</f>
        <v>1517.97</v>
      </c>
      <c r="J638" s="92">
        <f>SUM('CA brut produits &amp; sites'!J691:J702)</f>
        <v>3024</v>
      </c>
      <c r="K638" s="92">
        <f>SUM('CA brut produits &amp; sites'!K691:K702)</f>
        <v>96429.660000000018</v>
      </c>
      <c r="L638" s="92">
        <f>SUM('CA brut produits &amp; sites'!L691:L702)</f>
        <v>850</v>
      </c>
      <c r="M638" s="92">
        <f>SUM('CA brut produits &amp; sites'!M691:M702)</f>
        <v>3848.9399999999996</v>
      </c>
      <c r="N638" s="92">
        <f>SUM('CA brut produits &amp; sites'!N691:N702)</f>
        <v>0</v>
      </c>
      <c r="O638" s="92">
        <f>SUM('CA brut produits &amp; sites'!O691:O702)</f>
        <v>0</v>
      </c>
      <c r="P638" s="93">
        <f>SUM('CA brut produits &amp; sites'!P691:P702)</f>
        <v>0</v>
      </c>
    </row>
    <row r="639" spans="1:16" x14ac:dyDescent="0.3">
      <c r="A639" s="87">
        <v>43009</v>
      </c>
      <c r="B639" s="146"/>
      <c r="C639" s="92">
        <f t="shared" si="99"/>
        <v>259610.96</v>
      </c>
      <c r="D639" s="92">
        <f>SUM('CA brut produits &amp; sites'!D692:D703)</f>
        <v>123874.88</v>
      </c>
      <c r="E639" s="92">
        <f>SUM('CA brut produits &amp; sites'!E692:E703)</f>
        <v>12562.65</v>
      </c>
      <c r="F639" s="92">
        <f>SUM('CA brut produits &amp; sites'!F692:F703)</f>
        <v>149.86000000000001</v>
      </c>
      <c r="G639" s="92">
        <f>SUM('CA brut produits &amp; sites'!G692:G703)</f>
        <v>1353.09</v>
      </c>
      <c r="H639" s="92">
        <f>SUM('CA brut produits &amp; sites'!H692:H703)</f>
        <v>13595.54</v>
      </c>
      <c r="I639" s="92">
        <f>SUM('CA brut produits &amp; sites'!I692:I703)</f>
        <v>1494.3700000000003</v>
      </c>
      <c r="J639" s="92">
        <f>SUM('CA brut produits &amp; sites'!J692:J703)</f>
        <v>3024</v>
      </c>
      <c r="K639" s="92">
        <f>SUM('CA brut produits &amp; sites'!K692:K703)</f>
        <v>98857.63</v>
      </c>
      <c r="L639" s="92">
        <f>SUM('CA brut produits &amp; sites'!L692:L703)</f>
        <v>850</v>
      </c>
      <c r="M639" s="92">
        <f>SUM('CA brut produits &amp; sites'!M692:M703)</f>
        <v>3848.9399999999996</v>
      </c>
      <c r="N639" s="92">
        <f>SUM('CA brut produits &amp; sites'!N692:N703)</f>
        <v>0</v>
      </c>
      <c r="O639" s="92">
        <f>SUM('CA brut produits &amp; sites'!O692:O703)</f>
        <v>0</v>
      </c>
      <c r="P639" s="93">
        <f>SUM('CA brut produits &amp; sites'!P692:P703)</f>
        <v>0</v>
      </c>
    </row>
    <row r="640" spans="1:16" x14ac:dyDescent="0.3">
      <c r="A640" s="87">
        <v>43040</v>
      </c>
      <c r="B640" s="146"/>
      <c r="C640" s="92">
        <f t="shared" si="99"/>
        <v>266738.14</v>
      </c>
      <c r="D640" s="92">
        <f>SUM('CA brut produits &amp; sites'!D693:D704)</f>
        <v>129066</v>
      </c>
      <c r="E640" s="92">
        <f>SUM('CA brut produits &amp; sites'!E693:E704)</f>
        <v>12676.159999999998</v>
      </c>
      <c r="F640" s="92">
        <f>SUM('CA brut produits &amp; sites'!F693:F704)</f>
        <v>82.88</v>
      </c>
      <c r="G640" s="92">
        <f>SUM('CA brut produits &amp; sites'!G693:G704)</f>
        <v>1654.51</v>
      </c>
      <c r="H640" s="92">
        <f>SUM('CA brut produits &amp; sites'!H693:H704)</f>
        <v>13595.54</v>
      </c>
      <c r="I640" s="92">
        <f>SUM('CA brut produits &amp; sites'!I693:I704)</f>
        <v>634.61</v>
      </c>
      <c r="J640" s="92">
        <f>SUM('CA brut produits &amp; sites'!J693:J704)</f>
        <v>3024</v>
      </c>
      <c r="K640" s="92">
        <f>SUM('CA brut produits &amp; sites'!K693:K704)</f>
        <v>101305.5</v>
      </c>
      <c r="L640" s="92">
        <f>SUM('CA brut produits &amp; sites'!L693:L704)</f>
        <v>850</v>
      </c>
      <c r="M640" s="92">
        <f>SUM('CA brut produits &amp; sites'!M693:M704)</f>
        <v>3848.9399999999996</v>
      </c>
      <c r="N640" s="92">
        <f>SUM('CA brut produits &amp; sites'!N693:N704)</f>
        <v>0</v>
      </c>
      <c r="O640" s="92">
        <f>SUM('CA brut produits &amp; sites'!O693:O704)</f>
        <v>0</v>
      </c>
      <c r="P640" s="93">
        <f>SUM('CA brut produits &amp; sites'!P693:P704)</f>
        <v>0</v>
      </c>
    </row>
    <row r="641" spans="1:16" x14ac:dyDescent="0.3">
      <c r="A641" s="87">
        <v>43070</v>
      </c>
      <c r="B641" s="146"/>
      <c r="C641" s="92">
        <f t="shared" si="99"/>
        <v>264194.85000000003</v>
      </c>
      <c r="D641" s="92">
        <f>SUM('CA brut produits &amp; sites'!D694:D705)</f>
        <v>128471.27</v>
      </c>
      <c r="E641" s="92">
        <f>SUM('CA brut produits &amp; sites'!E694:E705)</f>
        <v>11664.3</v>
      </c>
      <c r="F641" s="92">
        <f>SUM('CA brut produits &amp; sites'!F694:F705)</f>
        <v>82.88</v>
      </c>
      <c r="G641" s="92">
        <f>SUM('CA brut produits &amp; sites'!G694:G705)</f>
        <v>1519.17</v>
      </c>
      <c r="H641" s="92">
        <f>SUM('CA brut produits &amp; sites'!H694:H705)</f>
        <v>13595.54</v>
      </c>
      <c r="I641" s="92">
        <f>SUM('CA brut produits &amp; sites'!I694:I705)</f>
        <v>583.16000000000008</v>
      </c>
      <c r="J641" s="92">
        <f>SUM('CA brut produits &amp; sites'!J694:J705)</f>
        <v>3024</v>
      </c>
      <c r="K641" s="92">
        <f>SUM('CA brut produits &amp; sites'!K694:K705)</f>
        <v>101405.59</v>
      </c>
      <c r="L641" s="92">
        <f>SUM('CA brut produits &amp; sites'!L694:L705)</f>
        <v>0</v>
      </c>
      <c r="M641" s="92">
        <f>SUM('CA brut produits &amp; sites'!M694:M705)</f>
        <v>3848.9399999999996</v>
      </c>
      <c r="N641" s="92">
        <f>SUM('CA brut produits &amp; sites'!N694:N705)</f>
        <v>0</v>
      </c>
      <c r="O641" s="92">
        <f>SUM('CA brut produits &amp; sites'!O694:O705)</f>
        <v>0</v>
      </c>
      <c r="P641" s="93">
        <f>SUM('CA brut produits &amp; sites'!P694:P705)</f>
        <v>0</v>
      </c>
    </row>
    <row r="642" spans="1:16" x14ac:dyDescent="0.3">
      <c r="A642" s="87">
        <v>43101</v>
      </c>
      <c r="B642" s="146"/>
      <c r="C642" s="92">
        <f t="shared" ref="C642:C669" si="100">SUM(D642:P642)</f>
        <v>253842.78</v>
      </c>
      <c r="D642" s="92">
        <f>SUM('CA brut produits &amp; sites'!D695:D706)</f>
        <v>128406.88</v>
      </c>
      <c r="E642" s="92">
        <f>SUM('CA brut produits &amp; sites'!E695:E706)</f>
        <v>11034.789999999997</v>
      </c>
      <c r="F642" s="92">
        <f>SUM('CA brut produits &amp; sites'!F695:F706)</f>
        <v>110.47</v>
      </c>
      <c r="G642" s="92">
        <f>SUM('CA brut produits &amp; sites'!G695:G706)</f>
        <v>1442.7700000000002</v>
      </c>
      <c r="H642" s="92">
        <f>SUM('CA brut produits &amp; sites'!H695:H706)</f>
        <v>13492.77</v>
      </c>
      <c r="I642" s="92">
        <f>SUM('CA brut produits &amp; sites'!I695:I706)</f>
        <v>598.62000000000012</v>
      </c>
      <c r="J642" s="92">
        <f>SUM('CA brut produits &amp; sites'!J695:J706)</f>
        <v>3024</v>
      </c>
      <c r="K642" s="92">
        <f>SUM('CA brut produits &amp; sites'!K695:K706)</f>
        <v>91883.540000000008</v>
      </c>
      <c r="L642" s="92">
        <f>SUM('CA brut produits &amp; sites'!L695:L706)</f>
        <v>0</v>
      </c>
      <c r="M642" s="92">
        <f>SUM('CA brut produits &amp; sites'!M695:M706)</f>
        <v>3848.9399999999996</v>
      </c>
      <c r="N642" s="92">
        <f>SUM('CA brut produits &amp; sites'!N695:N706)</f>
        <v>0</v>
      </c>
      <c r="O642" s="92">
        <f>SUM('CA brut produits &amp; sites'!O695:O706)</f>
        <v>0</v>
      </c>
      <c r="P642" s="93">
        <f>SUM('CA brut produits &amp; sites'!P695:P706)</f>
        <v>0</v>
      </c>
    </row>
    <row r="643" spans="1:16" x14ac:dyDescent="0.3">
      <c r="A643" s="87">
        <v>43132</v>
      </c>
      <c r="B643" s="146"/>
      <c r="C643" s="92">
        <f t="shared" si="100"/>
        <v>248915.78999999998</v>
      </c>
      <c r="D643" s="92">
        <f>SUM('CA brut produits &amp; sites'!D696:D707)</f>
        <v>128016.38999999998</v>
      </c>
      <c r="E643" s="92">
        <f>SUM('CA brut produits &amp; sites'!E696:E707)</f>
        <v>11363.14</v>
      </c>
      <c r="F643" s="92">
        <f>SUM('CA brut produits &amp; sites'!F696:F707)</f>
        <v>1502.63</v>
      </c>
      <c r="G643" s="92">
        <f>SUM('CA brut produits &amp; sites'!G696:G707)</f>
        <v>1616.6200000000001</v>
      </c>
      <c r="H643" s="92">
        <f>SUM('CA brut produits &amp; sites'!H696:H707)</f>
        <v>12574.390000000001</v>
      </c>
      <c r="I643" s="92">
        <f>SUM('CA brut produits &amp; sites'!I696:I707)</f>
        <v>558.58000000000004</v>
      </c>
      <c r="J643" s="92">
        <f>SUM('CA brut produits &amp; sites'!J696:J707)</f>
        <v>0</v>
      </c>
      <c r="K643" s="92">
        <f>SUM('CA brut produits &amp; sites'!K696:K707)</f>
        <v>89435.099999999991</v>
      </c>
      <c r="L643" s="92">
        <f>SUM('CA brut produits &amp; sites'!L696:L707)</f>
        <v>0</v>
      </c>
      <c r="M643" s="92">
        <f>SUM('CA brut produits &amp; sites'!M696:M707)</f>
        <v>3848.9399999999996</v>
      </c>
      <c r="N643" s="92">
        <f>SUM('CA brut produits &amp; sites'!N696:N707)</f>
        <v>0</v>
      </c>
      <c r="O643" s="92">
        <f>SUM('CA brut produits &amp; sites'!O696:O707)</f>
        <v>0</v>
      </c>
      <c r="P643" s="93">
        <f>SUM('CA brut produits &amp; sites'!P696:P707)</f>
        <v>0</v>
      </c>
    </row>
    <row r="644" spans="1:16" x14ac:dyDescent="0.3">
      <c r="A644" s="87">
        <v>43160</v>
      </c>
      <c r="B644" s="146"/>
      <c r="C644" s="92">
        <f t="shared" si="100"/>
        <v>238438.49</v>
      </c>
      <c r="D644" s="92">
        <f>SUM('CA brut produits &amp; sites'!D697:D708)</f>
        <v>128106</v>
      </c>
      <c r="E644" s="92">
        <f>SUM('CA brut produits &amp; sites'!E697:E708)</f>
        <v>9575.14</v>
      </c>
      <c r="F644" s="92">
        <f>SUM('CA brut produits &amp; sites'!F697:F708)</f>
        <v>1502.63</v>
      </c>
      <c r="G644" s="92">
        <f>SUM('CA brut produits &amp; sites'!G697:G708)</f>
        <v>1502.97</v>
      </c>
      <c r="H644" s="92">
        <f>SUM('CA brut produits &amp; sites'!H697:H708)</f>
        <v>9006.39</v>
      </c>
      <c r="I644" s="92">
        <f>SUM('CA brut produits &amp; sites'!I697:I708)</f>
        <v>580.55000000000007</v>
      </c>
      <c r="J644" s="92">
        <f>SUM('CA brut produits &amp; sites'!J697:J708)</f>
        <v>0</v>
      </c>
      <c r="K644" s="92">
        <f>SUM('CA brut produits &amp; sites'!K697:K708)</f>
        <v>84315.87</v>
      </c>
      <c r="L644" s="92">
        <f>SUM('CA brut produits &amp; sites'!L697:L708)</f>
        <v>0</v>
      </c>
      <c r="M644" s="92">
        <f>SUM('CA brut produits &amp; sites'!M697:M708)</f>
        <v>3848.9399999999996</v>
      </c>
      <c r="N644" s="92">
        <f>SUM('CA brut produits &amp; sites'!N697:N708)</f>
        <v>0</v>
      </c>
      <c r="O644" s="92">
        <f>SUM('CA brut produits &amp; sites'!O697:O708)</f>
        <v>0</v>
      </c>
      <c r="P644" s="93">
        <f>SUM('CA brut produits &amp; sites'!P697:P708)</f>
        <v>0</v>
      </c>
    </row>
    <row r="645" spans="1:16" x14ac:dyDescent="0.3">
      <c r="A645" s="87">
        <v>43191</v>
      </c>
      <c r="B645" s="146"/>
      <c r="C645" s="92">
        <f t="shared" si="100"/>
        <v>231221.56</v>
      </c>
      <c r="D645" s="92">
        <f>SUM('CA brut produits &amp; sites'!D698:D709)</f>
        <v>124241.91999999998</v>
      </c>
      <c r="E645" s="92">
        <f>SUM('CA brut produits &amp; sites'!E698:E709)</f>
        <v>9419.2099999999991</v>
      </c>
      <c r="F645" s="92">
        <f>SUM('CA brut produits &amp; sites'!F698:F709)</f>
        <v>2182.63</v>
      </c>
      <c r="G645" s="92">
        <f>SUM('CA brut produits &amp; sites'!G698:G709)</f>
        <v>1540.46</v>
      </c>
      <c r="H645" s="92">
        <f>SUM('CA brut produits &amp; sites'!H698:H709)</f>
        <v>8184.2</v>
      </c>
      <c r="I645" s="92">
        <f>SUM('CA brut produits &amp; sites'!I698:I709)</f>
        <v>581.81000000000006</v>
      </c>
      <c r="J645" s="92">
        <f>SUM('CA brut produits &amp; sites'!J698:J709)</f>
        <v>0</v>
      </c>
      <c r="K645" s="92">
        <f>SUM('CA brut produits &amp; sites'!K698:K709)</f>
        <v>81222.39</v>
      </c>
      <c r="L645" s="92">
        <f>SUM('CA brut produits &amp; sites'!L698:L709)</f>
        <v>0</v>
      </c>
      <c r="M645" s="92">
        <f>SUM('CA brut produits &amp; sites'!M698:M709)</f>
        <v>3848.9399999999996</v>
      </c>
      <c r="N645" s="92">
        <f>SUM('CA brut produits &amp; sites'!N698:N709)</f>
        <v>0</v>
      </c>
      <c r="O645" s="92">
        <f>SUM('CA brut produits &amp; sites'!O698:O709)</f>
        <v>0</v>
      </c>
      <c r="P645" s="93">
        <f>SUM('CA brut produits &amp; sites'!P698:P709)</f>
        <v>0</v>
      </c>
    </row>
    <row r="646" spans="1:16" x14ac:dyDescent="0.3">
      <c r="A646" s="87">
        <v>43221</v>
      </c>
      <c r="B646" s="146"/>
      <c r="C646" s="92">
        <f t="shared" si="100"/>
        <v>234885.3</v>
      </c>
      <c r="D646" s="92">
        <f>SUM('CA brut produits &amp; sites'!D699:D710)</f>
        <v>128482.60999999999</v>
      </c>
      <c r="E646" s="92">
        <f>SUM('CA brut produits &amp; sites'!E699:E710)</f>
        <v>9388.74</v>
      </c>
      <c r="F646" s="92">
        <f>SUM('CA brut produits &amp; sites'!F699:F710)</f>
        <v>2680.36</v>
      </c>
      <c r="G646" s="92">
        <f>SUM('CA brut produits &amp; sites'!G699:G710)</f>
        <v>1540.46</v>
      </c>
      <c r="H646" s="92">
        <f>SUM('CA brut produits &amp; sites'!H699:H710)</f>
        <v>4117.29</v>
      </c>
      <c r="I646" s="92">
        <f>SUM('CA brut produits &amp; sites'!I699:I710)</f>
        <v>598.66000000000008</v>
      </c>
      <c r="J646" s="92">
        <f>SUM('CA brut produits &amp; sites'!J699:J710)</f>
        <v>0</v>
      </c>
      <c r="K646" s="92">
        <f>SUM('CA brut produits &amp; sites'!K699:K710)</f>
        <v>84228.24000000002</v>
      </c>
      <c r="L646" s="92">
        <f>SUM('CA brut produits &amp; sites'!L699:L710)</f>
        <v>0</v>
      </c>
      <c r="M646" s="92">
        <f>SUM('CA brut produits &amp; sites'!M699:M710)</f>
        <v>3848.9399999999996</v>
      </c>
      <c r="N646" s="92">
        <f>SUM('CA brut produits &amp; sites'!N699:N710)</f>
        <v>0</v>
      </c>
      <c r="O646" s="92">
        <f>SUM('CA brut produits &amp; sites'!O699:O710)</f>
        <v>0</v>
      </c>
      <c r="P646" s="93">
        <f>SUM('CA brut produits &amp; sites'!P699:P710)</f>
        <v>0</v>
      </c>
    </row>
    <row r="647" spans="1:16" x14ac:dyDescent="0.3">
      <c r="A647" s="87">
        <v>43252</v>
      </c>
      <c r="B647" s="146"/>
      <c r="C647" s="92">
        <f t="shared" si="100"/>
        <v>242797.93000000002</v>
      </c>
      <c r="D647" s="92">
        <f>SUM('CA brut produits &amp; sites'!D700:D711)</f>
        <v>129562.13</v>
      </c>
      <c r="E647" s="92">
        <f>SUM('CA brut produits &amp; sites'!E700:E711)</f>
        <v>8710.2000000000025</v>
      </c>
      <c r="F647" s="92">
        <f>SUM('CA brut produits &amp; sites'!F700:F711)</f>
        <v>3560.36</v>
      </c>
      <c r="G647" s="92">
        <f>SUM('CA brut produits &amp; sites'!G700:G711)</f>
        <v>1602.55</v>
      </c>
      <c r="H647" s="92">
        <f>SUM('CA brut produits &amp; sites'!H700:H711)</f>
        <v>3530.01</v>
      </c>
      <c r="I647" s="92">
        <f>SUM('CA brut produits &amp; sites'!I700:I711)</f>
        <v>574.79</v>
      </c>
      <c r="J647" s="92">
        <f>SUM('CA brut produits &amp; sites'!J700:J711)</f>
        <v>0</v>
      </c>
      <c r="K647" s="92">
        <f>SUM('CA brut produits &amp; sites'!K700:K711)</f>
        <v>91408.950000000012</v>
      </c>
      <c r="L647" s="92">
        <f>SUM('CA brut produits &amp; sites'!L700:L711)</f>
        <v>0</v>
      </c>
      <c r="M647" s="92">
        <f>SUM('CA brut produits &amp; sites'!M700:M711)</f>
        <v>3848.9399999999996</v>
      </c>
      <c r="N647" s="92">
        <f>SUM('CA brut produits &amp; sites'!N700:N711)</f>
        <v>0</v>
      </c>
      <c r="O647" s="92">
        <f>SUM('CA brut produits &amp; sites'!O700:O711)</f>
        <v>0</v>
      </c>
      <c r="P647" s="93">
        <f>SUM('CA brut produits &amp; sites'!P700:P711)</f>
        <v>0</v>
      </c>
    </row>
    <row r="648" spans="1:16" x14ac:dyDescent="0.3">
      <c r="A648" s="87">
        <v>43282</v>
      </c>
      <c r="B648" s="146"/>
      <c r="C648" s="92">
        <f t="shared" si="100"/>
        <v>237528.10000000003</v>
      </c>
      <c r="D648" s="92">
        <f>SUM('CA brut produits &amp; sites'!D701:D712)</f>
        <v>123961.87999999999</v>
      </c>
      <c r="E648" s="92">
        <f>SUM('CA brut produits &amp; sites'!E701:E712)</f>
        <v>8414.5700000000015</v>
      </c>
      <c r="F648" s="92">
        <f>SUM('CA brut produits &amp; sites'!F701:F712)</f>
        <v>3477.48</v>
      </c>
      <c r="G648" s="92">
        <f>SUM('CA brut produits &amp; sites'!G701:G712)</f>
        <v>1444.3200000000002</v>
      </c>
      <c r="H648" s="92">
        <f>SUM('CA brut produits &amp; sites'!H701:H712)</f>
        <v>2966.7300000000005</v>
      </c>
      <c r="I648" s="92">
        <f>SUM('CA brut produits &amp; sites'!I701:I712)</f>
        <v>584.93000000000006</v>
      </c>
      <c r="J648" s="92">
        <f>SUM('CA brut produits &amp; sites'!J701:J712)</f>
        <v>0</v>
      </c>
      <c r="K648" s="92">
        <f>SUM('CA brut produits &amp; sites'!K701:K712)</f>
        <v>92829.250000000015</v>
      </c>
      <c r="L648" s="92">
        <f>SUM('CA brut produits &amp; sites'!L701:L712)</f>
        <v>0</v>
      </c>
      <c r="M648" s="92">
        <f>SUM('CA brut produits &amp; sites'!M701:M712)</f>
        <v>3848.9399999999996</v>
      </c>
      <c r="N648" s="92">
        <f>SUM('CA brut produits &amp; sites'!N701:N712)</f>
        <v>0</v>
      </c>
      <c r="O648" s="92">
        <f>SUM('CA brut produits &amp; sites'!O701:O712)</f>
        <v>0</v>
      </c>
      <c r="P648" s="93">
        <f>SUM('CA brut produits &amp; sites'!P701:P712)</f>
        <v>0</v>
      </c>
    </row>
    <row r="649" spans="1:16" x14ac:dyDescent="0.3">
      <c r="A649" s="87">
        <v>43313</v>
      </c>
      <c r="B649" s="146"/>
      <c r="C649" s="92">
        <f t="shared" si="100"/>
        <v>233435.96999999997</v>
      </c>
      <c r="D649" s="92">
        <f>SUM('CA brut produits &amp; sites'!D702:D713)</f>
        <v>119901.13999999998</v>
      </c>
      <c r="E649" s="92">
        <f>SUM('CA brut produits &amp; sites'!E702:E713)</f>
        <v>6327.43</v>
      </c>
      <c r="F649" s="92">
        <f>SUM('CA brut produits &amp; sites'!F702:F713)</f>
        <v>3477.48</v>
      </c>
      <c r="G649" s="92">
        <f>SUM('CA brut produits &amp; sites'!G702:G713)</f>
        <v>706.77</v>
      </c>
      <c r="H649" s="92">
        <f>SUM('CA brut produits &amp; sites'!H702:H713)</f>
        <v>2335.3999999999996</v>
      </c>
      <c r="I649" s="92">
        <f>SUM('CA brut produits &amp; sites'!I702:I713)</f>
        <v>538.2700000000001</v>
      </c>
      <c r="J649" s="92">
        <f>SUM('CA brut produits &amp; sites'!J702:J713)</f>
        <v>0</v>
      </c>
      <c r="K649" s="92">
        <f>SUM('CA brut produits &amp; sites'!K702:K713)</f>
        <v>97913.84</v>
      </c>
      <c r="L649" s="92">
        <f>SUM('CA brut produits &amp; sites'!L702:L713)</f>
        <v>0</v>
      </c>
      <c r="M649" s="92">
        <f>SUM('CA brut produits &amp; sites'!M702:M713)</f>
        <v>2235.64</v>
      </c>
      <c r="N649" s="92">
        <f>SUM('CA brut produits &amp; sites'!N702:N713)</f>
        <v>0</v>
      </c>
      <c r="O649" s="92">
        <f>SUM('CA brut produits &amp; sites'!O702:O713)</f>
        <v>0</v>
      </c>
      <c r="P649" s="93">
        <f>SUM('CA brut produits &amp; sites'!P702:P713)</f>
        <v>0</v>
      </c>
    </row>
    <row r="650" spans="1:16" x14ac:dyDescent="0.3">
      <c r="A650" s="87">
        <v>43344</v>
      </c>
      <c r="B650" s="146"/>
      <c r="C650" s="92">
        <f t="shared" si="100"/>
        <v>239219.74000000002</v>
      </c>
      <c r="D650" s="92">
        <f>SUM('CA brut produits &amp; sites'!D703:D714)</f>
        <v>120590.53000000001</v>
      </c>
      <c r="E650" s="92">
        <f>SUM('CA brut produits &amp; sites'!E703:E714)</f>
        <v>6204.97</v>
      </c>
      <c r="F650" s="92">
        <f>SUM('CA brut produits &amp; sites'!F703:F714)</f>
        <v>3816.69</v>
      </c>
      <c r="G650" s="92">
        <f>SUM('CA brut produits &amp; sites'!G703:G714)</f>
        <v>712.04</v>
      </c>
      <c r="H650" s="92">
        <f>SUM('CA brut produits &amp; sites'!H703:H714)</f>
        <v>896.56</v>
      </c>
      <c r="I650" s="92">
        <f>SUM('CA brut produits &amp; sites'!I703:I714)</f>
        <v>685.1</v>
      </c>
      <c r="J650" s="92">
        <f>SUM('CA brut produits &amp; sites'!J703:J714)</f>
        <v>0</v>
      </c>
      <c r="K650" s="92">
        <f>SUM('CA brut produits &amp; sites'!K703:K714)</f>
        <v>106313.85</v>
      </c>
      <c r="L650" s="92">
        <f>SUM('CA brut produits &amp; sites'!L703:L714)</f>
        <v>0</v>
      </c>
      <c r="M650" s="92">
        <f>SUM('CA brut produits &amp; sites'!M703:M714)</f>
        <v>0</v>
      </c>
      <c r="N650" s="92">
        <f>SUM('CA brut produits &amp; sites'!N703:N714)</f>
        <v>0</v>
      </c>
      <c r="O650" s="92">
        <f>SUM('CA brut produits &amp; sites'!O703:O714)</f>
        <v>0</v>
      </c>
      <c r="P650" s="93">
        <f>SUM('CA brut produits &amp; sites'!P703:P714)</f>
        <v>0</v>
      </c>
    </row>
    <row r="651" spans="1:16" x14ac:dyDescent="0.3">
      <c r="A651" s="87">
        <v>43374</v>
      </c>
      <c r="B651" s="146"/>
      <c r="C651" s="92">
        <f t="shared" si="100"/>
        <v>237422.39999999997</v>
      </c>
      <c r="D651" s="92">
        <f>SUM('CA brut produits &amp; sites'!D704:D715)</f>
        <v>119458.66999999998</v>
      </c>
      <c r="E651" s="92">
        <f>SUM('CA brut produits &amp; sites'!E704:E715)</f>
        <v>4976.68</v>
      </c>
      <c r="F651" s="92">
        <f>SUM('CA brut produits &amp; sites'!F704:F715)</f>
        <v>4614.05</v>
      </c>
      <c r="G651" s="92">
        <f>SUM('CA brut produits &amp; sites'!G704:G715)</f>
        <v>687.79</v>
      </c>
      <c r="H651" s="92">
        <f>SUM('CA brut produits &amp; sites'!H704:H715)</f>
        <v>412.05</v>
      </c>
      <c r="I651" s="92">
        <f>SUM('CA brut produits &amp; sites'!I704:I715)</f>
        <v>703.2600000000001</v>
      </c>
      <c r="J651" s="92">
        <f>SUM('CA brut produits &amp; sites'!J704:J715)</f>
        <v>0</v>
      </c>
      <c r="K651" s="92">
        <f>SUM('CA brut produits &amp; sites'!K704:K715)</f>
        <v>106569.9</v>
      </c>
      <c r="L651" s="92">
        <f>SUM('CA brut produits &amp; sites'!L704:L715)</f>
        <v>0</v>
      </c>
      <c r="M651" s="92">
        <f>SUM('CA brut produits &amp; sites'!M704:M715)</f>
        <v>0</v>
      </c>
      <c r="N651" s="92">
        <f>SUM('CA brut produits &amp; sites'!N704:N715)</f>
        <v>0</v>
      </c>
      <c r="O651" s="92">
        <f>SUM('CA brut produits &amp; sites'!O704:O715)</f>
        <v>0</v>
      </c>
      <c r="P651" s="93">
        <f>SUM('CA brut produits &amp; sites'!P704:P715)</f>
        <v>0</v>
      </c>
    </row>
    <row r="652" spans="1:16" x14ac:dyDescent="0.3">
      <c r="A652" s="94">
        <v>43405</v>
      </c>
      <c r="B652" s="146"/>
      <c r="C652" s="92">
        <f t="shared" si="100"/>
        <v>239893.13</v>
      </c>
      <c r="D652" s="92">
        <f>SUM('CA brut produits &amp; sites'!D705:D716)</f>
        <v>116406.71000000002</v>
      </c>
      <c r="E652" s="92">
        <f>SUM('CA brut produits &amp; sites'!E705:E716)</f>
        <v>3084.8900000000003</v>
      </c>
      <c r="F652" s="92">
        <f>SUM('CA brut produits &amp; sites'!F705:F716)</f>
        <v>5518.05</v>
      </c>
      <c r="G652" s="92">
        <f>SUM('CA brut produits &amp; sites'!G705:G716)</f>
        <v>398.41</v>
      </c>
      <c r="H652" s="92">
        <f>SUM('CA brut produits &amp; sites'!H705:H716)</f>
        <v>412.05</v>
      </c>
      <c r="I652" s="92">
        <f>SUM('CA brut produits &amp; sites'!I705:I716)</f>
        <v>2982.7599999999998</v>
      </c>
      <c r="J652" s="92">
        <f>SUM('CA brut produits &amp; sites'!J705:J716)</f>
        <v>0</v>
      </c>
      <c r="K652" s="92">
        <f>SUM('CA brut produits &amp; sites'!K705:K716)</f>
        <v>111090.26</v>
      </c>
      <c r="L652" s="92">
        <f>SUM('CA brut produits &amp; sites'!L705:L716)</f>
        <v>0</v>
      </c>
      <c r="M652" s="92">
        <f>SUM('CA brut produits &amp; sites'!M705:M716)</f>
        <v>0</v>
      </c>
      <c r="N652" s="92">
        <f>SUM('CA brut produits &amp; sites'!N705:N716)</f>
        <v>0</v>
      </c>
      <c r="O652" s="92">
        <f>SUM('CA brut produits &amp; sites'!O705:O716)</f>
        <v>0</v>
      </c>
      <c r="P652" s="93">
        <f>SUM('CA brut produits &amp; sites'!P705:P716)</f>
        <v>0</v>
      </c>
    </row>
    <row r="653" spans="1:16" x14ac:dyDescent="0.3">
      <c r="A653" s="94">
        <v>43435</v>
      </c>
      <c r="B653" s="146"/>
      <c r="C653" s="92">
        <f t="shared" si="100"/>
        <v>237652.41999999998</v>
      </c>
      <c r="D653" s="92">
        <f>SUM('CA brut produits &amp; sites'!D706:D717)</f>
        <v>113235.65000000001</v>
      </c>
      <c r="E653" s="92">
        <f>SUM('CA brut produits &amp; sites'!E706:E717)</f>
        <v>3048.78</v>
      </c>
      <c r="F653" s="92">
        <f>SUM('CA brut produits &amp; sites'!F706:F717)</f>
        <v>5518.05</v>
      </c>
      <c r="G653" s="92">
        <f>SUM('CA brut produits &amp; sites'!G706:G717)</f>
        <v>392.64000000000004</v>
      </c>
      <c r="H653" s="92">
        <f>SUM('CA brut produits &amp; sites'!H706:H717)</f>
        <v>880</v>
      </c>
      <c r="I653" s="92">
        <f>SUM('CA brut produits &amp; sites'!I706:I717)</f>
        <v>3003.23</v>
      </c>
      <c r="J653" s="92">
        <f>SUM('CA brut produits &amp; sites'!J706:J717)</f>
        <v>0</v>
      </c>
      <c r="K653" s="92">
        <f>SUM('CA brut produits &amp; sites'!K706:K717)</f>
        <v>111574.06999999999</v>
      </c>
      <c r="L653" s="92">
        <f>SUM('CA brut produits &amp; sites'!L706:L717)</f>
        <v>0</v>
      </c>
      <c r="M653" s="92">
        <f>SUM('CA brut produits &amp; sites'!M706:M717)</f>
        <v>0</v>
      </c>
      <c r="N653" s="92">
        <f>SUM('CA brut produits &amp; sites'!N706:N717)</f>
        <v>0</v>
      </c>
      <c r="O653" s="92">
        <f>SUM('CA brut produits &amp; sites'!O706:O717)</f>
        <v>0</v>
      </c>
      <c r="P653" s="93">
        <f>SUM('CA brut produits &amp; sites'!P706:P717)</f>
        <v>0</v>
      </c>
    </row>
    <row r="654" spans="1:16" x14ac:dyDescent="0.3">
      <c r="A654" s="94">
        <v>43466</v>
      </c>
      <c r="B654" s="146"/>
      <c r="C654" s="92">
        <f t="shared" si="100"/>
        <v>234964.5</v>
      </c>
      <c r="D654" s="92">
        <f>SUM('CA brut produits &amp; sites'!D707:D718)</f>
        <v>111035.83000000002</v>
      </c>
      <c r="E654" s="92">
        <f>SUM('CA brut produits &amp; sites'!E707:E718)</f>
        <v>3141.5500000000006</v>
      </c>
      <c r="F654" s="92">
        <f>SUM('CA brut produits &amp; sites'!F707:F718)</f>
        <v>5898.46</v>
      </c>
      <c r="G654" s="92">
        <f>SUM('CA brut produits &amp; sites'!G707:G718)</f>
        <v>393.08</v>
      </c>
      <c r="H654" s="92">
        <f>SUM('CA brut produits &amp; sites'!H707:H718)</f>
        <v>880</v>
      </c>
      <c r="I654" s="92">
        <f>SUM('CA brut produits &amp; sites'!I707:I718)</f>
        <v>3031.42</v>
      </c>
      <c r="J654" s="92">
        <f>SUM('CA brut produits &amp; sites'!J707:J718)</f>
        <v>0</v>
      </c>
      <c r="K654" s="92">
        <f>SUM('CA brut produits &amp; sites'!K707:K718)</f>
        <v>110584.15999999999</v>
      </c>
      <c r="L654" s="92">
        <f>SUM('CA brut produits &amp; sites'!L707:L718)</f>
        <v>0</v>
      </c>
      <c r="M654" s="92">
        <f>SUM('CA brut produits &amp; sites'!M707:M718)</f>
        <v>0</v>
      </c>
      <c r="N654" s="92">
        <f>SUM('CA brut produits &amp; sites'!N707:N718)</f>
        <v>0</v>
      </c>
      <c r="O654" s="92">
        <f>SUM('CA brut produits &amp; sites'!O707:O718)</f>
        <v>0</v>
      </c>
      <c r="P654" s="93">
        <f>SUM('CA brut produits &amp; sites'!P707:P718)</f>
        <v>0</v>
      </c>
    </row>
    <row r="655" spans="1:16" x14ac:dyDescent="0.3">
      <c r="A655" s="94">
        <v>43497</v>
      </c>
      <c r="B655" s="146"/>
      <c r="C655" s="92">
        <f t="shared" si="100"/>
        <v>231328.53999999998</v>
      </c>
      <c r="D655" s="92">
        <f>SUM('CA brut produits &amp; sites'!D708:D719)</f>
        <v>107073.92000000001</v>
      </c>
      <c r="E655" s="92">
        <f>SUM('CA brut produits &amp; sites'!E708:E719)</f>
        <v>2317.17</v>
      </c>
      <c r="F655" s="92">
        <f>SUM('CA brut produits &amp; sites'!F708:F719)</f>
        <v>4690.3</v>
      </c>
      <c r="G655" s="92">
        <f>SUM('CA brut produits &amp; sites'!G708:G719)</f>
        <v>233.53</v>
      </c>
      <c r="H655" s="92">
        <f>SUM('CA brut produits &amp; sites'!H708:H719)</f>
        <v>800</v>
      </c>
      <c r="I655" s="92">
        <f>SUM('CA brut produits &amp; sites'!I708:I719)</f>
        <v>3112.79</v>
      </c>
      <c r="J655" s="92">
        <f>SUM('CA brut produits &amp; sites'!J708:J719)</f>
        <v>0</v>
      </c>
      <c r="K655" s="92">
        <f>SUM('CA brut produits &amp; sites'!K708:K719)</f>
        <v>113100.82999999999</v>
      </c>
      <c r="L655" s="92">
        <f>SUM('CA brut produits &amp; sites'!L708:L719)</f>
        <v>0</v>
      </c>
      <c r="M655" s="92">
        <f>SUM('CA brut produits &amp; sites'!M708:M719)</f>
        <v>0</v>
      </c>
      <c r="N655" s="92">
        <f>SUM('CA brut produits &amp; sites'!N708:N719)</f>
        <v>0</v>
      </c>
      <c r="O655" s="92">
        <f>SUM('CA brut produits &amp; sites'!O708:O719)</f>
        <v>0</v>
      </c>
      <c r="P655" s="93">
        <f>SUM('CA brut produits &amp; sites'!P708:P719)</f>
        <v>0</v>
      </c>
    </row>
    <row r="656" spans="1:16" x14ac:dyDescent="0.3">
      <c r="A656" s="94">
        <v>43525</v>
      </c>
      <c r="B656" s="146"/>
      <c r="C656" s="92">
        <f t="shared" si="100"/>
        <v>223903.18</v>
      </c>
      <c r="D656" s="92">
        <f>SUM('CA brut produits &amp; sites'!D709:D720)</f>
        <v>102484.68000000002</v>
      </c>
      <c r="E656" s="92">
        <f>SUM('CA brut produits &amp; sites'!E709:E720)</f>
        <v>1982.2</v>
      </c>
      <c r="F656" s="92">
        <f>SUM('CA brut produits &amp; sites'!F709:F720)</f>
        <v>4906.3</v>
      </c>
      <c r="G656" s="92">
        <f>SUM('CA brut produits &amp; sites'!G709:G720)</f>
        <v>188.38</v>
      </c>
      <c r="H656" s="92">
        <f>SUM('CA brut produits &amp; sites'!H709:H720)</f>
        <v>536</v>
      </c>
      <c r="I656" s="92">
        <f>SUM('CA brut produits &amp; sites'!I709:I720)</f>
        <v>3452.2599999999998</v>
      </c>
      <c r="J656" s="92">
        <f>SUM('CA brut produits &amp; sites'!J709:J720)</f>
        <v>0</v>
      </c>
      <c r="K656" s="92">
        <f>SUM('CA brut produits &amp; sites'!K709:K720)</f>
        <v>110353.35999999999</v>
      </c>
      <c r="L656" s="92">
        <f>SUM('CA brut produits &amp; sites'!L709:L720)</f>
        <v>0</v>
      </c>
      <c r="M656" s="92">
        <f>SUM('CA brut produits &amp; sites'!M709:M720)</f>
        <v>0</v>
      </c>
      <c r="N656" s="92">
        <f>SUM('CA brut produits &amp; sites'!N709:N720)</f>
        <v>0</v>
      </c>
      <c r="O656" s="92">
        <f>SUM('CA brut produits &amp; sites'!O709:O720)</f>
        <v>0</v>
      </c>
      <c r="P656" s="93">
        <f>SUM('CA brut produits &amp; sites'!P709:P720)</f>
        <v>0</v>
      </c>
    </row>
    <row r="657" spans="1:16" x14ac:dyDescent="0.3">
      <c r="A657" s="94">
        <v>43556</v>
      </c>
      <c r="B657" s="146"/>
      <c r="C657" s="92">
        <f t="shared" si="100"/>
        <v>238920.68</v>
      </c>
      <c r="D657" s="92">
        <f>SUM('CA brut produits &amp; sites'!D710:D721)</f>
        <v>106749.08</v>
      </c>
      <c r="E657" s="92">
        <f>SUM('CA brut produits &amp; sites'!E710:E721)</f>
        <v>3458.5899999999997</v>
      </c>
      <c r="F657" s="92">
        <f>SUM('CA brut produits &amp; sites'!F710:F721)</f>
        <v>4466.3</v>
      </c>
      <c r="G657" s="92">
        <f>SUM('CA brut produits &amp; sites'!G710:G721)</f>
        <v>480.15</v>
      </c>
      <c r="H657" s="92">
        <f>SUM('CA brut produits &amp; sites'!H710:H721)</f>
        <v>536</v>
      </c>
      <c r="I657" s="92">
        <f>SUM('CA brut produits &amp; sites'!I710:I721)</f>
        <v>3486.16</v>
      </c>
      <c r="J657" s="92">
        <f>SUM('CA brut produits &amp; sites'!J710:J721)</f>
        <v>0</v>
      </c>
      <c r="K657" s="92">
        <f>SUM('CA brut produits &amp; sites'!K710:K721)</f>
        <v>119744.4</v>
      </c>
      <c r="L657" s="92">
        <f>SUM('CA brut produits &amp; sites'!L710:L721)</f>
        <v>0</v>
      </c>
      <c r="M657" s="92">
        <f>SUM('CA brut produits &amp; sites'!M710:M721)</f>
        <v>0</v>
      </c>
      <c r="N657" s="92">
        <f>SUM('CA brut produits &amp; sites'!N710:N721)</f>
        <v>0</v>
      </c>
      <c r="O657" s="92">
        <f>SUM('CA brut produits &amp; sites'!O710:O721)</f>
        <v>0</v>
      </c>
      <c r="P657" s="93">
        <f>SUM('CA brut produits &amp; sites'!P710:P721)</f>
        <v>0</v>
      </c>
    </row>
    <row r="658" spans="1:16" x14ac:dyDescent="0.3">
      <c r="A658" s="94">
        <v>43586</v>
      </c>
      <c r="B658" s="146"/>
      <c r="C658" s="92">
        <f t="shared" si="100"/>
        <v>237418.12</v>
      </c>
      <c r="D658" s="92">
        <f>SUM('CA brut produits &amp; sites'!D711:D722)</f>
        <v>102762.03</v>
      </c>
      <c r="E658" s="92">
        <f>SUM('CA brut produits &amp; sites'!E711:E722)</f>
        <v>3399.0099999999998</v>
      </c>
      <c r="F658" s="92">
        <f>SUM('CA brut produits &amp; sites'!F711:F722)</f>
        <v>4599.82</v>
      </c>
      <c r="G658" s="92">
        <f>SUM('CA brut produits &amp; sites'!G711:G722)</f>
        <v>487.29999999999995</v>
      </c>
      <c r="H658" s="92">
        <f>SUM('CA brut produits &amp; sites'!H711:H722)</f>
        <v>536</v>
      </c>
      <c r="I658" s="92">
        <f>SUM('CA brut produits &amp; sites'!I711:I722)</f>
        <v>3538.4599999999996</v>
      </c>
      <c r="J658" s="92">
        <f>SUM('CA brut produits &amp; sites'!J711:J722)</f>
        <v>0</v>
      </c>
      <c r="K658" s="92">
        <f>SUM('CA brut produits &amp; sites'!K711:K722)</f>
        <v>122095.50000000001</v>
      </c>
      <c r="L658" s="92">
        <f>SUM('CA brut produits &amp; sites'!L711:L722)</f>
        <v>0</v>
      </c>
      <c r="M658" s="92">
        <f>SUM('CA brut produits &amp; sites'!M711:M722)</f>
        <v>0</v>
      </c>
      <c r="N658" s="92">
        <f>SUM('CA brut produits &amp; sites'!N711:N722)</f>
        <v>0</v>
      </c>
      <c r="O658" s="92">
        <f>SUM('CA brut produits &amp; sites'!O711:O722)</f>
        <v>0</v>
      </c>
      <c r="P658" s="93">
        <f>SUM('CA brut produits &amp; sites'!P711:P722)</f>
        <v>0</v>
      </c>
    </row>
    <row r="659" spans="1:16" x14ac:dyDescent="0.3">
      <c r="A659" s="94">
        <v>43617</v>
      </c>
      <c r="B659" s="146"/>
      <c r="C659" s="92">
        <f t="shared" si="100"/>
        <v>236264.56</v>
      </c>
      <c r="D659" s="92">
        <f>SUM('CA brut produits &amp; sites'!D712:D723)</f>
        <v>102155.6</v>
      </c>
      <c r="E659" s="92">
        <f>SUM('CA brut produits &amp; sites'!E712:E723)</f>
        <v>3095.8599999999997</v>
      </c>
      <c r="F659" s="92">
        <f>SUM('CA brut produits &amp; sites'!F712:F723)</f>
        <v>4087.8199999999997</v>
      </c>
      <c r="G659" s="92">
        <f>SUM('CA brut produits &amp; sites'!G712:G723)</f>
        <v>427.46999999999997</v>
      </c>
      <c r="H659" s="92">
        <f>SUM('CA brut produits &amp; sites'!H712:H723)</f>
        <v>765.65</v>
      </c>
      <c r="I659" s="92">
        <f>SUM('CA brut produits &amp; sites'!I712:I723)</f>
        <v>3516.3499999999995</v>
      </c>
      <c r="J659" s="92">
        <f>SUM('CA brut produits &amp; sites'!J712:J723)</f>
        <v>0</v>
      </c>
      <c r="K659" s="92">
        <f>SUM('CA brut produits &amp; sites'!K712:K723)</f>
        <v>122215.80999999998</v>
      </c>
      <c r="L659" s="92">
        <f>SUM('CA brut produits &amp; sites'!L712:L723)</f>
        <v>0</v>
      </c>
      <c r="M659" s="92">
        <f>SUM('CA brut produits &amp; sites'!M712:M723)</f>
        <v>0</v>
      </c>
      <c r="N659" s="92">
        <f>SUM('CA brut produits &amp; sites'!N712:N723)</f>
        <v>0</v>
      </c>
      <c r="O659" s="92">
        <f>SUM('CA brut produits &amp; sites'!O712:O723)</f>
        <v>0</v>
      </c>
      <c r="P659" s="93">
        <f>SUM('CA brut produits &amp; sites'!P712:P723)</f>
        <v>0</v>
      </c>
    </row>
    <row r="660" spans="1:16" x14ac:dyDescent="0.3">
      <c r="A660" s="94">
        <v>43647</v>
      </c>
      <c r="B660" s="146"/>
      <c r="C660" s="92">
        <f t="shared" si="100"/>
        <v>283012.25</v>
      </c>
      <c r="D660" s="92">
        <f>SUM('CA brut produits &amp; sites'!D713:D724)</f>
        <v>130716.48000000001</v>
      </c>
      <c r="E660" s="92">
        <f>SUM('CA brut produits &amp; sites'!E713:E724)</f>
        <v>5647.9499999999989</v>
      </c>
      <c r="F660" s="92">
        <f>SUM('CA brut produits &amp; sites'!F713:F724)</f>
        <v>4926.0499999999993</v>
      </c>
      <c r="G660" s="92">
        <f>SUM('CA brut produits &amp; sites'!G713:G724)</f>
        <v>783.82999999999993</v>
      </c>
      <c r="H660" s="92">
        <f>SUM('CA brut produits &amp; sites'!H713:H724)</f>
        <v>741.65</v>
      </c>
      <c r="I660" s="92">
        <f>SUM('CA brut produits &amp; sites'!I713:I724)</f>
        <v>3475.8299999999995</v>
      </c>
      <c r="J660" s="92">
        <f>SUM('CA brut produits &amp; sites'!J713:J724)</f>
        <v>0</v>
      </c>
      <c r="K660" s="92">
        <f>SUM('CA brut produits &amp; sites'!K713:K724)</f>
        <v>136720.46</v>
      </c>
      <c r="L660" s="92">
        <f>SUM('CA brut produits &amp; sites'!L713:L724)</f>
        <v>0</v>
      </c>
      <c r="M660" s="92">
        <f>SUM('CA brut produits &amp; sites'!M713:M724)</f>
        <v>0</v>
      </c>
      <c r="N660" s="92">
        <f>SUM('CA brut produits &amp; sites'!N713:N724)</f>
        <v>0</v>
      </c>
      <c r="O660" s="92">
        <f>SUM('CA brut produits &amp; sites'!O713:O724)</f>
        <v>0</v>
      </c>
      <c r="P660" s="93">
        <f>SUM('CA brut produits &amp; sites'!P713:P724)</f>
        <v>0</v>
      </c>
    </row>
    <row r="661" spans="1:16" x14ac:dyDescent="0.3">
      <c r="A661" s="94">
        <v>43678</v>
      </c>
      <c r="B661" s="146"/>
      <c r="C661" s="92">
        <f t="shared" si="100"/>
        <v>282447.86</v>
      </c>
      <c r="D661" s="92">
        <f>SUM('CA brut produits &amp; sites'!D714:D725)</f>
        <v>131206.24</v>
      </c>
      <c r="E661" s="92">
        <f>SUM('CA brut produits &amp; sites'!E714:E725)</f>
        <v>6041.8999999999987</v>
      </c>
      <c r="F661" s="92">
        <f>SUM('CA brut produits &amp; sites'!F714:F725)</f>
        <v>5180.0999999999995</v>
      </c>
      <c r="G661" s="92">
        <f>SUM('CA brut produits &amp; sites'!G714:G725)</f>
        <v>783.82999999999993</v>
      </c>
      <c r="H661" s="92">
        <f>SUM('CA brut produits &amp; sites'!H714:H725)</f>
        <v>741.65</v>
      </c>
      <c r="I661" s="92">
        <f>SUM('CA brut produits &amp; sites'!I714:I725)</f>
        <v>3515.7099999999991</v>
      </c>
      <c r="J661" s="92">
        <f>SUM('CA brut produits &amp; sites'!J714:J725)</f>
        <v>0</v>
      </c>
      <c r="K661" s="92">
        <f>SUM('CA brut produits &amp; sites'!K714:K725)</f>
        <v>134978.43</v>
      </c>
      <c r="L661" s="92">
        <f>SUM('CA brut produits &amp; sites'!L714:L725)</f>
        <v>0</v>
      </c>
      <c r="M661" s="92">
        <f>SUM('CA brut produits &amp; sites'!M714:M725)</f>
        <v>0</v>
      </c>
      <c r="N661" s="92">
        <f>SUM('CA brut produits &amp; sites'!N714:N725)</f>
        <v>0</v>
      </c>
      <c r="O661" s="92">
        <f>SUM('CA brut produits &amp; sites'!O714:O725)</f>
        <v>0</v>
      </c>
      <c r="P661" s="93">
        <f>SUM('CA brut produits &amp; sites'!P714:P725)</f>
        <v>0</v>
      </c>
    </row>
    <row r="662" spans="1:16" x14ac:dyDescent="0.3">
      <c r="A662" s="94">
        <v>43709</v>
      </c>
      <c r="B662" s="146"/>
      <c r="C662" s="92">
        <f t="shared" si="100"/>
        <v>281537.07999999996</v>
      </c>
      <c r="D662" s="92">
        <f>SUM('CA brut produits &amp; sites'!D715:D726)</f>
        <v>132238.06</v>
      </c>
      <c r="E662" s="92">
        <f>SUM('CA brut produits &amp; sites'!E715:E726)</f>
        <v>5887.0099999999993</v>
      </c>
      <c r="F662" s="92">
        <f>SUM('CA brut produits &amp; sites'!F715:F726)</f>
        <v>5301.5</v>
      </c>
      <c r="G662" s="92">
        <f>SUM('CA brut produits &amp; sites'!G715:G726)</f>
        <v>792.8599999999999</v>
      </c>
      <c r="H662" s="92">
        <f>SUM('CA brut produits &amp; sites'!H715:H726)</f>
        <v>741.65</v>
      </c>
      <c r="I662" s="92">
        <f>SUM('CA brut produits &amp; sites'!I715:I726)</f>
        <v>3575.8199999999997</v>
      </c>
      <c r="J662" s="92">
        <f>SUM('CA brut produits &amp; sites'!J715:J726)</f>
        <v>0</v>
      </c>
      <c r="K662" s="92">
        <f>SUM('CA brut produits &amp; sites'!K715:K726)</f>
        <v>133000.18</v>
      </c>
      <c r="L662" s="92">
        <f>SUM('CA brut produits &amp; sites'!L715:L726)</f>
        <v>0</v>
      </c>
      <c r="M662" s="92">
        <f>SUM('CA brut produits &amp; sites'!M715:M726)</f>
        <v>0</v>
      </c>
      <c r="N662" s="92">
        <f>SUM('CA brut produits &amp; sites'!N715:N726)</f>
        <v>0</v>
      </c>
      <c r="O662" s="92">
        <f>SUM('CA brut produits &amp; sites'!O715:O726)</f>
        <v>0</v>
      </c>
      <c r="P662" s="93">
        <f>SUM('CA brut produits &amp; sites'!P715:P726)</f>
        <v>0</v>
      </c>
    </row>
    <row r="663" spans="1:16" x14ac:dyDescent="0.3">
      <c r="A663" s="94">
        <v>43739</v>
      </c>
      <c r="B663" s="146"/>
      <c r="C663" s="92">
        <f t="shared" si="100"/>
        <v>284222.39999999997</v>
      </c>
      <c r="D663" s="92">
        <f>SUM('CA brut produits &amp; sites'!D716:D727)</f>
        <v>130839.40999999999</v>
      </c>
      <c r="E663" s="92">
        <f>SUM('CA brut produits &amp; sites'!E716:E727)</f>
        <v>8880.739999999998</v>
      </c>
      <c r="F663" s="92">
        <f>SUM('CA brut produits &amp; sites'!F716:F727)</f>
        <v>4792.55</v>
      </c>
      <c r="G663" s="92">
        <f>SUM('CA brut produits &amp; sites'!G716:G727)</f>
        <v>949.2399999999999</v>
      </c>
      <c r="H663" s="92">
        <f>SUM('CA brut produits &amp; sites'!H716:H727)</f>
        <v>741.65</v>
      </c>
      <c r="I663" s="92">
        <f>SUM('CA brut produits &amp; sites'!I716:I727)</f>
        <v>3734.2099999999996</v>
      </c>
      <c r="J663" s="92">
        <f>SUM('CA brut produits &amp; sites'!J716:J727)</f>
        <v>0</v>
      </c>
      <c r="K663" s="92">
        <f>SUM('CA brut produits &amp; sites'!K716:K727)</f>
        <v>134284.6</v>
      </c>
      <c r="L663" s="92">
        <f>SUM('CA brut produits &amp; sites'!L716:L727)</f>
        <v>0</v>
      </c>
      <c r="M663" s="92">
        <f>SUM('CA brut produits &amp; sites'!M716:M727)</f>
        <v>0</v>
      </c>
      <c r="N663" s="92">
        <f>SUM('CA brut produits &amp; sites'!N716:N727)</f>
        <v>0</v>
      </c>
      <c r="O663" s="92">
        <f>SUM('CA brut produits &amp; sites'!O716:O727)</f>
        <v>0</v>
      </c>
      <c r="P663" s="93">
        <f>SUM('CA brut produits &amp; sites'!P716:P727)</f>
        <v>0</v>
      </c>
    </row>
    <row r="664" spans="1:16" x14ac:dyDescent="0.3">
      <c r="A664" s="94">
        <v>43770</v>
      </c>
      <c r="B664" s="146"/>
      <c r="C664" s="92">
        <f t="shared" si="100"/>
        <v>278431.24999999994</v>
      </c>
      <c r="D664" s="92">
        <f>SUM('CA brut produits &amp; sites'!D717:D728)</f>
        <v>129381.65999999999</v>
      </c>
      <c r="E664" s="92">
        <f>SUM('CA brut produits &amp; sites'!E717:E728)</f>
        <v>10477.299999999999</v>
      </c>
      <c r="F664" s="92">
        <f>SUM('CA brut produits &amp; sites'!F717:F728)</f>
        <v>4597.4000000000005</v>
      </c>
      <c r="G664" s="92">
        <f>SUM('CA brut produits &amp; sites'!G717:G728)</f>
        <v>1066.27</v>
      </c>
      <c r="H664" s="92">
        <f>SUM('CA brut produits &amp; sites'!H717:H728)</f>
        <v>741.65</v>
      </c>
      <c r="I664" s="92">
        <f>SUM('CA brut produits &amp; sites'!I717:I728)</f>
        <v>1439.5700000000002</v>
      </c>
      <c r="J664" s="92">
        <f>SUM('CA brut produits &amp; sites'!J717:J728)</f>
        <v>0</v>
      </c>
      <c r="K664" s="92">
        <f>SUM('CA brut produits &amp; sites'!K717:K728)</f>
        <v>130727.39999999998</v>
      </c>
      <c r="L664" s="92">
        <f>SUM('CA brut produits &amp; sites'!L717:L728)</f>
        <v>0</v>
      </c>
      <c r="M664" s="92">
        <f>SUM('CA brut produits &amp; sites'!M717:M728)</f>
        <v>0</v>
      </c>
      <c r="N664" s="92">
        <f>SUM('CA brut produits &amp; sites'!N717:N728)</f>
        <v>0</v>
      </c>
      <c r="O664" s="92">
        <f>SUM('CA brut produits &amp; sites'!O717:O728)</f>
        <v>0</v>
      </c>
      <c r="P664" s="93">
        <f>SUM('CA brut produits &amp; sites'!P717:P728)</f>
        <v>0</v>
      </c>
    </row>
    <row r="665" spans="1:16" x14ac:dyDescent="0.3">
      <c r="A665" s="94">
        <v>43800</v>
      </c>
      <c r="B665" s="146"/>
      <c r="C665" s="92">
        <f t="shared" si="100"/>
        <v>294881.23</v>
      </c>
      <c r="D665" s="92">
        <f>SUM('CA brut produits &amp; sites'!D718:D729)</f>
        <v>133559.07</v>
      </c>
      <c r="E665" s="92">
        <f>SUM('CA brut produits &amp; sites'!E718:E729)</f>
        <v>14092.89</v>
      </c>
      <c r="F665" s="92">
        <f>SUM('CA brut produits &amp; sites'!F718:F729)</f>
        <v>4926.2100000000009</v>
      </c>
      <c r="G665" s="92">
        <f>SUM('CA brut produits &amp; sites'!G718:G729)</f>
        <v>1633.54</v>
      </c>
      <c r="H665" s="92">
        <f>SUM('CA brut produits &amp; sites'!H718:H729)</f>
        <v>229.65</v>
      </c>
      <c r="I665" s="92">
        <f>SUM('CA brut produits &amp; sites'!I718:I729)</f>
        <v>1415.43</v>
      </c>
      <c r="J665" s="92">
        <f>SUM('CA brut produits &amp; sites'!J718:J729)</f>
        <v>0</v>
      </c>
      <c r="K665" s="92">
        <f>SUM('CA brut produits &amp; sites'!K718:K729)</f>
        <v>132814.31999999998</v>
      </c>
      <c r="L665" s="92">
        <f>SUM('CA brut produits &amp; sites'!L718:L729)</f>
        <v>2228.4</v>
      </c>
      <c r="M665" s="92">
        <f>SUM('CA brut produits &amp; sites'!M718:M729)</f>
        <v>240</v>
      </c>
      <c r="N665" s="92">
        <f>SUM('CA brut produits &amp; sites'!N718:N729)</f>
        <v>0</v>
      </c>
      <c r="O665" s="92">
        <f>SUM('CA brut produits &amp; sites'!O718:O729)</f>
        <v>3741.72</v>
      </c>
      <c r="P665" s="93">
        <f>SUM('CA brut produits &amp; sites'!P718:P729)</f>
        <v>0</v>
      </c>
    </row>
    <row r="666" spans="1:16" x14ac:dyDescent="0.3">
      <c r="A666" s="94">
        <v>43831</v>
      </c>
      <c r="B666" s="146"/>
      <c r="C666" s="92">
        <f t="shared" si="100"/>
        <v>301609.90000000002</v>
      </c>
      <c r="D666" s="92">
        <f>SUM('CA brut produits &amp; sites'!D719:D730)</f>
        <v>138884.91</v>
      </c>
      <c r="E666" s="92">
        <f>SUM('CA brut produits &amp; sites'!E719:E730)</f>
        <v>14673.3</v>
      </c>
      <c r="F666" s="92">
        <f>SUM('CA brut produits &amp; sites'!F719:F730)</f>
        <v>5008.920000000001</v>
      </c>
      <c r="G666" s="92">
        <f>SUM('CA brut produits &amp; sites'!G719:G730)</f>
        <v>1764.1299999999999</v>
      </c>
      <c r="H666" s="92">
        <f>SUM('CA brut produits &amp; sites'!H719:H730)</f>
        <v>229.65</v>
      </c>
      <c r="I666" s="92">
        <f>SUM('CA brut produits &amp; sites'!I719:I730)</f>
        <v>1387.8500000000001</v>
      </c>
      <c r="J666" s="92">
        <f>SUM('CA brut produits &amp; sites'!J719:J730)</f>
        <v>0</v>
      </c>
      <c r="K666" s="92">
        <f>SUM('CA brut produits &amp; sites'!K719:K730)</f>
        <v>133451.01999999999</v>
      </c>
      <c r="L666" s="92">
        <f>SUM('CA brut produits &amp; sites'!L719:L730)</f>
        <v>2228.4</v>
      </c>
      <c r="M666" s="92">
        <f>SUM('CA brut produits &amp; sites'!M719:M730)</f>
        <v>240</v>
      </c>
      <c r="N666" s="92">
        <f>SUM('CA brut produits &amp; sites'!N719:N730)</f>
        <v>0</v>
      </c>
      <c r="O666" s="92">
        <f>SUM('CA brut produits &amp; sites'!O719:O730)</f>
        <v>3741.72</v>
      </c>
      <c r="P666" s="93">
        <f>SUM('CA brut produits &amp; sites'!P719:P730)</f>
        <v>0</v>
      </c>
    </row>
    <row r="667" spans="1:16" x14ac:dyDescent="0.3">
      <c r="A667" s="94">
        <v>43862</v>
      </c>
      <c r="B667" s="146"/>
      <c r="C667" s="92">
        <f t="shared" si="100"/>
        <v>304232.15999999997</v>
      </c>
      <c r="D667" s="92">
        <f>SUM('CA brut produits &amp; sites'!D720:D731)</f>
        <v>137978.68</v>
      </c>
      <c r="E667" s="92">
        <f>SUM('CA brut produits &amp; sites'!E720:E731)</f>
        <v>14831.5</v>
      </c>
      <c r="F667" s="92">
        <f>SUM('CA brut produits &amp; sites'!F720:F731)</f>
        <v>5241.97</v>
      </c>
      <c r="G667" s="92">
        <f>SUM('CA brut produits &amp; sites'!G720:G731)</f>
        <v>1711.4499999999998</v>
      </c>
      <c r="H667" s="92">
        <f>SUM('CA brut produits &amp; sites'!H720:H731)</f>
        <v>229.65</v>
      </c>
      <c r="I667" s="92">
        <f>SUM('CA brut produits &amp; sites'!I720:I731)</f>
        <v>1307.4000000000001</v>
      </c>
      <c r="J667" s="92">
        <f>SUM('CA brut produits &amp; sites'!J720:J731)</f>
        <v>0</v>
      </c>
      <c r="K667" s="92">
        <f>SUM('CA brut produits &amp; sites'!K720:K731)</f>
        <v>136721.38999999998</v>
      </c>
      <c r="L667" s="92">
        <f>SUM('CA brut produits &amp; sites'!L720:L731)</f>
        <v>2228.4</v>
      </c>
      <c r="M667" s="92">
        <f>SUM('CA brut produits &amp; sites'!M720:M731)</f>
        <v>240</v>
      </c>
      <c r="N667" s="92">
        <f>SUM('CA brut produits &amp; sites'!N720:N731)</f>
        <v>0</v>
      </c>
      <c r="O667" s="92">
        <f>SUM('CA brut produits &amp; sites'!O720:O731)</f>
        <v>3741.72</v>
      </c>
      <c r="P667" s="93">
        <f>SUM('CA brut produits &amp; sites'!P720:P731)</f>
        <v>0</v>
      </c>
    </row>
    <row r="668" spans="1:16" x14ac:dyDescent="0.3">
      <c r="A668" s="94">
        <v>43891</v>
      </c>
      <c r="B668" s="146"/>
      <c r="C668" s="92">
        <f t="shared" si="100"/>
        <v>301217.57</v>
      </c>
      <c r="D668" s="92">
        <f>SUM('CA brut produits &amp; sites'!D721:D732)</f>
        <v>140155.25</v>
      </c>
      <c r="E668" s="92">
        <f>SUM('CA brut produits &amp; sites'!E721:E732)</f>
        <v>14823.91</v>
      </c>
      <c r="F668" s="92">
        <f>SUM('CA brut produits &amp; sites'!F721:F732)</f>
        <v>5025.97</v>
      </c>
      <c r="G668" s="92">
        <f>SUM('CA brut produits &amp; sites'!G721:G732)</f>
        <v>1711.4499999999998</v>
      </c>
      <c r="H668" s="92">
        <f>SUM('CA brut produits &amp; sites'!H721:H732)</f>
        <v>229.65</v>
      </c>
      <c r="I668" s="92">
        <f>SUM('CA brut produits &amp; sites'!I721:I732)</f>
        <v>904.75000000000011</v>
      </c>
      <c r="J668" s="92">
        <f>SUM('CA brut produits &amp; sites'!J721:J732)</f>
        <v>0</v>
      </c>
      <c r="K668" s="92">
        <f>SUM('CA brut produits &amp; sites'!K721:K732)</f>
        <v>132156.47</v>
      </c>
      <c r="L668" s="92">
        <f>SUM('CA brut produits &amp; sites'!L721:L732)</f>
        <v>2228.4</v>
      </c>
      <c r="M668" s="92">
        <f>SUM('CA brut produits &amp; sites'!M721:M732)</f>
        <v>240</v>
      </c>
      <c r="N668" s="92">
        <f>SUM('CA brut produits &amp; sites'!N721:N732)</f>
        <v>0</v>
      </c>
      <c r="O668" s="92">
        <f>SUM('CA brut produits &amp; sites'!O721:O732)</f>
        <v>3741.72</v>
      </c>
      <c r="P668" s="93">
        <f>SUM('CA brut produits &amp; sites'!P721:P732)</f>
        <v>0</v>
      </c>
    </row>
    <row r="669" spans="1:16" x14ac:dyDescent="0.3">
      <c r="A669" s="94">
        <v>43922</v>
      </c>
      <c r="B669" s="146"/>
      <c r="C669" s="92">
        <f t="shared" si="100"/>
        <v>269506.06</v>
      </c>
      <c r="D669" s="92">
        <f>SUM('CA brut produits &amp; sites'!D722:D733)</f>
        <v>127745.87999999999</v>
      </c>
      <c r="E669" s="92">
        <f>SUM('CA brut produits &amp; sites'!E722:E733)</f>
        <v>13278.630000000001</v>
      </c>
      <c r="F669" s="92">
        <f>SUM('CA brut produits &amp; sites'!F722:F733)</f>
        <v>4785.97</v>
      </c>
      <c r="G669" s="92">
        <f>SUM('CA brut produits &amp; sites'!G722:G733)</f>
        <v>1382.19</v>
      </c>
      <c r="H669" s="92">
        <f>SUM('CA brut produits &amp; sites'!H722:H733)</f>
        <v>229.65</v>
      </c>
      <c r="I669" s="92">
        <f>SUM('CA brut produits &amp; sites'!I722:I733)</f>
        <v>833.94000000000017</v>
      </c>
      <c r="J669" s="92">
        <f>SUM('CA brut produits &amp; sites'!J722:J733)</f>
        <v>0</v>
      </c>
      <c r="K669" s="92">
        <f>SUM('CA brut produits &amp; sites'!K722:K733)</f>
        <v>115039.68000000001</v>
      </c>
      <c r="L669" s="92">
        <f>SUM('CA brut produits &amp; sites'!L722:L733)</f>
        <v>2228.4</v>
      </c>
      <c r="M669" s="92">
        <f>SUM('CA brut produits &amp; sites'!M722:M733)</f>
        <v>240</v>
      </c>
      <c r="N669" s="92">
        <f>SUM('CA brut produits &amp; sites'!N722:N733)</f>
        <v>0</v>
      </c>
      <c r="O669" s="92">
        <f>SUM('CA brut produits &amp; sites'!O722:O733)</f>
        <v>3741.72</v>
      </c>
      <c r="P669" s="93">
        <f>SUM('CA brut produits &amp; sites'!P722:P733)</f>
        <v>0</v>
      </c>
    </row>
    <row r="670" spans="1:16" x14ac:dyDescent="0.3">
      <c r="A670" s="94">
        <v>43952</v>
      </c>
      <c r="B670" s="146"/>
      <c r="C670" s="92">
        <f t="shared" ref="C670" si="101">SUM(D670:P670)</f>
        <v>260666.69999999995</v>
      </c>
      <c r="D670" s="92">
        <f>SUM('CA brut produits &amp; sites'!D723:D734)</f>
        <v>117167.21999999999</v>
      </c>
      <c r="E670" s="92">
        <f>SUM('CA brut produits &amp; sites'!E723:E734)</f>
        <v>13333.2</v>
      </c>
      <c r="F670" s="92">
        <f>SUM('CA brut produits &amp; sites'!F723:F734)</f>
        <v>4482.7199999999993</v>
      </c>
      <c r="G670" s="92">
        <f>SUM('CA brut produits &amp; sites'!G723:G734)</f>
        <v>1375.04</v>
      </c>
      <c r="H670" s="92">
        <f>SUM('CA brut produits &amp; sites'!H723:H734)</f>
        <v>229.65</v>
      </c>
      <c r="I670" s="92">
        <f>SUM('CA brut produits &amp; sites'!I723:I734)</f>
        <v>778.11000000000013</v>
      </c>
      <c r="J670" s="92">
        <f>SUM('CA brut produits &amp; sites'!J723:J734)</f>
        <v>0</v>
      </c>
      <c r="K670" s="92">
        <f>SUM('CA brut produits &amp; sites'!K723:K734)</f>
        <v>117090.64</v>
      </c>
      <c r="L670" s="92">
        <f>SUM('CA brut produits &amp; sites'!L723:L734)</f>
        <v>2228.4</v>
      </c>
      <c r="M670" s="92">
        <f>SUM('CA brut produits &amp; sites'!M723:M734)</f>
        <v>240</v>
      </c>
      <c r="N670" s="92">
        <f>SUM('CA brut produits &amp; sites'!N723:N734)</f>
        <v>0</v>
      </c>
      <c r="O670" s="92">
        <f>SUM('CA brut produits &amp; sites'!O723:O734)</f>
        <v>3741.72</v>
      </c>
      <c r="P670" s="93">
        <f>SUM('CA brut produits &amp; sites'!P723:P734)</f>
        <v>0</v>
      </c>
    </row>
    <row r="671" spans="1:16" x14ac:dyDescent="0.3">
      <c r="A671" s="94">
        <v>43983</v>
      </c>
      <c r="B671" s="146"/>
      <c r="C671" s="92">
        <f t="shared" ref="C671" si="102">SUM(D671:P671)</f>
        <v>248224.46</v>
      </c>
      <c r="D671" s="92">
        <f>SUM('CA brut produits &amp; sites'!D724:D735)</f>
        <v>110555.64</v>
      </c>
      <c r="E671" s="92">
        <f>SUM('CA brut produits &amp; sites'!E724:E735)</f>
        <v>13316.73</v>
      </c>
      <c r="F671" s="92">
        <f>SUM('CA brut produits &amp; sites'!F724:F735)</f>
        <v>4530.72</v>
      </c>
      <c r="G671" s="92">
        <f>SUM('CA brut produits &amp; sites'!G724:G735)</f>
        <v>1372.78</v>
      </c>
      <c r="H671" s="92">
        <f>SUM('CA brut produits &amp; sites'!H724:H735)</f>
        <v>0</v>
      </c>
      <c r="I671" s="92">
        <f>SUM('CA brut produits &amp; sites'!I724:I735)</f>
        <v>730.35000000000014</v>
      </c>
      <c r="J671" s="92">
        <f>SUM('CA brut produits &amp; sites'!J724:J735)</f>
        <v>0</v>
      </c>
      <c r="K671" s="92">
        <f>SUM('CA brut produits &amp; sites'!K724:K735)</f>
        <v>111508.12</v>
      </c>
      <c r="L671" s="92">
        <f>SUM('CA brut produits &amp; sites'!L724:L735)</f>
        <v>2228.4</v>
      </c>
      <c r="M671" s="92">
        <f>SUM('CA brut produits &amp; sites'!M724:M735)</f>
        <v>240</v>
      </c>
      <c r="N671" s="92">
        <f>SUM('CA brut produits &amp; sites'!N724:N735)</f>
        <v>0</v>
      </c>
      <c r="O671" s="92">
        <f>SUM('CA brut produits &amp; sites'!O724:O735)</f>
        <v>3741.72</v>
      </c>
      <c r="P671" s="93">
        <f>SUM('CA brut produits &amp; sites'!P724:P735)</f>
        <v>0</v>
      </c>
    </row>
    <row r="672" spans="1:16" x14ac:dyDescent="0.3">
      <c r="A672" s="94">
        <v>44013</v>
      </c>
      <c r="B672" s="146"/>
      <c r="C672" s="92">
        <f t="shared" ref="C672" si="103">SUM(D672:P672)</f>
        <v>196556.63</v>
      </c>
      <c r="D672" s="92">
        <f>SUM('CA brut produits &amp; sites'!D725:D736)</f>
        <v>79571.670000000013</v>
      </c>
      <c r="E672" s="92">
        <f>SUM('CA brut produits &amp; sites'!E725:E736)</f>
        <v>10935.209999999997</v>
      </c>
      <c r="F672" s="92">
        <f>SUM('CA brut produits &amp; sites'!F725:F736)</f>
        <v>4154.71</v>
      </c>
      <c r="G672" s="92">
        <f>SUM('CA brut produits &amp; sites'!G725:G736)</f>
        <v>1015.29</v>
      </c>
      <c r="H672" s="92">
        <f>SUM('CA brut produits &amp; sites'!H725:H736)</f>
        <v>0</v>
      </c>
      <c r="I672" s="92">
        <f>SUM('CA brut produits &amp; sites'!I725:I736)</f>
        <v>745.58000000000015</v>
      </c>
      <c r="J672" s="92">
        <f>SUM('CA brut produits &amp; sites'!J725:J736)</f>
        <v>0</v>
      </c>
      <c r="K672" s="92">
        <f>SUM('CA brut produits &amp; sites'!K725:K736)</f>
        <v>93924.05</v>
      </c>
      <c r="L672" s="92">
        <f>SUM('CA brut produits &amp; sites'!L725:L736)</f>
        <v>2228.4</v>
      </c>
      <c r="M672" s="92">
        <f>SUM('CA brut produits &amp; sites'!M725:M736)</f>
        <v>240</v>
      </c>
      <c r="N672" s="92">
        <f>SUM('CA brut produits &amp; sites'!N725:N736)</f>
        <v>0</v>
      </c>
      <c r="O672" s="92">
        <f>SUM('CA brut produits &amp; sites'!O725:O736)</f>
        <v>3741.72</v>
      </c>
      <c r="P672" s="93">
        <f>SUM('CA brut produits &amp; sites'!P725:P736)</f>
        <v>0</v>
      </c>
    </row>
    <row r="673" spans="1:16" x14ac:dyDescent="0.3">
      <c r="A673" s="94">
        <v>44044</v>
      </c>
      <c r="B673" s="146"/>
      <c r="C673" s="92">
        <f t="shared" ref="C673" si="104">SUM(D673:P673)</f>
        <v>194112.08000000002</v>
      </c>
      <c r="D673" s="92">
        <f>SUM('CA brut produits &amp; sites'!D726:D737)</f>
        <v>79314.86</v>
      </c>
      <c r="E673" s="92">
        <f>SUM('CA brut produits &amp; sites'!E726:E737)</f>
        <v>10561.31</v>
      </c>
      <c r="F673" s="92">
        <f>SUM('CA brut produits &amp; sites'!F726:F737)</f>
        <v>4140.66</v>
      </c>
      <c r="G673" s="92">
        <f>SUM('CA brut produits &amp; sites'!G726:G737)</f>
        <v>1015.29</v>
      </c>
      <c r="H673" s="92">
        <f>SUM('CA brut produits &amp; sites'!H726:H737)</f>
        <v>0</v>
      </c>
      <c r="I673" s="92">
        <f>SUM('CA brut produits &amp; sites'!I726:I737)</f>
        <v>715.8599999999999</v>
      </c>
      <c r="J673" s="92">
        <f>SUM('CA brut produits &amp; sites'!J726:J737)</f>
        <v>0</v>
      </c>
      <c r="K673" s="92">
        <f>SUM('CA brut produits &amp; sites'!K726:K737)</f>
        <v>92153.98000000001</v>
      </c>
      <c r="L673" s="92">
        <f>SUM('CA brut produits &amp; sites'!L726:L737)</f>
        <v>2228.4</v>
      </c>
      <c r="M673" s="92">
        <f>SUM('CA brut produits &amp; sites'!M726:M737)</f>
        <v>240</v>
      </c>
      <c r="N673" s="92">
        <f>SUM('CA brut produits &amp; sites'!N726:N737)</f>
        <v>0</v>
      </c>
      <c r="O673" s="92">
        <f>SUM('CA brut produits &amp; sites'!O726:O737)</f>
        <v>3741.72</v>
      </c>
      <c r="P673" s="93">
        <f>SUM('CA brut produits &amp; sites'!P726:P737)</f>
        <v>0</v>
      </c>
    </row>
    <row r="674" spans="1:16" x14ac:dyDescent="0.3">
      <c r="A674" s="94">
        <v>44075</v>
      </c>
      <c r="B674" s="146"/>
      <c r="C674" s="92">
        <f t="shared" ref="C674" si="105">SUM(D674:P674)</f>
        <v>188246.75</v>
      </c>
      <c r="D674" s="92">
        <f>SUM('CA brut produits &amp; sites'!D727:D738)</f>
        <v>71934.700000000012</v>
      </c>
      <c r="E674" s="92">
        <f>SUM('CA brut produits &amp; sites'!E727:E738)</f>
        <v>11417.289999999997</v>
      </c>
      <c r="F674" s="92">
        <f>SUM('CA brut produits &amp; sites'!F727:F738)</f>
        <v>3800.05</v>
      </c>
      <c r="G674" s="92">
        <f>SUM('CA brut produits &amp; sites'!G727:G738)</f>
        <v>1000.99</v>
      </c>
      <c r="H674" s="92">
        <f>SUM('CA brut produits &amp; sites'!H727:H738)</f>
        <v>0</v>
      </c>
      <c r="I674" s="92">
        <f>SUM('CA brut produits &amp; sites'!I727:I738)</f>
        <v>546.07000000000005</v>
      </c>
      <c r="J674" s="92">
        <f>SUM('CA brut produits &amp; sites'!J727:J738)</f>
        <v>0</v>
      </c>
      <c r="K674" s="92">
        <f>SUM('CA brut produits &amp; sites'!K727:K738)</f>
        <v>93337.529999999984</v>
      </c>
      <c r="L674" s="92">
        <f>SUM('CA brut produits &amp; sites'!L727:L738)</f>
        <v>2228.4</v>
      </c>
      <c r="M674" s="92">
        <f>SUM('CA brut produits &amp; sites'!M727:M738)</f>
        <v>240</v>
      </c>
      <c r="N674" s="92">
        <f>SUM('CA brut produits &amp; sites'!N727:N738)</f>
        <v>0</v>
      </c>
      <c r="O674" s="92">
        <f>SUM('CA brut produits &amp; sites'!O727:O738)</f>
        <v>3741.72</v>
      </c>
      <c r="P674" s="93">
        <f>SUM('CA brut produits &amp; sites'!P727:P738)</f>
        <v>0</v>
      </c>
    </row>
    <row r="675" spans="1:16" x14ac:dyDescent="0.3">
      <c r="A675" s="94">
        <v>44105</v>
      </c>
      <c r="B675" s="146"/>
      <c r="C675" s="92">
        <f t="shared" ref="C675" si="106">SUM(D675:P675)</f>
        <v>178172.83000000002</v>
      </c>
      <c r="D675" s="92">
        <f>SUM('CA brut produits &amp; sites'!D728:D739)</f>
        <v>68045.530000000013</v>
      </c>
      <c r="E675" s="92">
        <f>SUM('CA brut produits &amp; sites'!E728:E739)</f>
        <v>8716.86</v>
      </c>
      <c r="F675" s="92">
        <f>SUM('CA brut produits &amp; sites'!F728:F739)</f>
        <v>3511.6400000000003</v>
      </c>
      <c r="G675" s="92">
        <f>SUM('CA brut produits &amp; sites'!G728:G739)</f>
        <v>844.6099999999999</v>
      </c>
      <c r="H675" s="92">
        <f>SUM('CA brut produits &amp; sites'!H728:H739)</f>
        <v>0</v>
      </c>
      <c r="I675" s="92">
        <f>SUM('CA brut produits &amp; sites'!I728:I739)</f>
        <v>500.21000000000004</v>
      </c>
      <c r="J675" s="92">
        <f>SUM('CA brut produits &amp; sites'!J728:J739)</f>
        <v>0</v>
      </c>
      <c r="K675" s="92">
        <f>SUM('CA brut produits &amp; sites'!K728:K739)</f>
        <v>90343.86</v>
      </c>
      <c r="L675" s="92">
        <f>SUM('CA brut produits &amp; sites'!L728:L739)</f>
        <v>2228.4</v>
      </c>
      <c r="M675" s="92">
        <f>SUM('CA brut produits &amp; sites'!M728:M739)</f>
        <v>240</v>
      </c>
      <c r="N675" s="92">
        <f>SUM('CA brut produits &amp; sites'!N728:N739)</f>
        <v>0</v>
      </c>
      <c r="O675" s="92">
        <f>SUM('CA brut produits &amp; sites'!O728:O739)</f>
        <v>3741.72</v>
      </c>
      <c r="P675" s="93">
        <f>SUM('CA brut produits &amp; sites'!P728:P739)</f>
        <v>0</v>
      </c>
    </row>
    <row r="676" spans="1:16" x14ac:dyDescent="0.3">
      <c r="A676" s="94">
        <v>44136</v>
      </c>
      <c r="B676" s="146"/>
      <c r="C676" s="92">
        <f t="shared" ref="C676:C677" si="107">SUM(D676:P676)</f>
        <v>160855.20999999996</v>
      </c>
      <c r="D676" s="92">
        <f>SUM('CA brut produits &amp; sites'!D729:D740)</f>
        <v>58235.19</v>
      </c>
      <c r="E676" s="92">
        <f>SUM('CA brut produits &amp; sites'!E729:E740)</f>
        <v>7102.67</v>
      </c>
      <c r="F676" s="92">
        <f>SUM('CA brut produits &amp; sites'!F729:F740)</f>
        <v>3082.79</v>
      </c>
      <c r="G676" s="92">
        <f>SUM('CA brut produits &amp; sites'!G729:G740)</f>
        <v>715.54</v>
      </c>
      <c r="H676" s="92">
        <f>SUM('CA brut produits &amp; sites'!H729:H740)</f>
        <v>0</v>
      </c>
      <c r="I676" s="92">
        <f>SUM('CA brut produits &amp; sites'!I729:I740)</f>
        <v>501.75</v>
      </c>
      <c r="J676" s="92">
        <f>SUM('CA brut produits &amp; sites'!J729:J740)</f>
        <v>0</v>
      </c>
      <c r="K676" s="92">
        <f>SUM('CA brut produits &amp; sites'!K729:K740)</f>
        <v>85007.15</v>
      </c>
      <c r="L676" s="92">
        <f>SUM('CA brut produits &amp; sites'!L729:L740)</f>
        <v>2228.4</v>
      </c>
      <c r="M676" s="92">
        <f>SUM('CA brut produits &amp; sites'!M729:M740)</f>
        <v>240</v>
      </c>
      <c r="N676" s="92">
        <f>SUM('CA brut produits &amp; sites'!N729:N740)</f>
        <v>0</v>
      </c>
      <c r="O676" s="92">
        <f>SUM('CA brut produits &amp; sites'!O729:O740)</f>
        <v>3741.72</v>
      </c>
      <c r="P676" s="93">
        <f>SUM('CA brut produits &amp; sites'!P729:P740)</f>
        <v>0</v>
      </c>
    </row>
    <row r="677" spans="1:16" x14ac:dyDescent="0.3">
      <c r="A677" s="94">
        <v>44166</v>
      </c>
      <c r="B677" s="146"/>
      <c r="C677" s="92">
        <f t="shared" si="107"/>
        <v>141192.74</v>
      </c>
      <c r="D677" s="92">
        <f>SUM('CA brut produits &amp; sites'!D730:D741)</f>
        <v>51974.220000000008</v>
      </c>
      <c r="E677" s="92">
        <f>SUM('CA brut produits &amp; sites'!E730:E741)</f>
        <v>3442.55</v>
      </c>
      <c r="F677" s="92">
        <f>SUM('CA brut produits &amp; sites'!F730:F741)</f>
        <v>2753.98</v>
      </c>
      <c r="G677" s="92">
        <f>SUM('CA brut produits &amp; sites'!G730:G741)</f>
        <v>148.26999999999998</v>
      </c>
      <c r="H677" s="92">
        <f>SUM('CA brut produits &amp; sites'!H730:H741)</f>
        <v>0</v>
      </c>
      <c r="I677" s="92">
        <f>SUM('CA brut produits &amp; sites'!I730:I741)</f>
        <v>489.42999999999995</v>
      </c>
      <c r="J677" s="92">
        <f>SUM('CA brut produits &amp; sites'!J730:J741)</f>
        <v>0</v>
      </c>
      <c r="K677" s="92">
        <f>SUM('CA brut produits &amp; sites'!K730:K741)</f>
        <v>82384.289999999994</v>
      </c>
      <c r="L677" s="92">
        <f>SUM('CA brut produits &amp; sites'!L730:L741)</f>
        <v>0</v>
      </c>
      <c r="M677" s="92">
        <f>SUM('CA brut produits &amp; sites'!M730:M741)</f>
        <v>0</v>
      </c>
      <c r="N677" s="92">
        <f>SUM('CA brut produits &amp; sites'!N730:N741)</f>
        <v>0</v>
      </c>
      <c r="O677" s="92">
        <f>SUM('CA brut produits &amp; sites'!O730:O741)</f>
        <v>0</v>
      </c>
      <c r="P677" s="93">
        <f>SUM('CA brut produits &amp; sites'!P730:P741)</f>
        <v>0</v>
      </c>
    </row>
    <row r="678" spans="1:16" x14ac:dyDescent="0.3">
      <c r="A678" s="94">
        <v>44197</v>
      </c>
      <c r="B678" s="146"/>
      <c r="C678" s="92">
        <f t="shared" ref="C678" si="108">SUM(D678:P678)</f>
        <v>126502.18999999997</v>
      </c>
      <c r="D678" s="92">
        <f>SUM('CA brut produits &amp; sites'!D731:D742)</f>
        <v>40601.22</v>
      </c>
      <c r="E678" s="92">
        <f>SUM('CA brut produits &amp; sites'!E731:E742)</f>
        <v>2787.3399999999997</v>
      </c>
      <c r="F678" s="92">
        <f>SUM('CA brut produits &amp; sites'!F731:F742)</f>
        <v>2879.27</v>
      </c>
      <c r="G678" s="92">
        <f>SUM('CA brut produits &amp; sites'!G731:G742)</f>
        <v>12.42</v>
      </c>
      <c r="H678" s="92">
        <f>SUM('CA brut produits &amp; sites'!H731:H742)</f>
        <v>0</v>
      </c>
      <c r="I678" s="92">
        <f>SUM('CA brut produits &amp; sites'!I731:I742)</f>
        <v>435.25</v>
      </c>
      <c r="J678" s="92">
        <f>SUM('CA brut produits &amp; sites'!J731:J742)</f>
        <v>0</v>
      </c>
      <c r="K678" s="92">
        <f>SUM('CA brut produits &amp; sites'!K731:K742)</f>
        <v>79786.689999999988</v>
      </c>
      <c r="L678" s="92">
        <f>SUM('CA brut produits &amp; sites'!L731:L742)</f>
        <v>0</v>
      </c>
      <c r="M678" s="92">
        <f>SUM('CA brut produits &amp; sites'!M731:M742)</f>
        <v>0</v>
      </c>
      <c r="N678" s="92">
        <f>SUM('CA brut produits &amp; sites'!N731:N742)</f>
        <v>0</v>
      </c>
      <c r="O678" s="92">
        <f>SUM('CA brut produits &amp; sites'!O731:O742)</f>
        <v>0</v>
      </c>
      <c r="P678" s="93">
        <f>SUM('CA brut produits &amp; sites'!P731:P742)</f>
        <v>0</v>
      </c>
    </row>
    <row r="679" spans="1:16" x14ac:dyDescent="0.3">
      <c r="A679" s="94">
        <v>44228</v>
      </c>
      <c r="B679" s="146"/>
      <c r="C679" s="92">
        <f t="shared" ref="C679" si="109">SUM(D679:P679)</f>
        <v>125986.32</v>
      </c>
      <c r="D679" s="92">
        <f>SUM('CA brut produits &amp; sites'!D732:D743)</f>
        <v>34467.82</v>
      </c>
      <c r="E679" s="92">
        <f>SUM('CA brut produits &amp; sites'!E732:E743)</f>
        <v>2246.34</v>
      </c>
      <c r="F679" s="92">
        <f>SUM('CA brut produits &amp; sites'!F732:F743)</f>
        <v>2646.2200000000003</v>
      </c>
      <c r="G679" s="92">
        <f>SUM('CA brut produits &amp; sites'!G732:G743)</f>
        <v>0.38</v>
      </c>
      <c r="H679" s="92">
        <f>SUM('CA brut produits &amp; sites'!H732:H743)</f>
        <v>0</v>
      </c>
      <c r="I679" s="92">
        <f>SUM('CA brut produits &amp; sites'!I732:I743)</f>
        <v>14665.73</v>
      </c>
      <c r="J679" s="92">
        <f>SUM('CA brut produits &amp; sites'!J732:J743)</f>
        <v>0</v>
      </c>
      <c r="K679" s="92">
        <f>SUM('CA brut produits &amp; sites'!K732:K743)</f>
        <v>71959.83</v>
      </c>
      <c r="L679" s="92">
        <f>SUM('CA brut produits &amp; sites'!L732:L743)</f>
        <v>0</v>
      </c>
      <c r="M679" s="92">
        <f>SUM('CA brut produits &amp; sites'!M732:M743)</f>
        <v>0</v>
      </c>
      <c r="N679" s="92">
        <f>SUM('CA brut produits &amp; sites'!N732:N743)</f>
        <v>0</v>
      </c>
      <c r="O679" s="92">
        <f>SUM('CA brut produits &amp; sites'!O732:O743)</f>
        <v>0</v>
      </c>
      <c r="P679" s="93">
        <f>SUM('CA brut produits &amp; sites'!P732:P743)</f>
        <v>0</v>
      </c>
    </row>
    <row r="680" spans="1:16" x14ac:dyDescent="0.3">
      <c r="A680" s="94">
        <v>44256</v>
      </c>
      <c r="B680" s="146"/>
      <c r="C680" s="92">
        <f t="shared" ref="C680" si="110">SUM(D680:P680)</f>
        <v>127793.59999999998</v>
      </c>
      <c r="D680" s="92">
        <f>SUM('CA brut produits &amp; sites'!D733:D744)</f>
        <v>29554.690000000002</v>
      </c>
      <c r="E680" s="92">
        <f>SUM('CA brut produits &amp; sites'!E733:E744)</f>
        <v>2946.12</v>
      </c>
      <c r="F680" s="92">
        <f>SUM('CA brut produits &amp; sites'!F733:F744)</f>
        <v>4614.22</v>
      </c>
      <c r="G680" s="92">
        <f>SUM('CA brut produits &amp; sites'!G733:G744)</f>
        <v>0.38</v>
      </c>
      <c r="H680" s="92">
        <f>SUM('CA brut produits &amp; sites'!H733:H744)</f>
        <v>0</v>
      </c>
      <c r="I680" s="92">
        <f>SUM('CA brut produits &amp; sites'!I733:I744)</f>
        <v>14988.769999999999</v>
      </c>
      <c r="J680" s="92">
        <f>SUM('CA brut produits &amp; sites'!J733:J744)</f>
        <v>0</v>
      </c>
      <c r="K680" s="92">
        <f>SUM('CA brut produits &amp; sites'!K733:K744)</f>
        <v>75689.419999999984</v>
      </c>
      <c r="L680" s="92">
        <f>SUM('CA brut produits &amp; sites'!L733:L744)</f>
        <v>0</v>
      </c>
      <c r="M680" s="92">
        <f>SUM('CA brut produits &amp; sites'!M733:M744)</f>
        <v>0</v>
      </c>
      <c r="N680" s="92">
        <f>SUM('CA brut produits &amp; sites'!N733:N744)</f>
        <v>0</v>
      </c>
      <c r="O680" s="92">
        <f>SUM('CA brut produits &amp; sites'!O733:O744)</f>
        <v>0</v>
      </c>
      <c r="P680" s="93">
        <f>SUM('CA brut produits &amp; sites'!P733:P744)</f>
        <v>0</v>
      </c>
    </row>
    <row r="681" spans="1:16" x14ac:dyDescent="0.3">
      <c r="A681" s="94">
        <v>44287</v>
      </c>
      <c r="B681" s="146"/>
      <c r="C681" s="92">
        <f t="shared" ref="C681" si="111">SUM(D681:P681)</f>
        <v>137344.35999999999</v>
      </c>
      <c r="D681" s="92">
        <f>SUM('CA brut produits &amp; sites'!D734:D745)</f>
        <v>32944.639999999999</v>
      </c>
      <c r="E681" s="92">
        <f>SUM('CA brut produits &amp; sites'!E734:E745)</f>
        <v>3111.87</v>
      </c>
      <c r="F681" s="92">
        <f>SUM('CA brut produits &amp; sites'!F734:F745)</f>
        <v>4614.22</v>
      </c>
      <c r="G681" s="92">
        <f>SUM('CA brut produits &amp; sites'!G734:G745)</f>
        <v>0.38</v>
      </c>
      <c r="H681" s="92">
        <f>SUM('CA brut produits &amp; sites'!H734:H745)</f>
        <v>0</v>
      </c>
      <c r="I681" s="92">
        <f>SUM('CA brut produits &amp; sites'!I734:I745)</f>
        <v>14988.769999999999</v>
      </c>
      <c r="J681" s="92">
        <f>SUM('CA brut produits &amp; sites'!J734:J745)</f>
        <v>0</v>
      </c>
      <c r="K681" s="92">
        <f>SUM('CA brut produits &amp; sites'!K734:K745)</f>
        <v>81684.479999999981</v>
      </c>
      <c r="L681" s="92">
        <f>SUM('CA brut produits &amp; sites'!L734:L745)</f>
        <v>0</v>
      </c>
      <c r="M681" s="92">
        <f>SUM('CA brut produits &amp; sites'!M734:M745)</f>
        <v>0</v>
      </c>
      <c r="N681" s="92">
        <f>SUM('CA brut produits &amp; sites'!N734:N745)</f>
        <v>0</v>
      </c>
      <c r="O681" s="92">
        <f>SUM('CA brut produits &amp; sites'!O734:O745)</f>
        <v>0</v>
      </c>
      <c r="P681" s="93">
        <f>SUM('CA brut produits &amp; sites'!P734:P745)</f>
        <v>0</v>
      </c>
    </row>
    <row r="682" spans="1:16" x14ac:dyDescent="0.3">
      <c r="A682" s="94">
        <v>44317</v>
      </c>
      <c r="B682" s="146"/>
      <c r="C682" s="92">
        <f t="shared" ref="C682" si="112">SUM(D682:P682)</f>
        <v>129215.45999999999</v>
      </c>
      <c r="D682" s="92">
        <f>SUM('CA brut produits &amp; sites'!D735:D746)</f>
        <v>33125.949999999997</v>
      </c>
      <c r="E682" s="92">
        <f>SUM('CA brut produits &amp; sites'!E735:E746)</f>
        <v>3186.1199999999994</v>
      </c>
      <c r="F682" s="92">
        <f>SUM('CA brut produits &amp; sites'!F735:F746)</f>
        <v>4430.22</v>
      </c>
      <c r="G682" s="92">
        <f>SUM('CA brut produits &amp; sites'!G735:G746)</f>
        <v>0.38</v>
      </c>
      <c r="H682" s="92">
        <f>SUM('CA brut produits &amp; sites'!H735:H746)</f>
        <v>0</v>
      </c>
      <c r="I682" s="92">
        <f>SUM('CA brut produits &amp; sites'!I735:I746)</f>
        <v>14935.939999999999</v>
      </c>
      <c r="J682" s="92">
        <f>SUM('CA brut produits &amp; sites'!J735:J746)</f>
        <v>0</v>
      </c>
      <c r="K682" s="92">
        <f>SUM('CA brut produits &amp; sites'!K735:K746)</f>
        <v>73536.849999999991</v>
      </c>
      <c r="L682" s="92">
        <f>SUM('CA brut produits &amp; sites'!L735:L746)</f>
        <v>0</v>
      </c>
      <c r="M682" s="92">
        <f>SUM('CA brut produits &amp; sites'!M735:M746)</f>
        <v>0</v>
      </c>
      <c r="N682" s="92">
        <f>SUM('CA brut produits &amp; sites'!N735:N746)</f>
        <v>0</v>
      </c>
      <c r="O682" s="92">
        <f>SUM('CA brut produits &amp; sites'!O735:O746)</f>
        <v>0</v>
      </c>
      <c r="P682" s="93">
        <f>SUM('CA brut produits &amp; sites'!P735:P746)</f>
        <v>0</v>
      </c>
    </row>
    <row r="683" spans="1:16" x14ac:dyDescent="0.3">
      <c r="A683" s="94">
        <v>44348</v>
      </c>
      <c r="B683" s="146"/>
      <c r="C683" s="92">
        <f t="shared" ref="C683" si="113">SUM(D683:P683)</f>
        <v>127785.39000000001</v>
      </c>
      <c r="D683" s="92">
        <f>SUM('CA brut produits &amp; sites'!D736:D747)</f>
        <v>33018.020000000004</v>
      </c>
      <c r="E683" s="92">
        <f>SUM('CA brut produits &amp; sites'!E736:E747)</f>
        <v>3229.1799999999994</v>
      </c>
      <c r="F683" s="92">
        <f>SUM('CA brut produits &amp; sites'!F736:F747)</f>
        <v>4292.3</v>
      </c>
      <c r="G683" s="92">
        <f>SUM('CA brut produits &amp; sites'!G736:G747)</f>
        <v>121.78999999999999</v>
      </c>
      <c r="H683" s="92">
        <f>SUM('CA brut produits &amp; sites'!H736:H747)</f>
        <v>0</v>
      </c>
      <c r="I683" s="92">
        <f>SUM('CA brut produits &amp; sites'!I736:I747)</f>
        <v>14922.36</v>
      </c>
      <c r="J683" s="92">
        <f>SUM('CA brut produits &amp; sites'!J736:J747)</f>
        <v>0</v>
      </c>
      <c r="K683" s="92">
        <f>SUM('CA brut produits &amp; sites'!K736:K747)</f>
        <v>72201.740000000005</v>
      </c>
      <c r="L683" s="92">
        <f>SUM('CA brut produits &amp; sites'!L736:L747)</f>
        <v>0</v>
      </c>
      <c r="M683" s="92">
        <f>SUM('CA brut produits &amp; sites'!M736:M747)</f>
        <v>0</v>
      </c>
      <c r="N683" s="92">
        <f>SUM('CA brut produits &amp; sites'!N736:N747)</f>
        <v>0</v>
      </c>
      <c r="O683" s="92">
        <f>SUM('CA brut produits &amp; sites'!O736:O747)</f>
        <v>0</v>
      </c>
      <c r="P683" s="93">
        <f>SUM('CA brut produits &amp; sites'!P736:P747)</f>
        <v>0</v>
      </c>
    </row>
    <row r="684" spans="1:16" x14ac:dyDescent="0.3">
      <c r="A684" s="94">
        <v>44378</v>
      </c>
      <c r="B684" s="146"/>
      <c r="C684" s="92">
        <f t="shared" ref="C684:C695" si="114">SUM(D684:P684)</f>
        <v>138439.42000000001</v>
      </c>
      <c r="D684" s="92">
        <f>SUM('CA brut produits &amp; sites'!D737:D748)</f>
        <v>34251.53</v>
      </c>
      <c r="E684" s="92">
        <f>SUM('CA brut produits &amp; sites'!E737:E748)</f>
        <v>3592.3999999999996</v>
      </c>
      <c r="F684" s="92">
        <f>SUM('CA brut produits &amp; sites'!F737:F748)</f>
        <v>11453.57</v>
      </c>
      <c r="G684" s="92">
        <f>SUM('CA brut produits &amp; sites'!G737:G748)</f>
        <v>126.30999999999999</v>
      </c>
      <c r="H684" s="92">
        <f>SUM('CA brut produits &amp; sites'!H737:H748)</f>
        <v>0</v>
      </c>
      <c r="I684" s="92">
        <f>SUM('CA brut produits &amp; sites'!I737:I748)</f>
        <v>14894.9</v>
      </c>
      <c r="J684" s="92">
        <f>SUM('CA brut produits &amp; sites'!J737:J748)</f>
        <v>0</v>
      </c>
      <c r="K684" s="92">
        <f>SUM('CA brut produits &amp; sites'!K737:K748)</f>
        <v>74120.710000000006</v>
      </c>
      <c r="L684" s="92">
        <f>SUM('CA brut produits &amp; sites'!L737:L748)</f>
        <v>0</v>
      </c>
      <c r="M684" s="92">
        <f>SUM('CA brut produits &amp; sites'!M737:M748)</f>
        <v>0</v>
      </c>
      <c r="N684" s="92">
        <f>SUM('CA brut produits &amp; sites'!N737:N748)</f>
        <v>0</v>
      </c>
      <c r="O684" s="92">
        <f>SUM('CA brut produits &amp; sites'!O737:O748)</f>
        <v>0</v>
      </c>
      <c r="P684" s="93">
        <f>SUM('CA brut produits &amp; sites'!P737:P748)</f>
        <v>0</v>
      </c>
    </row>
    <row r="685" spans="1:16" x14ac:dyDescent="0.3">
      <c r="A685" s="94">
        <v>44409</v>
      </c>
      <c r="B685" s="146"/>
      <c r="C685" s="92">
        <f t="shared" si="114"/>
        <v>135837.75999999998</v>
      </c>
      <c r="D685" s="92">
        <f>SUM('CA brut produits &amp; sites'!D738:D749)</f>
        <v>32404.13</v>
      </c>
      <c r="E685" s="92">
        <f>SUM('CA brut produits &amp; sites'!E738:E749)</f>
        <v>3582.04</v>
      </c>
      <c r="F685" s="92">
        <f>SUM('CA brut produits &amp; sites'!F738:F749)</f>
        <v>11213.57</v>
      </c>
      <c r="G685" s="92">
        <f>SUM('CA brut produits &amp; sites'!G738:G749)</f>
        <v>126.30999999999999</v>
      </c>
      <c r="H685" s="92">
        <f>SUM('CA brut produits &amp; sites'!H738:H749)</f>
        <v>0</v>
      </c>
      <c r="I685" s="92">
        <f>SUM('CA brut produits &amp; sites'!I738:I749)</f>
        <v>15123.19</v>
      </c>
      <c r="J685" s="92">
        <f>SUM('CA brut produits &amp; sites'!J738:J749)</f>
        <v>0</v>
      </c>
      <c r="K685" s="92">
        <f>SUM('CA brut produits &amp; sites'!K738:K749)</f>
        <v>73385.87</v>
      </c>
      <c r="L685" s="92">
        <f>SUM('CA brut produits &amp; sites'!L738:L749)</f>
        <v>0</v>
      </c>
      <c r="M685" s="92">
        <f>SUM('CA brut produits &amp; sites'!M738:M749)</f>
        <v>2.65</v>
      </c>
      <c r="N685" s="92">
        <f>SUM('CA brut produits &amp; sites'!N738:N749)</f>
        <v>0</v>
      </c>
      <c r="O685" s="92">
        <f>SUM('CA brut produits &amp; sites'!O738:O749)</f>
        <v>0</v>
      </c>
      <c r="P685" s="93">
        <f>SUM('CA brut produits &amp; sites'!P738:P749)</f>
        <v>0</v>
      </c>
    </row>
    <row r="686" spans="1:16" x14ac:dyDescent="0.3">
      <c r="A686" s="94">
        <v>44440</v>
      </c>
      <c r="B686" s="146"/>
      <c r="C686" s="92">
        <f t="shared" si="114"/>
        <v>131528.09</v>
      </c>
      <c r="D686" s="92">
        <f>SUM('CA brut produits &amp; sites'!D739:D750)</f>
        <v>32017.3</v>
      </c>
      <c r="E686" s="92">
        <f>SUM('CA brut produits &amp; sites'!E739:E750)</f>
        <v>2392.81</v>
      </c>
      <c r="F686" s="92">
        <f>SUM('CA brut produits &amp; sites'!F739:F750)</f>
        <v>11093.57</v>
      </c>
      <c r="G686" s="92">
        <f>SUM('CA brut produits &amp; sites'!G739:G750)</f>
        <v>126.64999999999999</v>
      </c>
      <c r="H686" s="92">
        <f>SUM('CA brut produits &amp; sites'!H739:H750)</f>
        <v>0</v>
      </c>
      <c r="I686" s="92">
        <f>SUM('CA brut produits &amp; sites'!I739:I750)</f>
        <v>15076.03</v>
      </c>
      <c r="J686" s="92">
        <f>SUM('CA brut produits &amp; sites'!J739:J750)</f>
        <v>0</v>
      </c>
      <c r="K686" s="92">
        <f>SUM('CA brut produits &amp; sites'!K739:K750)</f>
        <v>70819.08</v>
      </c>
      <c r="L686" s="92">
        <f>SUM('CA brut produits &amp; sites'!L739:L750)</f>
        <v>0</v>
      </c>
      <c r="M686" s="92">
        <f>SUM('CA brut produits &amp; sites'!M739:M750)</f>
        <v>2.65</v>
      </c>
      <c r="N686" s="92">
        <f>SUM('CA brut produits &amp; sites'!N739:N750)</f>
        <v>0</v>
      </c>
      <c r="O686" s="92">
        <f>SUM('CA brut produits &amp; sites'!O739:O750)</f>
        <v>0</v>
      </c>
      <c r="P686" s="93">
        <f>SUM('CA brut produits &amp; sites'!P739:P750)</f>
        <v>0</v>
      </c>
    </row>
    <row r="687" spans="1:16" x14ac:dyDescent="0.3">
      <c r="A687" s="94">
        <v>44470</v>
      </c>
      <c r="B687" s="146"/>
      <c r="C687" s="92">
        <f t="shared" si="114"/>
        <v>134949.22</v>
      </c>
      <c r="D687" s="92">
        <f>SUM('CA brut produits &amp; sites'!D740:D751)</f>
        <v>31896.240000000002</v>
      </c>
      <c r="E687" s="92">
        <f>SUM('CA brut produits &amp; sites'!E740:E751)</f>
        <v>2088.64</v>
      </c>
      <c r="F687" s="92">
        <f>SUM('CA brut produits &amp; sites'!F740:F751)</f>
        <v>11516.779999999999</v>
      </c>
      <c r="G687" s="92">
        <f>SUM('CA brut produits &amp; sites'!G740:G751)</f>
        <v>126.64999999999999</v>
      </c>
      <c r="H687" s="92">
        <f>SUM('CA brut produits &amp; sites'!H740:H751)</f>
        <v>0</v>
      </c>
      <c r="I687" s="92">
        <f>SUM('CA brut produits &amp; sites'!I740:I751)</f>
        <v>14930.180000000002</v>
      </c>
      <c r="J687" s="92">
        <f>SUM('CA brut produits &amp; sites'!J740:J751)</f>
        <v>0</v>
      </c>
      <c r="K687" s="92">
        <f>SUM('CA brut produits &amp; sites'!K740:K751)</f>
        <v>74388.08</v>
      </c>
      <c r="L687" s="92">
        <f>SUM('CA brut produits &amp; sites'!L740:L751)</f>
        <v>0</v>
      </c>
      <c r="M687" s="92">
        <f>SUM('CA brut produits &amp; sites'!M740:M751)</f>
        <v>2.65</v>
      </c>
      <c r="N687" s="92">
        <f>SUM('CA brut produits &amp; sites'!N740:N751)</f>
        <v>0</v>
      </c>
      <c r="O687" s="92">
        <f>SUM('CA brut produits &amp; sites'!O740:O751)</f>
        <v>0</v>
      </c>
      <c r="P687" s="93">
        <f>SUM('CA brut produits &amp; sites'!P740:P751)</f>
        <v>0</v>
      </c>
    </row>
    <row r="688" spans="1:16" x14ac:dyDescent="0.3">
      <c r="A688" s="94">
        <v>44501</v>
      </c>
      <c r="B688" s="146"/>
      <c r="C688" s="92">
        <f t="shared" si="114"/>
        <v>140403.34</v>
      </c>
      <c r="D688" s="92">
        <f>SUM('CA brut produits &amp; sites'!D741:D752)</f>
        <v>33723.22</v>
      </c>
      <c r="E688" s="92">
        <f>SUM('CA brut produits &amp; sites'!E741:E752)</f>
        <v>1880.02</v>
      </c>
      <c r="F688" s="92">
        <f>SUM('CA brut produits &amp; sites'!F741:F752)</f>
        <v>11824.82</v>
      </c>
      <c r="G688" s="92">
        <f>SUM('CA brut produits &amp; sites'!G741:G752)</f>
        <v>128.69999999999999</v>
      </c>
      <c r="H688" s="92">
        <f>SUM('CA brut produits &amp; sites'!H741:H752)</f>
        <v>0</v>
      </c>
      <c r="I688" s="92">
        <f>SUM('CA brut produits &amp; sites'!I741:I752)</f>
        <v>14907.560000000001</v>
      </c>
      <c r="J688" s="92">
        <f>SUM('CA brut produits &amp; sites'!J741:J752)</f>
        <v>0</v>
      </c>
      <c r="K688" s="92">
        <f>SUM('CA brut produits &amp; sites'!K741:K752)</f>
        <v>77936.37000000001</v>
      </c>
      <c r="L688" s="92">
        <f>SUM('CA brut produits &amp; sites'!L741:L752)</f>
        <v>0</v>
      </c>
      <c r="M688" s="92">
        <f>SUM('CA brut produits &amp; sites'!M741:M752)</f>
        <v>2.65</v>
      </c>
      <c r="N688" s="92">
        <f>SUM('CA brut produits &amp; sites'!N741:N752)</f>
        <v>0</v>
      </c>
      <c r="O688" s="92">
        <f>SUM('CA brut produits &amp; sites'!O741:O752)</f>
        <v>0</v>
      </c>
      <c r="P688" s="93">
        <f>SUM('CA brut produits &amp; sites'!P741:P752)</f>
        <v>0</v>
      </c>
    </row>
    <row r="689" spans="1:16" x14ac:dyDescent="0.3">
      <c r="A689" s="94">
        <v>44531</v>
      </c>
      <c r="B689" s="146"/>
      <c r="C689" s="92">
        <f t="shared" si="114"/>
        <v>142890.92000000001</v>
      </c>
      <c r="D689" s="92">
        <f>SUM('CA brut produits &amp; sites'!D742:D753)</f>
        <v>34072.85</v>
      </c>
      <c r="E689" s="92">
        <f>SUM('CA brut produits &amp; sites'!E742:E753)</f>
        <v>4914</v>
      </c>
      <c r="F689" s="92">
        <f>SUM('CA brut produits &amp; sites'!F742:F753)</f>
        <v>12249.699999999999</v>
      </c>
      <c r="G689" s="92">
        <f>SUM('CA brut produits &amp; sites'!G742:G753)</f>
        <v>695.97</v>
      </c>
      <c r="H689" s="92">
        <f>SUM('CA brut produits &amp; sites'!H742:H753)</f>
        <v>0</v>
      </c>
      <c r="I689" s="92">
        <f>SUM('CA brut produits &amp; sites'!I742:I753)</f>
        <v>14907.560000000001</v>
      </c>
      <c r="J689" s="92">
        <f>SUM('CA brut produits &amp; sites'!J742:J753)</f>
        <v>0</v>
      </c>
      <c r="K689" s="92">
        <f>SUM('CA brut produits &amp; sites'!K742:K753)</f>
        <v>76048.190000000017</v>
      </c>
      <c r="L689" s="92">
        <f>SUM('CA brut produits &amp; sites'!L742:L753)</f>
        <v>0</v>
      </c>
      <c r="M689" s="92">
        <f>SUM('CA brut produits &amp; sites'!M742:M753)</f>
        <v>2.65</v>
      </c>
      <c r="N689" s="92">
        <f>SUM('CA brut produits &amp; sites'!N742:N753)</f>
        <v>0</v>
      </c>
      <c r="O689" s="92">
        <f>SUM('CA brut produits &amp; sites'!O742:O753)</f>
        <v>0</v>
      </c>
      <c r="P689" s="93">
        <f>SUM('CA brut produits &amp; sites'!P742:P753)</f>
        <v>0</v>
      </c>
    </row>
    <row r="690" spans="1:16" x14ac:dyDescent="0.3">
      <c r="A690" s="94">
        <v>44562</v>
      </c>
      <c r="B690" s="146"/>
      <c r="C690" s="92">
        <f t="shared" si="114"/>
        <v>144322.91</v>
      </c>
      <c r="D690" s="92">
        <f>SUM('CA brut produits &amp; sites'!D743:D754)</f>
        <v>32879.51</v>
      </c>
      <c r="E690" s="92">
        <f>SUM('CA brut produits &amp; sites'!E743:E754)</f>
        <v>4765.26</v>
      </c>
      <c r="F690" s="92">
        <f>SUM('CA brut produits &amp; sites'!F743:F754)</f>
        <v>11696.4</v>
      </c>
      <c r="G690" s="92">
        <f>SUM('CA brut produits &amp; sites'!G743:G754)</f>
        <v>695.58999999999992</v>
      </c>
      <c r="H690" s="92">
        <f>SUM('CA brut produits &amp; sites'!H743:H754)</f>
        <v>0</v>
      </c>
      <c r="I690" s="92">
        <f>SUM('CA brut produits &amp; sites'!I743:I754)</f>
        <v>14907.560000000001</v>
      </c>
      <c r="J690" s="92">
        <f>SUM('CA brut produits &amp; sites'!J743:J754)</f>
        <v>0</v>
      </c>
      <c r="K690" s="92">
        <f>SUM('CA brut produits &amp; sites'!K743:K754)</f>
        <v>79375.940000000017</v>
      </c>
      <c r="L690" s="92">
        <f>SUM('CA brut produits &amp; sites'!L743:L754)</f>
        <v>0</v>
      </c>
      <c r="M690" s="92">
        <f>SUM('CA brut produits &amp; sites'!M743:M754)</f>
        <v>2.65</v>
      </c>
      <c r="N690" s="92">
        <f>SUM('CA brut produits &amp; sites'!N743:N754)</f>
        <v>0</v>
      </c>
      <c r="O690" s="92">
        <f>SUM('CA brut produits &amp; sites'!O743:O754)</f>
        <v>0</v>
      </c>
      <c r="P690" s="93">
        <f>SUM('CA brut produits &amp; sites'!P743:P754)</f>
        <v>0</v>
      </c>
    </row>
    <row r="691" spans="1:16" x14ac:dyDescent="0.3">
      <c r="A691" s="94">
        <v>44593</v>
      </c>
      <c r="B691" s="146"/>
      <c r="C691" s="92">
        <f t="shared" si="114"/>
        <v>134186.52000000002</v>
      </c>
      <c r="D691" s="92">
        <f>SUM('CA brut produits &amp; sites'!D744:D755)</f>
        <v>32647.740000000005</v>
      </c>
      <c r="E691" s="92">
        <f>SUM('CA brut produits &amp; sites'!E744:E755)</f>
        <v>4777.0700000000006</v>
      </c>
      <c r="F691" s="92">
        <f>SUM('CA brut produits &amp; sites'!F744:F755)</f>
        <v>11540.85</v>
      </c>
      <c r="G691" s="92">
        <f>SUM('CA brut produits &amp; sites'!G744:G755)</f>
        <v>695.58999999999992</v>
      </c>
      <c r="H691" s="92">
        <f>SUM('CA brut produits &amp; sites'!H744:H755)</f>
        <v>0</v>
      </c>
      <c r="I691" s="92">
        <f>SUM('CA brut produits &amp; sites'!I744:I755)</f>
        <v>1180.9900000000002</v>
      </c>
      <c r="J691" s="92">
        <f>SUM('CA brut produits &amp; sites'!J744:J755)</f>
        <v>0</v>
      </c>
      <c r="K691" s="92">
        <f>SUM('CA brut produits &amp; sites'!K744:K755)</f>
        <v>83341.630000000019</v>
      </c>
      <c r="L691" s="92">
        <f>SUM('CA brut produits &amp; sites'!L744:L755)</f>
        <v>0</v>
      </c>
      <c r="M691" s="92">
        <f>SUM('CA brut produits &amp; sites'!M744:M755)</f>
        <v>2.65</v>
      </c>
      <c r="N691" s="92">
        <f>SUM('CA brut produits &amp; sites'!N744:N755)</f>
        <v>0</v>
      </c>
      <c r="O691" s="92">
        <f>SUM('CA brut produits &amp; sites'!O744:O755)</f>
        <v>0</v>
      </c>
      <c r="P691" s="93">
        <f>SUM('CA brut produits &amp; sites'!P744:P755)</f>
        <v>0</v>
      </c>
    </row>
    <row r="692" spans="1:16" x14ac:dyDescent="0.3">
      <c r="A692" s="94">
        <v>44621</v>
      </c>
      <c r="B692" s="146"/>
      <c r="C692" s="92">
        <f t="shared" si="114"/>
        <v>138986.18</v>
      </c>
      <c r="D692" s="92">
        <f>SUM('CA brut produits &amp; sites'!D745:D756)</f>
        <v>31190.75</v>
      </c>
      <c r="E692" s="92">
        <f>SUM('CA brut produits &amp; sites'!E745:E756)</f>
        <v>4090.2700000000004</v>
      </c>
      <c r="F692" s="92">
        <f>SUM('CA brut produits &amp; sites'!F745:F756)</f>
        <v>9744.25</v>
      </c>
      <c r="G692" s="92">
        <f>SUM('CA brut produits &amp; sites'!G745:G756)</f>
        <v>696.33999999999992</v>
      </c>
      <c r="H692" s="92">
        <f>SUM('CA brut produits &amp; sites'!H745:H756)</f>
        <v>0</v>
      </c>
      <c r="I692" s="92">
        <f>SUM('CA brut produits &amp; sites'!I745:I756)</f>
        <v>917.88000000000011</v>
      </c>
      <c r="J692" s="92">
        <f>SUM('CA brut produits &amp; sites'!J745:J756)</f>
        <v>0</v>
      </c>
      <c r="K692" s="92">
        <f>SUM('CA brut produits &amp; sites'!K745:K756)</f>
        <v>92344.040000000008</v>
      </c>
      <c r="L692" s="92">
        <f>SUM('CA brut produits &amp; sites'!L745:L756)</f>
        <v>0</v>
      </c>
      <c r="M692" s="92">
        <f>SUM('CA brut produits &amp; sites'!M745:M756)</f>
        <v>2.65</v>
      </c>
      <c r="N692" s="92">
        <f>SUM('CA brut produits &amp; sites'!N745:N756)</f>
        <v>0</v>
      </c>
      <c r="O692" s="92">
        <f>SUM('CA brut produits &amp; sites'!O745:O756)</f>
        <v>0</v>
      </c>
      <c r="P692" s="93">
        <f>SUM('CA brut produits &amp; sites'!P745:P756)</f>
        <v>0</v>
      </c>
    </row>
    <row r="693" spans="1:16" x14ac:dyDescent="0.3">
      <c r="A693" s="94">
        <v>44652</v>
      </c>
      <c r="B693" s="146"/>
      <c r="C693" s="92">
        <f t="shared" si="114"/>
        <v>146155.19</v>
      </c>
      <c r="D693" s="92">
        <f>SUM('CA brut produits &amp; sites'!D746:D757)</f>
        <v>33086.480000000003</v>
      </c>
      <c r="E693" s="92">
        <f>SUM('CA brut produits &amp; sites'!E746:E757)</f>
        <v>3964.2300000000005</v>
      </c>
      <c r="F693" s="92">
        <f>SUM('CA brut produits &amp; sites'!F746:F757)</f>
        <v>9785.57</v>
      </c>
      <c r="G693" s="92">
        <f>SUM('CA brut produits &amp; sites'!G746:G757)</f>
        <v>698.2299999999999</v>
      </c>
      <c r="H693" s="92">
        <f>SUM('CA brut produits &amp; sites'!H746:H757)</f>
        <v>0</v>
      </c>
      <c r="I693" s="92">
        <f>SUM('CA brut produits &amp; sites'!I746:I757)</f>
        <v>1002.5700000000002</v>
      </c>
      <c r="J693" s="92">
        <f>SUM('CA brut produits &amp; sites'!J746:J757)</f>
        <v>0</v>
      </c>
      <c r="K693" s="92">
        <f>SUM('CA brut produits &amp; sites'!K746:K757)</f>
        <v>97615.459999999992</v>
      </c>
      <c r="L693" s="92">
        <f>SUM('CA brut produits &amp; sites'!L746:L757)</f>
        <v>0</v>
      </c>
      <c r="M693" s="92">
        <f>SUM('CA brut produits &amp; sites'!M746:M757)</f>
        <v>2.65</v>
      </c>
      <c r="N693" s="92">
        <f>SUM('CA brut produits &amp; sites'!N746:N757)</f>
        <v>0</v>
      </c>
      <c r="O693" s="92">
        <f>SUM('CA brut produits &amp; sites'!O746:O757)</f>
        <v>0</v>
      </c>
      <c r="P693" s="93">
        <f>SUM('CA brut produits &amp; sites'!P746:P757)</f>
        <v>0</v>
      </c>
    </row>
    <row r="694" spans="1:16" x14ac:dyDescent="0.3">
      <c r="A694" s="94">
        <v>44682</v>
      </c>
      <c r="B694" s="146"/>
      <c r="C694" s="92">
        <f t="shared" si="114"/>
        <v>149340.40999999997</v>
      </c>
      <c r="D694" s="92">
        <f>SUM('CA brut produits &amp; sites'!D747:D758)</f>
        <v>33613.160000000003</v>
      </c>
      <c r="E694" s="92">
        <f>SUM('CA brut produits &amp; sites'!E747:E758)</f>
        <v>3810.4300000000003</v>
      </c>
      <c r="F694" s="92">
        <f>SUM('CA brut produits &amp; sites'!F747:F758)</f>
        <v>10135.549999999999</v>
      </c>
      <c r="G694" s="92">
        <f>SUM('CA brut produits &amp; sites'!G747:G758)</f>
        <v>699.7399999999999</v>
      </c>
      <c r="H694" s="92">
        <f>SUM('CA brut produits &amp; sites'!H747:H758)</f>
        <v>0</v>
      </c>
      <c r="I694" s="92">
        <f>SUM('CA brut produits &amp; sites'!I747:I758)</f>
        <v>1010.1100000000001</v>
      </c>
      <c r="J694" s="92">
        <f>SUM('CA brut produits &amp; sites'!J747:J758)</f>
        <v>0</v>
      </c>
      <c r="K694" s="92">
        <f>SUM('CA brut produits &amp; sites'!K747:K758)</f>
        <v>100068.76999999999</v>
      </c>
      <c r="L694" s="92">
        <f>SUM('CA brut produits &amp; sites'!L747:L758)</f>
        <v>0</v>
      </c>
      <c r="M694" s="92">
        <f>SUM('CA brut produits &amp; sites'!M747:M758)</f>
        <v>2.65</v>
      </c>
      <c r="N694" s="92">
        <f>SUM('CA brut produits &amp; sites'!N747:N758)</f>
        <v>0</v>
      </c>
      <c r="O694" s="92">
        <f>SUM('CA brut produits &amp; sites'!O747:O758)</f>
        <v>0</v>
      </c>
      <c r="P694" s="93">
        <f>SUM('CA brut produits &amp; sites'!P747:P758)</f>
        <v>0</v>
      </c>
    </row>
    <row r="695" spans="1:16" x14ac:dyDescent="0.3">
      <c r="A695" s="94">
        <v>44713</v>
      </c>
      <c r="B695" s="146"/>
      <c r="C695" s="92">
        <f t="shared" si="114"/>
        <v>153370.46</v>
      </c>
      <c r="D695" s="92">
        <f>SUM('CA brut produits &amp; sites'!D748:D759)</f>
        <v>35119.500000000007</v>
      </c>
      <c r="E695" s="92">
        <f>SUM('CA brut produits &amp; sites'!E748:E759)</f>
        <v>3695.8100000000004</v>
      </c>
      <c r="F695" s="92">
        <f>SUM('CA brut produits &amp; sites'!F748:F759)</f>
        <v>10935.43</v>
      </c>
      <c r="G695" s="92">
        <f>SUM('CA brut produits &amp; sites'!G748:G759)</f>
        <v>578.70999999999992</v>
      </c>
      <c r="H695" s="92">
        <f>SUM('CA brut produits &amp; sites'!H748:H759)</f>
        <v>0</v>
      </c>
      <c r="I695" s="92">
        <f>SUM('CA brut produits &amp; sites'!I748:I759)</f>
        <v>989.64</v>
      </c>
      <c r="J695" s="92">
        <f>SUM('CA brut produits &amp; sites'!J748:J759)</f>
        <v>0</v>
      </c>
      <c r="K695" s="92">
        <f>SUM('CA brut produits &amp; sites'!K748:K759)</f>
        <v>102048.71999999999</v>
      </c>
      <c r="L695" s="92">
        <f>SUM('CA brut produits &amp; sites'!L748:L759)</f>
        <v>0</v>
      </c>
      <c r="M695" s="92">
        <f>SUM('CA brut produits &amp; sites'!M748:M759)</f>
        <v>2.65</v>
      </c>
      <c r="N695" s="92">
        <f>SUM('CA brut produits &amp; sites'!N748:N759)</f>
        <v>0</v>
      </c>
      <c r="O695" s="92">
        <f>SUM('CA brut produits &amp; sites'!O748:O759)</f>
        <v>0</v>
      </c>
      <c r="P695" s="93">
        <f>SUM('CA brut produits &amp; sites'!P748:P759)</f>
        <v>0</v>
      </c>
    </row>
    <row r="696" spans="1:16" x14ac:dyDescent="0.3">
      <c r="A696" s="94">
        <v>44743</v>
      </c>
      <c r="B696" s="146"/>
      <c r="P696" s="93"/>
    </row>
    <row r="697" spans="1:16" x14ac:dyDescent="0.3">
      <c r="A697" s="94">
        <v>44774</v>
      </c>
      <c r="B697" s="146"/>
      <c r="P697" s="93"/>
    </row>
    <row r="698" spans="1:16" x14ac:dyDescent="0.3">
      <c r="A698" s="94">
        <v>44805</v>
      </c>
      <c r="B698" s="146"/>
      <c r="P698" s="93"/>
    </row>
    <row r="699" spans="1:16" x14ac:dyDescent="0.3">
      <c r="A699" s="94">
        <v>44835</v>
      </c>
      <c r="B699" s="146"/>
      <c r="P699" s="93"/>
    </row>
    <row r="700" spans="1:16" x14ac:dyDescent="0.3">
      <c r="A700" s="94">
        <v>44866</v>
      </c>
      <c r="B700" s="146"/>
      <c r="P700" s="93"/>
    </row>
    <row r="701" spans="1:16" x14ac:dyDescent="0.3">
      <c r="A701" s="94">
        <v>44896</v>
      </c>
      <c r="B701" s="146"/>
      <c r="P701" s="93"/>
    </row>
    <row r="702" spans="1:16" x14ac:dyDescent="0.3">
      <c r="A702" s="94"/>
      <c r="B702" s="146"/>
      <c r="P702" s="93"/>
    </row>
    <row r="703" spans="1:16" x14ac:dyDescent="0.3">
      <c r="A703" s="94"/>
      <c r="B703" s="146"/>
      <c r="P703" s="93"/>
    </row>
    <row r="704" spans="1:16" x14ac:dyDescent="0.3">
      <c r="A704" s="94"/>
      <c r="B704" s="146"/>
      <c r="P704" s="93"/>
    </row>
    <row r="705" spans="1:16" ht="15" thickBot="1" x14ac:dyDescent="0.35">
      <c r="A705" s="94"/>
      <c r="B705" s="149"/>
      <c r="P705" s="93"/>
    </row>
    <row r="706" spans="1:16" ht="17.100000000000001" customHeight="1" x14ac:dyDescent="0.3">
      <c r="A706" s="88">
        <v>41974</v>
      </c>
      <c r="B706" s="145" t="s">
        <v>22</v>
      </c>
      <c r="C706" s="95">
        <f t="shared" ref="C706:C742" si="115">SUM(D706:N706)</f>
        <v>488709.67000000016</v>
      </c>
      <c r="D706" s="95">
        <f>SUM('CA brut produits &amp; sites'!D767:D778)</f>
        <v>182657.82</v>
      </c>
      <c r="E706" s="95">
        <f>SUM('CA brut produits &amp; sites'!E767:E778)</f>
        <v>90630.220000000016</v>
      </c>
      <c r="F706" s="95">
        <f>SUM('CA brut produits &amp; sites'!F767:F778)</f>
        <v>567.58000000000004</v>
      </c>
      <c r="G706" s="95">
        <f>SUM('CA brut produits &amp; sites'!G767:G778)</f>
        <v>3149.33</v>
      </c>
      <c r="H706" s="95">
        <f>SUM('CA brut produits &amp; sites'!H767:H778)</f>
        <v>1278.8400000000001</v>
      </c>
      <c r="I706" s="95">
        <f>SUM('CA brut produits &amp; sites'!I767:I778)</f>
        <v>11915.449999999999</v>
      </c>
      <c r="J706" s="95">
        <f>SUM('CA brut produits &amp; sites'!J767:J778)</f>
        <v>0</v>
      </c>
      <c r="K706" s="95">
        <f>SUM('CA brut produits &amp; sites'!K767:K778)</f>
        <v>198475.79</v>
      </c>
      <c r="L706" s="95">
        <f>SUM('CA brut produits &amp; sites'!L767:L778)</f>
        <v>15</v>
      </c>
      <c r="M706" s="95">
        <f>SUM('CA brut produits &amp; sites'!M767:M778)</f>
        <v>19.64</v>
      </c>
      <c r="N706" s="95">
        <f>SUM('CA brut produits &amp; sites'!N767:N778)</f>
        <v>0</v>
      </c>
      <c r="O706" s="95">
        <f>SUM('CA brut produits &amp; sites'!O767:O778)</f>
        <v>0</v>
      </c>
      <c r="P706" s="97">
        <f>SUM('CA brut produits &amp; sites'!P767:P778)</f>
        <v>0</v>
      </c>
    </row>
    <row r="707" spans="1:16" x14ac:dyDescent="0.3">
      <c r="A707" s="87">
        <v>42005</v>
      </c>
      <c r="B707" s="146"/>
      <c r="C707" s="92">
        <f t="shared" si="115"/>
        <v>478656.84</v>
      </c>
      <c r="D707" s="92">
        <f>SUM('CA brut produits &amp; sites'!D768:D779)</f>
        <v>181448.50999999998</v>
      </c>
      <c r="E707" s="92">
        <f>SUM('CA brut produits &amp; sites'!E768:E779)</f>
        <v>91974.040000000023</v>
      </c>
      <c r="F707" s="92">
        <f>SUM('CA brut produits &amp; sites'!F768:F779)</f>
        <v>833.07</v>
      </c>
      <c r="G707" s="92">
        <f>SUM('CA brut produits &amp; sites'!G768:G779)</f>
        <v>3517.75</v>
      </c>
      <c r="H707" s="92">
        <f>SUM('CA brut produits &amp; sites'!H768:H779)</f>
        <v>1174.4999999999998</v>
      </c>
      <c r="I707" s="92">
        <f>SUM('CA brut produits &amp; sites'!I768:I779)</f>
        <v>11808.5</v>
      </c>
      <c r="J707" s="92">
        <f>SUM('CA brut produits &amp; sites'!J768:J779)</f>
        <v>0</v>
      </c>
      <c r="K707" s="92">
        <f>SUM('CA brut produits &amp; sites'!K768:K779)</f>
        <v>187900.83000000002</v>
      </c>
      <c r="L707" s="92">
        <f>SUM('CA brut produits &amp; sites'!L768:L779)</f>
        <v>40</v>
      </c>
      <c r="M707" s="92">
        <f>SUM('CA brut produits &amp; sites'!M768:M779)</f>
        <v>-40.36</v>
      </c>
      <c r="N707" s="92">
        <f>SUM('CA brut produits &amp; sites'!N768:N779)</f>
        <v>0</v>
      </c>
      <c r="O707" s="92">
        <f>SUM('CA brut produits &amp; sites'!O768:O779)</f>
        <v>0</v>
      </c>
      <c r="P707" s="93">
        <f>SUM('CA brut produits &amp; sites'!P768:P779)</f>
        <v>0</v>
      </c>
    </row>
    <row r="708" spans="1:16" x14ac:dyDescent="0.3">
      <c r="A708" s="87">
        <v>42036</v>
      </c>
      <c r="B708" s="146"/>
      <c r="C708" s="92">
        <f t="shared" si="115"/>
        <v>463993.01999999996</v>
      </c>
      <c r="D708" s="92">
        <f>SUM('CA brut produits &amp; sites'!D769:D780)</f>
        <v>181921.51</v>
      </c>
      <c r="E708" s="92">
        <f>SUM('CA brut produits &amp; sites'!E769:E780)</f>
        <v>89022.430000000008</v>
      </c>
      <c r="F708" s="92">
        <f>SUM('CA brut produits &amp; sites'!F769:F780)</f>
        <v>831.5100000000001</v>
      </c>
      <c r="G708" s="92">
        <f>SUM('CA brut produits &amp; sites'!G769:G780)</f>
        <v>3865.23</v>
      </c>
      <c r="H708" s="92">
        <f>SUM('CA brut produits &amp; sites'!H769:H780)</f>
        <v>1287.8200000000002</v>
      </c>
      <c r="I708" s="92">
        <f>SUM('CA brut produits &amp; sites'!I769:I780)</f>
        <v>13225.349999999999</v>
      </c>
      <c r="J708" s="92">
        <f>SUM('CA brut produits &amp; sites'!J769:J780)</f>
        <v>0</v>
      </c>
      <c r="K708" s="92">
        <f>SUM('CA brut produits &amp; sites'!K769:K780)</f>
        <v>173833.52999999997</v>
      </c>
      <c r="L708" s="92">
        <f>SUM('CA brut produits &amp; sites'!L769:L780)</f>
        <v>40</v>
      </c>
      <c r="M708" s="92">
        <f>SUM('CA brut produits &amp; sites'!M769:M780)</f>
        <v>-34.36</v>
      </c>
      <c r="N708" s="92">
        <f>SUM('CA brut produits &amp; sites'!N769:N780)</f>
        <v>0</v>
      </c>
      <c r="O708" s="92">
        <f>SUM('CA brut produits &amp; sites'!O769:O780)</f>
        <v>0</v>
      </c>
      <c r="P708" s="93">
        <f>SUM('CA brut produits &amp; sites'!P769:P780)</f>
        <v>0</v>
      </c>
    </row>
    <row r="709" spans="1:16" x14ac:dyDescent="0.3">
      <c r="A709" s="87">
        <v>42064</v>
      </c>
      <c r="B709" s="146"/>
      <c r="C709" s="92">
        <f t="shared" si="115"/>
        <v>471981.51</v>
      </c>
      <c r="D709" s="92">
        <f>SUM('CA brut produits &amp; sites'!D770:D781)</f>
        <v>186327.59</v>
      </c>
      <c r="E709" s="92">
        <f>SUM('CA brut produits &amp; sites'!E770:E781)</f>
        <v>89783.360000000001</v>
      </c>
      <c r="F709" s="92">
        <f>SUM('CA brut produits &amp; sites'!F770:F781)</f>
        <v>965.16000000000008</v>
      </c>
      <c r="G709" s="92">
        <f>SUM('CA brut produits &amp; sites'!G770:G781)</f>
        <v>3871.2800000000007</v>
      </c>
      <c r="H709" s="92">
        <f>SUM('CA brut produits &amp; sites'!H770:H781)</f>
        <v>2924.37</v>
      </c>
      <c r="I709" s="92">
        <f>SUM('CA brut produits &amp; sites'!I770:I781)</f>
        <v>14487.3</v>
      </c>
      <c r="J709" s="92">
        <f>SUM('CA brut produits &amp; sites'!J770:J781)</f>
        <v>0</v>
      </c>
      <c r="K709" s="92">
        <f>SUM('CA brut produits &amp; sites'!K770:K781)</f>
        <v>173641.81</v>
      </c>
      <c r="L709" s="92">
        <f>SUM('CA brut produits &amp; sites'!L770:L781)</f>
        <v>25</v>
      </c>
      <c r="M709" s="92">
        <f>SUM('CA brut produits &amp; sites'!M770:M781)</f>
        <v>-44.36</v>
      </c>
      <c r="N709" s="92">
        <f>SUM('CA brut produits &amp; sites'!N770:N781)</f>
        <v>0</v>
      </c>
      <c r="O709" s="92">
        <f>SUM('CA brut produits &amp; sites'!O770:O781)</f>
        <v>0</v>
      </c>
      <c r="P709" s="93">
        <f>SUM('CA brut produits &amp; sites'!P770:P781)</f>
        <v>0</v>
      </c>
    </row>
    <row r="710" spans="1:16" x14ac:dyDescent="0.3">
      <c r="A710" s="87">
        <v>42095</v>
      </c>
      <c r="B710" s="146"/>
      <c r="C710" s="92">
        <f t="shared" si="115"/>
        <v>497301.64999999997</v>
      </c>
      <c r="D710" s="92">
        <f>SUM('CA brut produits &amp; sites'!D771:D782)</f>
        <v>188071.05</v>
      </c>
      <c r="E710" s="92">
        <f>SUM('CA brut produits &amp; sites'!E771:E782)</f>
        <v>96297.97</v>
      </c>
      <c r="F710" s="92">
        <f>SUM('CA brut produits &amp; sites'!F771:F782)</f>
        <v>965.16000000000008</v>
      </c>
      <c r="G710" s="92">
        <f>SUM('CA brut produits &amp; sites'!G771:G782)</f>
        <v>3892.2900000000009</v>
      </c>
      <c r="H710" s="92">
        <f>SUM('CA brut produits &amp; sites'!H771:H782)</f>
        <v>2924.37</v>
      </c>
      <c r="I710" s="92">
        <f>SUM('CA brut produits &amp; sites'!I771:I782)</f>
        <v>16595.75</v>
      </c>
      <c r="J710" s="92">
        <f>SUM('CA brut produits &amp; sites'!J771:J782)</f>
        <v>0</v>
      </c>
      <c r="K710" s="92">
        <f>SUM('CA brut produits &amp; sites'!K771:K782)</f>
        <v>188534.50999999998</v>
      </c>
      <c r="L710" s="92">
        <f>SUM('CA brut produits &amp; sites'!L771:L782)</f>
        <v>25</v>
      </c>
      <c r="M710" s="92">
        <f>SUM('CA brut produits &amp; sites'!M771:M782)</f>
        <v>-4.4500000000000028</v>
      </c>
      <c r="N710" s="92">
        <f>SUM('CA brut produits &amp; sites'!N771:N782)</f>
        <v>0</v>
      </c>
      <c r="O710" s="92">
        <f>SUM('CA brut produits &amp; sites'!O771:O782)</f>
        <v>0</v>
      </c>
      <c r="P710" s="93">
        <f>SUM('CA brut produits &amp; sites'!P771:P782)</f>
        <v>0</v>
      </c>
    </row>
    <row r="711" spans="1:16" x14ac:dyDescent="0.3">
      <c r="A711" s="87">
        <v>42125</v>
      </c>
      <c r="B711" s="146"/>
      <c r="C711" s="92">
        <f t="shared" si="115"/>
        <v>494755.80000000016</v>
      </c>
      <c r="D711" s="92">
        <f>SUM('CA brut produits &amp; sites'!D772:D783)</f>
        <v>185884.02</v>
      </c>
      <c r="E711" s="92">
        <f>SUM('CA brut produits &amp; sites'!E772:E783)</f>
        <v>95618.690000000017</v>
      </c>
      <c r="F711" s="92">
        <f>SUM('CA brut produits &amp; sites'!F772:F783)</f>
        <v>1003.84</v>
      </c>
      <c r="G711" s="92">
        <f>SUM('CA brut produits &amp; sites'!G772:G783)</f>
        <v>3141.2700000000004</v>
      </c>
      <c r="H711" s="92">
        <f>SUM('CA brut produits &amp; sites'!H772:H783)</f>
        <v>2756.0299999999997</v>
      </c>
      <c r="I711" s="92">
        <f>SUM('CA brut produits &amp; sites'!I772:I783)</f>
        <v>15920.089999999998</v>
      </c>
      <c r="J711" s="92">
        <f>SUM('CA brut produits &amp; sites'!J772:J783)</f>
        <v>0</v>
      </c>
      <c r="K711" s="92">
        <f>SUM('CA brut produits &amp; sites'!K772:K783)</f>
        <v>190388.48000000001</v>
      </c>
      <c r="L711" s="92">
        <f>SUM('CA brut produits &amp; sites'!L772:L783)</f>
        <v>25</v>
      </c>
      <c r="M711" s="92">
        <f>SUM('CA brut produits &amp; sites'!M772:M783)</f>
        <v>18.379999999999995</v>
      </c>
      <c r="N711" s="92">
        <f>SUM('CA brut produits &amp; sites'!N772:N783)</f>
        <v>0</v>
      </c>
      <c r="O711" s="92">
        <f>SUM('CA brut produits &amp; sites'!O772:O783)</f>
        <v>0</v>
      </c>
      <c r="P711" s="93">
        <f>SUM('CA brut produits &amp; sites'!P772:P783)</f>
        <v>0</v>
      </c>
    </row>
    <row r="712" spans="1:16" x14ac:dyDescent="0.3">
      <c r="A712" s="87">
        <v>42156</v>
      </c>
      <c r="B712" s="146"/>
      <c r="C712" s="92">
        <f t="shared" si="115"/>
        <v>485481.67</v>
      </c>
      <c r="D712" s="92">
        <f>SUM('CA brut produits &amp; sites'!D773:D784)</f>
        <v>186354.52</v>
      </c>
      <c r="E712" s="92">
        <f>SUM('CA brut produits &amp; sites'!E773:E784)</f>
        <v>93794.98000000001</v>
      </c>
      <c r="F712" s="92">
        <f>SUM('CA brut produits &amp; sites'!F773:F784)</f>
        <v>666.34999999999991</v>
      </c>
      <c r="G712" s="92">
        <f>SUM('CA brut produits &amp; sites'!G773:G784)</f>
        <v>3310.1900000000005</v>
      </c>
      <c r="H712" s="92">
        <f>SUM('CA brut produits &amp; sites'!H773:H784)</f>
        <v>2719.13</v>
      </c>
      <c r="I712" s="92">
        <f>SUM('CA brut produits &amp; sites'!I773:I784)</f>
        <v>14420.699999999999</v>
      </c>
      <c r="J712" s="92">
        <f>SUM('CA brut produits &amp; sites'!J773:J784)</f>
        <v>0</v>
      </c>
      <c r="K712" s="92">
        <f>SUM('CA brut produits &amp; sites'!K773:K784)</f>
        <v>184121.8</v>
      </c>
      <c r="L712" s="92">
        <f>SUM('CA brut produits &amp; sites'!L773:L784)</f>
        <v>25</v>
      </c>
      <c r="M712" s="92">
        <f>SUM('CA brut produits &amp; sites'!M773:M784)</f>
        <v>69</v>
      </c>
      <c r="N712" s="92">
        <f>SUM('CA brut produits &amp; sites'!N773:N784)</f>
        <v>0</v>
      </c>
      <c r="O712" s="92">
        <f>SUM('CA brut produits &amp; sites'!O773:O784)</f>
        <v>0</v>
      </c>
      <c r="P712" s="93">
        <f>SUM('CA brut produits &amp; sites'!P773:P784)</f>
        <v>0</v>
      </c>
    </row>
    <row r="713" spans="1:16" x14ac:dyDescent="0.3">
      <c r="A713" s="87">
        <v>42186</v>
      </c>
      <c r="B713" s="146"/>
      <c r="C713" s="92">
        <f t="shared" si="115"/>
        <v>449744.44</v>
      </c>
      <c r="D713" s="92">
        <f>SUM('CA brut produits &amp; sites'!D774:D785)</f>
        <v>181559.76</v>
      </c>
      <c r="E713" s="92">
        <f>SUM('CA brut produits &amp; sites'!E774:E785)</f>
        <v>89001.71</v>
      </c>
      <c r="F713" s="92">
        <f>SUM('CA brut produits &amp; sites'!F774:F785)</f>
        <v>666.34999999999991</v>
      </c>
      <c r="G713" s="92">
        <f>SUM('CA brut produits &amp; sites'!G774:G785)</f>
        <v>2846.03</v>
      </c>
      <c r="H713" s="92">
        <f>SUM('CA brut produits &amp; sites'!H774:H785)</f>
        <v>2719.13</v>
      </c>
      <c r="I713" s="92">
        <f>SUM('CA brut produits &amp; sites'!I774:I785)</f>
        <v>11691.789999999999</v>
      </c>
      <c r="J713" s="92">
        <f>SUM('CA brut produits &amp; sites'!J774:J785)</f>
        <v>0</v>
      </c>
      <c r="K713" s="92">
        <f>SUM('CA brut produits &amp; sites'!K774:K785)</f>
        <v>161165.66999999998</v>
      </c>
      <c r="L713" s="92">
        <f>SUM('CA brut produits &amp; sites'!L774:L785)</f>
        <v>25</v>
      </c>
      <c r="M713" s="92">
        <f>SUM('CA brut produits &amp; sites'!M774:M785)</f>
        <v>69</v>
      </c>
      <c r="N713" s="92">
        <f>SUM('CA brut produits &amp; sites'!N774:N785)</f>
        <v>0</v>
      </c>
      <c r="O713" s="92">
        <f>SUM('CA brut produits &amp; sites'!O774:O785)</f>
        <v>0</v>
      </c>
      <c r="P713" s="93">
        <f>SUM('CA brut produits &amp; sites'!P774:P785)</f>
        <v>0</v>
      </c>
    </row>
    <row r="714" spans="1:16" x14ac:dyDescent="0.3">
      <c r="A714" s="87">
        <v>42217</v>
      </c>
      <c r="B714" s="146"/>
      <c r="C714" s="92">
        <f t="shared" si="115"/>
        <v>455852.19</v>
      </c>
      <c r="D714" s="92">
        <f>SUM('CA brut produits &amp; sites'!D775:D786)</f>
        <v>185080.29</v>
      </c>
      <c r="E714" s="92">
        <f>SUM('CA brut produits &amp; sites'!E775:E786)</f>
        <v>90289.48000000001</v>
      </c>
      <c r="F714" s="92">
        <f>SUM('CA brut produits &amp; sites'!F775:F786)</f>
        <v>666.34999999999991</v>
      </c>
      <c r="G714" s="92">
        <f>SUM('CA brut produits &amp; sites'!G775:G786)</f>
        <v>2808.1600000000003</v>
      </c>
      <c r="H714" s="92">
        <f>SUM('CA brut produits &amp; sites'!H775:H786)</f>
        <v>2739.13</v>
      </c>
      <c r="I714" s="92">
        <f>SUM('CA brut produits &amp; sites'!I775:I786)</f>
        <v>11529.579999999998</v>
      </c>
      <c r="J714" s="92">
        <f>SUM('CA brut produits &amp; sites'!J775:J786)</f>
        <v>0</v>
      </c>
      <c r="K714" s="92">
        <f>SUM('CA brut produits &amp; sites'!K775:K786)</f>
        <v>162645.20000000001</v>
      </c>
      <c r="L714" s="92">
        <f>SUM('CA brut produits &amp; sites'!L775:L786)</f>
        <v>25</v>
      </c>
      <c r="M714" s="92">
        <f>SUM('CA brut produits &amp; sites'!M775:M786)</f>
        <v>69</v>
      </c>
      <c r="N714" s="92">
        <f>SUM('CA brut produits &amp; sites'!N775:N786)</f>
        <v>0</v>
      </c>
      <c r="O714" s="92">
        <f>SUM('CA brut produits &amp; sites'!O775:O786)</f>
        <v>0</v>
      </c>
      <c r="P714" s="93">
        <f>SUM('CA brut produits &amp; sites'!P775:P786)</f>
        <v>0</v>
      </c>
    </row>
    <row r="715" spans="1:16" x14ac:dyDescent="0.3">
      <c r="A715" s="87">
        <v>42248</v>
      </c>
      <c r="B715" s="146"/>
      <c r="C715" s="92">
        <f t="shared" si="115"/>
        <v>462008.97000000003</v>
      </c>
      <c r="D715" s="92">
        <f>SUM('CA brut produits &amp; sites'!D776:D787)</f>
        <v>191517.91999999998</v>
      </c>
      <c r="E715" s="92">
        <f>SUM('CA brut produits &amp; sites'!E776:E787)</f>
        <v>91275.220000000016</v>
      </c>
      <c r="F715" s="92">
        <f>SUM('CA brut produits &amp; sites'!F776:F787)</f>
        <v>771.01</v>
      </c>
      <c r="G715" s="92">
        <f>SUM('CA brut produits &amp; sites'!G776:G787)</f>
        <v>2978.3900000000003</v>
      </c>
      <c r="H715" s="92">
        <f>SUM('CA brut produits &amp; sites'!H776:H787)</f>
        <v>2819.75</v>
      </c>
      <c r="I715" s="92">
        <f>SUM('CA brut produits &amp; sites'!I776:I787)</f>
        <v>11748.429999999998</v>
      </c>
      <c r="J715" s="92">
        <f>SUM('CA brut produits &amp; sites'!J776:J787)</f>
        <v>0</v>
      </c>
      <c r="K715" s="92">
        <f>SUM('CA brut produits &amp; sites'!K776:K787)</f>
        <v>160812.59</v>
      </c>
      <c r="L715" s="92">
        <f>SUM('CA brut produits &amp; sites'!L776:L787)</f>
        <v>76.66</v>
      </c>
      <c r="M715" s="92">
        <f>SUM('CA brut produits &amp; sites'!M776:M787)</f>
        <v>9</v>
      </c>
      <c r="N715" s="92">
        <f>SUM('CA brut produits &amp; sites'!N776:N787)</f>
        <v>0</v>
      </c>
      <c r="O715" s="92">
        <f>SUM('CA brut produits &amp; sites'!O776:O787)</f>
        <v>0</v>
      </c>
      <c r="P715" s="93">
        <f>SUM('CA brut produits &amp; sites'!P776:P787)</f>
        <v>0</v>
      </c>
    </row>
    <row r="716" spans="1:16" x14ac:dyDescent="0.3">
      <c r="A716" s="87">
        <v>42278</v>
      </c>
      <c r="B716" s="146"/>
      <c r="C716" s="92">
        <f t="shared" si="115"/>
        <v>434574.55000000005</v>
      </c>
      <c r="D716" s="92">
        <f>SUM('CA brut produits &amp; sites'!D777:D788)</f>
        <v>184616.74</v>
      </c>
      <c r="E716" s="92">
        <f>SUM('CA brut produits &amp; sites'!E777:E788)</f>
        <v>84591.950000000012</v>
      </c>
      <c r="F716" s="92">
        <f>SUM('CA brut produits &amp; sites'!F777:F788)</f>
        <v>862.63</v>
      </c>
      <c r="G716" s="92">
        <f>SUM('CA brut produits &amp; sites'!G777:G788)</f>
        <v>2619.1999999999998</v>
      </c>
      <c r="H716" s="92">
        <f>SUM('CA brut produits &amp; sites'!H777:H788)</f>
        <v>2921.75</v>
      </c>
      <c r="I716" s="92">
        <f>SUM('CA brut produits &amp; sites'!I777:I788)</f>
        <v>9559.8299999999981</v>
      </c>
      <c r="J716" s="92">
        <f>SUM('CA brut produits &amp; sites'!J777:J788)</f>
        <v>0</v>
      </c>
      <c r="K716" s="92">
        <f>SUM('CA brut produits &amp; sites'!K777:K788)</f>
        <v>149368.45000000001</v>
      </c>
      <c r="L716" s="92">
        <f>SUM('CA brut produits &amp; sites'!L777:L788)</f>
        <v>25</v>
      </c>
      <c r="M716" s="92">
        <f>SUM('CA brut produits &amp; sites'!M777:M788)</f>
        <v>9</v>
      </c>
      <c r="N716" s="92">
        <f>SUM('CA brut produits &amp; sites'!N777:N788)</f>
        <v>0</v>
      </c>
      <c r="O716" s="92">
        <f>SUM('CA brut produits &amp; sites'!O777:O788)</f>
        <v>0</v>
      </c>
      <c r="P716" s="93">
        <f>SUM('CA brut produits &amp; sites'!P777:P788)</f>
        <v>0</v>
      </c>
    </row>
    <row r="717" spans="1:16" x14ac:dyDescent="0.3">
      <c r="A717" s="87">
        <v>42309</v>
      </c>
      <c r="B717" s="146"/>
      <c r="C717" s="92">
        <f t="shared" si="115"/>
        <v>429005.64999999991</v>
      </c>
      <c r="D717" s="92">
        <f>SUM('CA brut produits &amp; sites'!D778:D789)</f>
        <v>183050.74999999997</v>
      </c>
      <c r="E717" s="92">
        <f>SUM('CA brut produits &amp; sites'!E778:E789)</f>
        <v>81766.549999999988</v>
      </c>
      <c r="F717" s="92">
        <f>SUM('CA brut produits &amp; sites'!F778:F789)</f>
        <v>826.95</v>
      </c>
      <c r="G717" s="92">
        <f>SUM('CA brut produits &amp; sites'!G778:G789)</f>
        <v>2546.92</v>
      </c>
      <c r="H717" s="92">
        <f>SUM('CA brut produits &amp; sites'!H778:H789)</f>
        <v>3403.2400000000002</v>
      </c>
      <c r="I717" s="92">
        <f>SUM('CA brut produits &amp; sites'!I778:I789)</f>
        <v>9563.4499999999989</v>
      </c>
      <c r="J717" s="92">
        <f>SUM('CA brut produits &amp; sites'!J778:J789)</f>
        <v>0</v>
      </c>
      <c r="K717" s="92">
        <f>SUM('CA brut produits &amp; sites'!K778:K789)</f>
        <v>147813.79</v>
      </c>
      <c r="L717" s="92">
        <f>SUM('CA brut produits &amp; sites'!L778:L789)</f>
        <v>25</v>
      </c>
      <c r="M717" s="92">
        <f>SUM('CA brut produits &amp; sites'!M778:M789)</f>
        <v>9</v>
      </c>
      <c r="N717" s="92">
        <f>SUM('CA brut produits &amp; sites'!N778:N789)</f>
        <v>0</v>
      </c>
      <c r="O717" s="92">
        <f>SUM('CA brut produits &amp; sites'!O778:O789)</f>
        <v>0</v>
      </c>
      <c r="P717" s="93">
        <f>SUM('CA brut produits &amp; sites'!P778:P789)</f>
        <v>0</v>
      </c>
    </row>
    <row r="718" spans="1:16" x14ac:dyDescent="0.3">
      <c r="A718" s="87">
        <v>42339</v>
      </c>
      <c r="B718" s="146"/>
      <c r="C718" s="92">
        <f t="shared" si="115"/>
        <v>428288.35</v>
      </c>
      <c r="D718" s="92">
        <f>SUM('CA brut produits &amp; sites'!D779:D790)</f>
        <v>183442.94999999998</v>
      </c>
      <c r="E718" s="92">
        <f>SUM('CA brut produits &amp; sites'!E779:E790)</f>
        <v>80762.399999999994</v>
      </c>
      <c r="F718" s="92">
        <f>SUM('CA brut produits &amp; sites'!F779:F790)</f>
        <v>826.95</v>
      </c>
      <c r="G718" s="92">
        <f>SUM('CA brut produits &amp; sites'!G779:G790)</f>
        <v>2492.2799999999997</v>
      </c>
      <c r="H718" s="92">
        <f>SUM('CA brut produits &amp; sites'!H779:H790)</f>
        <v>3564.7400000000002</v>
      </c>
      <c r="I718" s="92">
        <f>SUM('CA brut produits &amp; sites'!I779:I790)</f>
        <v>9365.24</v>
      </c>
      <c r="J718" s="92">
        <f>SUM('CA brut produits &amp; sites'!J779:J790)</f>
        <v>0</v>
      </c>
      <c r="K718" s="92">
        <f>SUM('CA brut produits &amp; sites'!K779:K790)</f>
        <v>147799.79</v>
      </c>
      <c r="L718" s="92">
        <f>SUM('CA brut produits &amp; sites'!L779:L790)</f>
        <v>25</v>
      </c>
      <c r="M718" s="92">
        <f>SUM('CA brut produits &amp; sites'!M779:M790)</f>
        <v>9</v>
      </c>
      <c r="N718" s="92">
        <f>SUM('CA brut produits &amp; sites'!N779:N790)</f>
        <v>0</v>
      </c>
      <c r="O718" s="92">
        <f>SUM('CA brut produits &amp; sites'!O779:O790)</f>
        <v>0</v>
      </c>
      <c r="P718" s="93">
        <f>SUM('CA brut produits &amp; sites'!P779:P790)</f>
        <v>0</v>
      </c>
    </row>
    <row r="719" spans="1:16" x14ac:dyDescent="0.3">
      <c r="A719" s="87">
        <v>42370</v>
      </c>
      <c r="B719" s="146"/>
      <c r="C719" s="92">
        <f t="shared" si="115"/>
        <v>412466.68</v>
      </c>
      <c r="D719" s="92">
        <f>SUM('CA brut produits &amp; sites'!D780:D791)</f>
        <v>176161.52</v>
      </c>
      <c r="E719" s="92">
        <f>SUM('CA brut produits &amp; sites'!E780:E791)</f>
        <v>79523.200000000012</v>
      </c>
      <c r="F719" s="92">
        <f>SUM('CA brut produits &amp; sites'!F780:F791)</f>
        <v>627.95000000000005</v>
      </c>
      <c r="G719" s="92">
        <f>SUM('CA brut produits &amp; sites'!G780:G791)</f>
        <v>2145.5799999999995</v>
      </c>
      <c r="H719" s="92">
        <f>SUM('CA brut produits &amp; sites'!H780:H791)</f>
        <v>3573.4500000000003</v>
      </c>
      <c r="I719" s="92">
        <f>SUM('CA brut produits &amp; sites'!I780:I791)</f>
        <v>9645.16</v>
      </c>
      <c r="J719" s="92">
        <f>SUM('CA brut produits &amp; sites'!J780:J791)</f>
        <v>0</v>
      </c>
      <c r="K719" s="92">
        <f>SUM('CA brut produits &amp; sites'!K780:K791)</f>
        <v>140765.82</v>
      </c>
      <c r="L719" s="92">
        <f>SUM('CA brut produits &amp; sites'!L780:L791)</f>
        <v>15</v>
      </c>
      <c r="M719" s="92">
        <f>SUM('CA brut produits &amp; sites'!M780:M791)</f>
        <v>9</v>
      </c>
      <c r="N719" s="92">
        <f>SUM('CA brut produits &amp; sites'!N780:N791)</f>
        <v>0</v>
      </c>
      <c r="O719" s="92">
        <f>SUM('CA brut produits &amp; sites'!O780:O791)</f>
        <v>0</v>
      </c>
      <c r="P719" s="93">
        <f>SUM('CA brut produits &amp; sites'!P780:P791)</f>
        <v>0</v>
      </c>
    </row>
    <row r="720" spans="1:16" x14ac:dyDescent="0.3">
      <c r="A720" s="87">
        <v>42401</v>
      </c>
      <c r="B720" s="146"/>
      <c r="C720" s="92">
        <f t="shared" si="115"/>
        <v>408927.26</v>
      </c>
      <c r="D720" s="92">
        <f>SUM('CA brut produits &amp; sites'!D781:D792)</f>
        <v>179174.25</v>
      </c>
      <c r="E720" s="92">
        <f>SUM('CA brut produits &amp; sites'!E781:E792)</f>
        <v>77948.140000000014</v>
      </c>
      <c r="F720" s="92">
        <f>SUM('CA brut produits &amp; sites'!F781:F792)</f>
        <v>627.95000000000005</v>
      </c>
      <c r="G720" s="92">
        <f>SUM('CA brut produits &amp; sites'!G781:G792)</f>
        <v>1522.0300000000004</v>
      </c>
      <c r="H720" s="92">
        <f>SUM('CA brut produits &amp; sites'!H781:H792)</f>
        <v>3658.9100000000003</v>
      </c>
      <c r="I720" s="92">
        <f>SUM('CA brut produits &amp; sites'!I781:I792)</f>
        <v>8890.07</v>
      </c>
      <c r="J720" s="92">
        <f>SUM('CA brut produits &amp; sites'!J781:J792)</f>
        <v>0</v>
      </c>
      <c r="K720" s="92">
        <f>SUM('CA brut produits &amp; sites'!K781:K792)</f>
        <v>137090.91</v>
      </c>
      <c r="L720" s="92">
        <f>SUM('CA brut produits &amp; sites'!L781:L792)</f>
        <v>15</v>
      </c>
      <c r="M720" s="92">
        <f>SUM('CA brut produits &amp; sites'!M781:M792)</f>
        <v>0</v>
      </c>
      <c r="N720" s="92">
        <f>SUM('CA brut produits &amp; sites'!N781:N792)</f>
        <v>0</v>
      </c>
      <c r="O720" s="92">
        <f>SUM('CA brut produits &amp; sites'!O781:O792)</f>
        <v>0</v>
      </c>
      <c r="P720" s="93">
        <f>SUM('CA brut produits &amp; sites'!P781:P792)</f>
        <v>0</v>
      </c>
    </row>
    <row r="721" spans="1:16" x14ac:dyDescent="0.3">
      <c r="A721" s="87">
        <v>42430</v>
      </c>
      <c r="B721" s="146"/>
      <c r="C721" s="92">
        <f t="shared" si="115"/>
        <v>399522.08999999997</v>
      </c>
      <c r="D721" s="92">
        <f>SUM('CA brut produits &amp; sites'!D782:D793)</f>
        <v>171613.38</v>
      </c>
      <c r="E721" s="92">
        <f>SUM('CA brut produits &amp; sites'!E782:E793)</f>
        <v>74872.510000000009</v>
      </c>
      <c r="F721" s="92">
        <f>SUM('CA brut produits &amp; sites'!F782:F793)</f>
        <v>488.03</v>
      </c>
      <c r="G721" s="92">
        <f>SUM('CA brut produits &amp; sites'!G782:G793)</f>
        <v>1515.2300000000002</v>
      </c>
      <c r="H721" s="92">
        <f>SUM('CA brut produits &amp; sites'!H782:H793)</f>
        <v>2765.4</v>
      </c>
      <c r="I721" s="92">
        <f>SUM('CA brut produits &amp; sites'!I782:I793)</f>
        <v>6696.829999999999</v>
      </c>
      <c r="J721" s="92">
        <f>SUM('CA brut produits &amp; sites'!J782:J793)</f>
        <v>0</v>
      </c>
      <c r="K721" s="92">
        <f>SUM('CA brut produits &amp; sites'!K782:K793)</f>
        <v>141530.71</v>
      </c>
      <c r="L721" s="92">
        <f>SUM('CA brut produits &amp; sites'!L782:L793)</f>
        <v>40</v>
      </c>
      <c r="M721" s="92">
        <f>SUM('CA brut produits &amp; sites'!M782:M793)</f>
        <v>0</v>
      </c>
      <c r="N721" s="92">
        <f>SUM('CA brut produits &amp; sites'!N782:N793)</f>
        <v>0</v>
      </c>
      <c r="O721" s="92">
        <f>SUM('CA brut produits &amp; sites'!O782:O793)</f>
        <v>0</v>
      </c>
      <c r="P721" s="93">
        <f>SUM('CA brut produits &amp; sites'!P782:P793)</f>
        <v>0</v>
      </c>
    </row>
    <row r="722" spans="1:16" x14ac:dyDescent="0.3">
      <c r="A722" s="87">
        <v>42461</v>
      </c>
      <c r="B722" s="146"/>
      <c r="C722" s="92">
        <f t="shared" si="115"/>
        <v>367750.57</v>
      </c>
      <c r="D722" s="92">
        <f>SUM('CA brut produits &amp; sites'!D783:D794)</f>
        <v>162488.31</v>
      </c>
      <c r="E722" s="92">
        <f>SUM('CA brut produits &amp; sites'!E783:E794)</f>
        <v>69025.830000000016</v>
      </c>
      <c r="F722" s="92">
        <f>SUM('CA brut produits &amp; sites'!F783:F794)</f>
        <v>488.03</v>
      </c>
      <c r="G722" s="92">
        <f>SUM('CA brut produits &amp; sites'!G783:G794)</f>
        <v>1275.55</v>
      </c>
      <c r="H722" s="92">
        <f>SUM('CA brut produits &amp; sites'!H783:H794)</f>
        <v>2775.4</v>
      </c>
      <c r="I722" s="92">
        <f>SUM('CA brut produits &amp; sites'!I783:I794)</f>
        <v>4292.7699999999995</v>
      </c>
      <c r="J722" s="92">
        <f>SUM('CA brut produits &amp; sites'!J783:J794)</f>
        <v>0</v>
      </c>
      <c r="K722" s="92">
        <f>SUM('CA brut produits &amp; sites'!K783:K794)</f>
        <v>127364.68000000001</v>
      </c>
      <c r="L722" s="92">
        <f>SUM('CA brut produits &amp; sites'!L783:L794)</f>
        <v>40</v>
      </c>
      <c r="M722" s="92">
        <f>SUM('CA brut produits &amp; sites'!M783:M794)</f>
        <v>0</v>
      </c>
      <c r="N722" s="92">
        <f>SUM('CA brut produits &amp; sites'!N783:N794)</f>
        <v>0</v>
      </c>
      <c r="O722" s="92">
        <f>SUM('CA brut produits &amp; sites'!O783:O794)</f>
        <v>0</v>
      </c>
      <c r="P722" s="93">
        <f>SUM('CA brut produits &amp; sites'!P783:P794)</f>
        <v>0</v>
      </c>
    </row>
    <row r="723" spans="1:16" x14ac:dyDescent="0.3">
      <c r="A723" s="87">
        <v>42491</v>
      </c>
      <c r="B723" s="146"/>
      <c r="C723" s="92">
        <f t="shared" si="115"/>
        <v>372201.3</v>
      </c>
      <c r="D723" s="92">
        <f>SUM('CA brut produits &amp; sites'!D784:D795)</f>
        <v>165853.02999999997</v>
      </c>
      <c r="E723" s="92">
        <f>SUM('CA brut produits &amp; sites'!E784:E795)</f>
        <v>68638.350000000006</v>
      </c>
      <c r="F723" s="92">
        <f>SUM('CA brut produits &amp; sites'!F784:F795)</f>
        <v>471.45</v>
      </c>
      <c r="G723" s="92">
        <f>SUM('CA brut produits &amp; sites'!G784:G795)</f>
        <v>1176.96</v>
      </c>
      <c r="H723" s="92">
        <f>SUM('CA brut produits &amp; sites'!H784:H795)</f>
        <v>2548.7400000000002</v>
      </c>
      <c r="I723" s="92">
        <f>SUM('CA brut produits &amp; sites'!I784:I795)</f>
        <v>6937.98</v>
      </c>
      <c r="J723" s="92">
        <f>SUM('CA brut produits &amp; sites'!J784:J795)</f>
        <v>0</v>
      </c>
      <c r="K723" s="92">
        <f>SUM('CA brut produits &amp; sites'!K784:K795)</f>
        <v>126534.79000000001</v>
      </c>
      <c r="L723" s="92">
        <f>SUM('CA brut produits &amp; sites'!L784:L795)</f>
        <v>40</v>
      </c>
      <c r="M723" s="92">
        <f>SUM('CA brut produits &amp; sites'!M784:M795)</f>
        <v>0</v>
      </c>
      <c r="N723" s="92">
        <f>SUM('CA brut produits &amp; sites'!N784:N795)</f>
        <v>0</v>
      </c>
      <c r="O723" s="92">
        <f>SUM('CA brut produits &amp; sites'!O784:O795)</f>
        <v>0</v>
      </c>
      <c r="P723" s="93">
        <f>SUM('CA brut produits &amp; sites'!P784:P795)</f>
        <v>0</v>
      </c>
    </row>
    <row r="724" spans="1:16" x14ac:dyDescent="0.3">
      <c r="A724" s="87">
        <v>42522</v>
      </c>
      <c r="B724" s="146"/>
      <c r="C724" s="92">
        <f t="shared" si="115"/>
        <v>369388.23999999987</v>
      </c>
      <c r="D724" s="92">
        <f>SUM('CA brut produits &amp; sites'!D785:D796)</f>
        <v>166053.91999999995</v>
      </c>
      <c r="E724" s="92">
        <f>SUM('CA brut produits &amp; sites'!E785:E796)</f>
        <v>69262.2</v>
      </c>
      <c r="F724" s="92">
        <f>SUM('CA brut produits &amp; sites'!F785:F796)</f>
        <v>565.54999999999995</v>
      </c>
      <c r="G724" s="92">
        <f>SUM('CA brut produits &amp; sites'!G785:G796)</f>
        <v>935.08</v>
      </c>
      <c r="H724" s="92">
        <f>SUM('CA brut produits &amp; sites'!H785:H796)</f>
        <v>2839.21</v>
      </c>
      <c r="I724" s="92">
        <f>SUM('CA brut produits &amp; sites'!I785:I796)</f>
        <v>7040.8</v>
      </c>
      <c r="J724" s="92">
        <f>SUM('CA brut produits &amp; sites'!J785:J796)</f>
        <v>116.1</v>
      </c>
      <c r="K724" s="92">
        <f>SUM('CA brut produits &amp; sites'!K785:K796)</f>
        <v>122450.37999999999</v>
      </c>
      <c r="L724" s="92">
        <f>SUM('CA brut produits &amp; sites'!L785:L796)</f>
        <v>65</v>
      </c>
      <c r="M724" s="92">
        <f>SUM('CA brut produits &amp; sites'!M785:M796)</f>
        <v>60</v>
      </c>
      <c r="N724" s="92">
        <f>SUM('CA brut produits &amp; sites'!N785:N796)</f>
        <v>0</v>
      </c>
      <c r="O724" s="92">
        <f>SUM('CA brut produits &amp; sites'!O785:O796)</f>
        <v>0</v>
      </c>
      <c r="P724" s="93">
        <f>SUM('CA brut produits &amp; sites'!P785:P796)</f>
        <v>0</v>
      </c>
    </row>
    <row r="725" spans="1:16" x14ac:dyDescent="0.3">
      <c r="A725" s="87">
        <v>42552</v>
      </c>
      <c r="B725" s="146"/>
      <c r="C725" s="92">
        <f t="shared" si="115"/>
        <v>372011.55999999994</v>
      </c>
      <c r="D725" s="92">
        <f>SUM('CA brut produits &amp; sites'!D786:D797)</f>
        <v>165303.61999999997</v>
      </c>
      <c r="E725" s="92">
        <f>SUM('CA brut produits &amp; sites'!E786:E797)</f>
        <v>70127.66</v>
      </c>
      <c r="F725" s="92">
        <f>SUM('CA brut produits &amp; sites'!F786:F797)</f>
        <v>568.30999999999995</v>
      </c>
      <c r="G725" s="92">
        <f>SUM('CA brut produits &amp; sites'!G786:G797)</f>
        <v>1534.01</v>
      </c>
      <c r="H725" s="92">
        <f>SUM('CA brut produits &amp; sites'!H786:H797)</f>
        <v>2839.21</v>
      </c>
      <c r="I725" s="92">
        <f>SUM('CA brut produits &amp; sites'!I786:I797)</f>
        <v>7299.14</v>
      </c>
      <c r="J725" s="92">
        <f>SUM('CA brut produits &amp; sites'!J786:J797)</f>
        <v>116.1</v>
      </c>
      <c r="K725" s="92">
        <f>SUM('CA brut produits &amp; sites'!K786:K797)</f>
        <v>124098.50999999998</v>
      </c>
      <c r="L725" s="92">
        <f>SUM('CA brut produits &amp; sites'!L786:L797)</f>
        <v>65</v>
      </c>
      <c r="M725" s="92">
        <f>SUM('CA brut produits &amp; sites'!M786:M797)</f>
        <v>60</v>
      </c>
      <c r="N725" s="92">
        <f>SUM('CA brut produits &amp; sites'!N786:N797)</f>
        <v>0</v>
      </c>
      <c r="O725" s="92">
        <f>SUM('CA brut produits &amp; sites'!O786:O797)</f>
        <v>0</v>
      </c>
      <c r="P725" s="93">
        <f>SUM('CA brut produits &amp; sites'!P786:P797)</f>
        <v>0</v>
      </c>
    </row>
    <row r="726" spans="1:16" x14ac:dyDescent="0.3">
      <c r="A726" s="87">
        <v>42583</v>
      </c>
      <c r="B726" s="146"/>
      <c r="C726" s="92">
        <f t="shared" si="115"/>
        <v>372611.89999999991</v>
      </c>
      <c r="D726" s="92">
        <f>SUM('CA brut produits &amp; sites'!D787:D798)</f>
        <v>164057.99999999997</v>
      </c>
      <c r="E726" s="92">
        <f>SUM('CA brut produits &amp; sites'!E787:E798)</f>
        <v>70377.5</v>
      </c>
      <c r="F726" s="92">
        <f>SUM('CA brut produits &amp; sites'!F787:F798)</f>
        <v>577.33999999999992</v>
      </c>
      <c r="G726" s="92">
        <f>SUM('CA brut produits &amp; sites'!G787:G798)</f>
        <v>1480.44</v>
      </c>
      <c r="H726" s="92">
        <f>SUM('CA brut produits &amp; sites'!H787:H798)</f>
        <v>2819.21</v>
      </c>
      <c r="I726" s="92">
        <f>SUM('CA brut produits &amp; sites'!I787:I798)</f>
        <v>7777.9299999999994</v>
      </c>
      <c r="J726" s="92">
        <f>SUM('CA brut produits &amp; sites'!J787:J798)</f>
        <v>116.1</v>
      </c>
      <c r="K726" s="92">
        <f>SUM('CA brut produits &amp; sites'!K787:K798)</f>
        <v>124430.37999999998</v>
      </c>
      <c r="L726" s="92">
        <f>SUM('CA brut produits &amp; sites'!L787:L798)</f>
        <v>915</v>
      </c>
      <c r="M726" s="92">
        <f>SUM('CA brut produits &amp; sites'!M787:M798)</f>
        <v>60</v>
      </c>
      <c r="N726" s="92">
        <f>SUM('CA brut produits &amp; sites'!N787:N798)</f>
        <v>0</v>
      </c>
      <c r="O726" s="92">
        <f>SUM('CA brut produits &amp; sites'!O787:O798)</f>
        <v>0</v>
      </c>
      <c r="P726" s="93">
        <f>SUM('CA brut produits &amp; sites'!P787:P798)</f>
        <v>0</v>
      </c>
    </row>
    <row r="727" spans="1:16" x14ac:dyDescent="0.3">
      <c r="A727" s="87">
        <v>42614</v>
      </c>
      <c r="B727" s="146"/>
      <c r="C727" s="92">
        <f t="shared" si="115"/>
        <v>362157.16999999993</v>
      </c>
      <c r="D727" s="92">
        <f>SUM('CA brut produits &amp; sites'!D788:D799)</f>
        <v>162410.08999999997</v>
      </c>
      <c r="E727" s="92">
        <f>SUM('CA brut produits &amp; sites'!E788:E799)</f>
        <v>69450.070000000007</v>
      </c>
      <c r="F727" s="92">
        <f>SUM('CA brut produits &amp; sites'!F788:F799)</f>
        <v>437.30999999999995</v>
      </c>
      <c r="G727" s="92">
        <f>SUM('CA brut produits &amp; sites'!G788:G799)</f>
        <v>1534.2700000000002</v>
      </c>
      <c r="H727" s="92">
        <f>SUM('CA brut produits &amp; sites'!H788:H799)</f>
        <v>2763.4900000000002</v>
      </c>
      <c r="I727" s="92">
        <f>SUM('CA brut produits &amp; sites'!I788:I799)</f>
        <v>7206.0099999999993</v>
      </c>
      <c r="J727" s="92">
        <f>SUM('CA brut produits &amp; sites'!J788:J799)</f>
        <v>116.1</v>
      </c>
      <c r="K727" s="92">
        <f>SUM('CA brut produits &amp; sites'!K788:K799)</f>
        <v>117332.29</v>
      </c>
      <c r="L727" s="92">
        <f>SUM('CA brut produits &amp; sites'!L788:L799)</f>
        <v>891.29000000000008</v>
      </c>
      <c r="M727" s="92">
        <f>SUM('CA brut produits &amp; sites'!M788:M799)</f>
        <v>16.25</v>
      </c>
      <c r="N727" s="92">
        <f>SUM('CA brut produits &amp; sites'!N788:N799)</f>
        <v>0</v>
      </c>
      <c r="O727" s="92">
        <f>SUM('CA brut produits &amp; sites'!O788:O799)</f>
        <v>0</v>
      </c>
      <c r="P727" s="93">
        <f>SUM('CA brut produits &amp; sites'!P788:P799)</f>
        <v>0</v>
      </c>
    </row>
    <row r="728" spans="1:16" x14ac:dyDescent="0.3">
      <c r="A728" s="87">
        <v>42644</v>
      </c>
      <c r="B728" s="146"/>
      <c r="C728" s="92">
        <f t="shared" si="115"/>
        <v>359661.97999999992</v>
      </c>
      <c r="D728" s="92">
        <f>SUM('CA brut produits &amp; sites'!D789:D800)</f>
        <v>161222.06999999998</v>
      </c>
      <c r="E728" s="92">
        <f>SUM('CA brut produits &amp; sites'!E789:E800)</f>
        <v>68143.199999999997</v>
      </c>
      <c r="F728" s="92">
        <f>SUM('CA brut produits &amp; sites'!F789:F800)</f>
        <v>345.68999999999994</v>
      </c>
      <c r="G728" s="92">
        <f>SUM('CA brut produits &amp; sites'!G789:G800)</f>
        <v>1546.4899999999998</v>
      </c>
      <c r="H728" s="92">
        <f>SUM('CA brut produits &amp; sites'!H789:H800)</f>
        <v>2939.1400000000003</v>
      </c>
      <c r="I728" s="92">
        <f>SUM('CA brut produits &amp; sites'!I789:I800)</f>
        <v>7160.0499999999993</v>
      </c>
      <c r="J728" s="92">
        <f>SUM('CA brut produits &amp; sites'!J789:J800)</f>
        <v>116.1</v>
      </c>
      <c r="K728" s="92">
        <f>SUM('CA brut produits &amp; sites'!K789:K800)</f>
        <v>117230.03999999998</v>
      </c>
      <c r="L728" s="92">
        <f>SUM('CA brut produits &amp; sites'!L789:L800)</f>
        <v>942.95</v>
      </c>
      <c r="M728" s="92">
        <f>SUM('CA brut produits &amp; sites'!M789:M800)</f>
        <v>16.25</v>
      </c>
      <c r="N728" s="92">
        <f>SUM('CA brut produits &amp; sites'!N789:N800)</f>
        <v>0</v>
      </c>
      <c r="O728" s="92">
        <f>SUM('CA brut produits &amp; sites'!O789:O800)</f>
        <v>0</v>
      </c>
      <c r="P728" s="93">
        <f>SUM('CA brut produits &amp; sites'!P789:P800)</f>
        <v>0</v>
      </c>
    </row>
    <row r="729" spans="1:16" x14ac:dyDescent="0.3">
      <c r="A729" s="87">
        <v>42675</v>
      </c>
      <c r="B729" s="146"/>
      <c r="C729" s="92">
        <f t="shared" si="115"/>
        <v>359640.97000000003</v>
      </c>
      <c r="D729" s="92">
        <f>SUM('CA brut produits &amp; sites'!D790:D801)</f>
        <v>156567.12</v>
      </c>
      <c r="E729" s="92">
        <f>SUM('CA brut produits &amp; sites'!E790:E801)</f>
        <v>69394.600000000006</v>
      </c>
      <c r="F729" s="92">
        <f>SUM('CA brut produits &amp; sites'!F790:F801)</f>
        <v>380.47</v>
      </c>
      <c r="G729" s="92">
        <f>SUM('CA brut produits &amp; sites'!G790:G801)</f>
        <v>1530.7199999999998</v>
      </c>
      <c r="H729" s="92">
        <f>SUM('CA brut produits &amp; sites'!H790:H801)</f>
        <v>5538.72</v>
      </c>
      <c r="I729" s="92">
        <f>SUM('CA brut produits &amp; sites'!I790:I801)</f>
        <v>8000</v>
      </c>
      <c r="J729" s="92">
        <f>SUM('CA brut produits &amp; sites'!J790:J801)</f>
        <v>116.1</v>
      </c>
      <c r="K729" s="92">
        <f>SUM('CA brut produits &amp; sites'!K790:K801)</f>
        <v>115304.03999999998</v>
      </c>
      <c r="L729" s="92">
        <f>SUM('CA brut produits &amp; sites'!L790:L801)</f>
        <v>942.95</v>
      </c>
      <c r="M729" s="92">
        <f>SUM('CA brut produits &amp; sites'!M790:M801)</f>
        <v>16.25</v>
      </c>
      <c r="N729" s="92">
        <f>SUM('CA brut produits &amp; sites'!N790:N801)</f>
        <v>1850</v>
      </c>
      <c r="O729" s="92">
        <f>SUM('CA brut produits &amp; sites'!O790:O801)</f>
        <v>0</v>
      </c>
      <c r="P729" s="93">
        <f>SUM('CA brut produits &amp; sites'!P790:P801)</f>
        <v>0</v>
      </c>
    </row>
    <row r="730" spans="1:16" x14ac:dyDescent="0.3">
      <c r="A730" s="87">
        <v>42705</v>
      </c>
      <c r="B730" s="146"/>
      <c r="C730" s="92">
        <f t="shared" si="115"/>
        <v>357713.96</v>
      </c>
      <c r="D730" s="92">
        <f>SUM('CA brut produits &amp; sites'!D791:D802)</f>
        <v>155905.16999999998</v>
      </c>
      <c r="E730" s="92">
        <f>SUM('CA brut produits &amp; sites'!E791:E802)</f>
        <v>69673.920000000013</v>
      </c>
      <c r="F730" s="92">
        <f>SUM('CA brut produits &amp; sites'!F791:F802)</f>
        <v>380.47</v>
      </c>
      <c r="G730" s="92">
        <f>SUM('CA brut produits &amp; sites'!G791:G802)</f>
        <v>1638.44</v>
      </c>
      <c r="H730" s="92">
        <f>SUM('CA brut produits &amp; sites'!H791:H802)</f>
        <v>5421.2699999999995</v>
      </c>
      <c r="I730" s="92">
        <f>SUM('CA brut produits &amp; sites'!I791:I802)</f>
        <v>7774.1599999999989</v>
      </c>
      <c r="J730" s="92">
        <f>SUM('CA brut produits &amp; sites'!J791:J802)</f>
        <v>116.1</v>
      </c>
      <c r="K730" s="92">
        <f>SUM('CA brut produits &amp; sites'!K791:K802)</f>
        <v>113145.22999999998</v>
      </c>
      <c r="L730" s="92">
        <f>SUM('CA brut produits &amp; sites'!L791:L802)</f>
        <v>1792.95</v>
      </c>
      <c r="M730" s="92">
        <f>SUM('CA brut produits &amp; sites'!M791:M802)</f>
        <v>16.25</v>
      </c>
      <c r="N730" s="92">
        <f>SUM('CA brut produits &amp; sites'!N791:N802)</f>
        <v>1850</v>
      </c>
      <c r="O730" s="92">
        <f>SUM('CA brut produits &amp; sites'!O791:O802)</f>
        <v>0</v>
      </c>
      <c r="P730" s="93">
        <f>SUM('CA brut produits &amp; sites'!P791:P802)</f>
        <v>0</v>
      </c>
    </row>
    <row r="731" spans="1:16" x14ac:dyDescent="0.3">
      <c r="A731" s="87">
        <v>42736</v>
      </c>
      <c r="B731" s="146"/>
      <c r="C731" s="92">
        <f t="shared" si="115"/>
        <v>372720.91</v>
      </c>
      <c r="D731" s="92">
        <f>SUM('CA brut produits &amp; sites'!D792:D803)</f>
        <v>155242.03999999998</v>
      </c>
      <c r="E731" s="92">
        <f>SUM('CA brut produits &amp; sites'!E792:E803)</f>
        <v>71435.78</v>
      </c>
      <c r="F731" s="92">
        <f>SUM('CA brut produits &amp; sites'!F792:F803)</f>
        <v>309.47000000000003</v>
      </c>
      <c r="G731" s="92">
        <f>SUM('CA brut produits &amp; sites'!G792:G803)</f>
        <v>1693.8000000000002</v>
      </c>
      <c r="H731" s="92">
        <f>SUM('CA brut produits &amp; sites'!H792:H803)</f>
        <v>5379.9900000000007</v>
      </c>
      <c r="I731" s="92">
        <f>SUM('CA brut produits &amp; sites'!I792:I803)</f>
        <v>7422.6899999999987</v>
      </c>
      <c r="J731" s="92">
        <f>SUM('CA brut produits &amp; sites'!J792:J803)</f>
        <v>116.1</v>
      </c>
      <c r="K731" s="92">
        <f>SUM('CA brut produits &amp; sites'!K792:K803)</f>
        <v>127476.83999999998</v>
      </c>
      <c r="L731" s="92">
        <f>SUM('CA brut produits &amp; sites'!L792:L803)</f>
        <v>1777.95</v>
      </c>
      <c r="M731" s="92">
        <f>SUM('CA brut produits &amp; sites'!M792:M803)</f>
        <v>16.25</v>
      </c>
      <c r="N731" s="92">
        <f>SUM('CA brut produits &amp; sites'!N792:N803)</f>
        <v>1850</v>
      </c>
      <c r="O731" s="92">
        <f>SUM('CA brut produits &amp; sites'!O792:O803)</f>
        <v>0</v>
      </c>
      <c r="P731" s="93">
        <f>SUM('CA brut produits &amp; sites'!P792:P803)</f>
        <v>0</v>
      </c>
    </row>
    <row r="732" spans="1:16" x14ac:dyDescent="0.3">
      <c r="A732" s="87">
        <v>42767</v>
      </c>
      <c r="B732" s="146"/>
      <c r="C732" s="92">
        <f t="shared" si="115"/>
        <v>379698.98000000004</v>
      </c>
      <c r="D732" s="92">
        <f>SUM('CA brut produits &amp; sites'!D793:D804)</f>
        <v>156105.75</v>
      </c>
      <c r="E732" s="92">
        <f>SUM('CA brut produits &amp; sites'!E793:E804)</f>
        <v>71592.850000000006</v>
      </c>
      <c r="F732" s="92">
        <f>SUM('CA brut produits &amp; sites'!F793:F804)</f>
        <v>309.47000000000003</v>
      </c>
      <c r="G732" s="92">
        <f>SUM('CA brut produits &amp; sites'!G793:G804)</f>
        <v>1696.0500000000002</v>
      </c>
      <c r="H732" s="92">
        <f>SUM('CA brut produits &amp; sites'!H793:H804)</f>
        <v>6809.74</v>
      </c>
      <c r="I732" s="92">
        <f>SUM('CA brut produits &amp; sites'!I793:I804)</f>
        <v>6469.28</v>
      </c>
      <c r="J732" s="92">
        <f>SUM('CA brut produits &amp; sites'!J793:J804)</f>
        <v>3140.1</v>
      </c>
      <c r="K732" s="92">
        <f>SUM('CA brut produits &amp; sites'!K793:K804)</f>
        <v>129801.54000000001</v>
      </c>
      <c r="L732" s="92">
        <f>SUM('CA brut produits &amp; sites'!L793:L804)</f>
        <v>1777.95</v>
      </c>
      <c r="M732" s="92">
        <f>SUM('CA brut produits &amp; sites'!M793:M804)</f>
        <v>146.25</v>
      </c>
      <c r="N732" s="92">
        <f>SUM('CA brut produits &amp; sites'!N793:N804)</f>
        <v>1850</v>
      </c>
      <c r="O732" s="92">
        <f>SUM('CA brut produits &amp; sites'!O793:O804)</f>
        <v>0</v>
      </c>
      <c r="P732" s="93">
        <f>SUM('CA brut produits &amp; sites'!P793:P804)</f>
        <v>0</v>
      </c>
    </row>
    <row r="733" spans="1:16" x14ac:dyDescent="0.3">
      <c r="A733" s="87">
        <v>42795</v>
      </c>
      <c r="B733" s="146"/>
      <c r="C733" s="92">
        <f t="shared" si="115"/>
        <v>381550.85000000003</v>
      </c>
      <c r="D733" s="92">
        <f>SUM('CA brut produits &amp; sites'!D794:D805)</f>
        <v>154754.65</v>
      </c>
      <c r="E733" s="92">
        <f>SUM('CA brut produits &amp; sites'!E794:E805)</f>
        <v>72918.070000000007</v>
      </c>
      <c r="F733" s="92">
        <f>SUM('CA brut produits &amp; sites'!F794:F805)</f>
        <v>283.15999999999997</v>
      </c>
      <c r="G733" s="92">
        <f>SUM('CA brut produits &amp; sites'!G794:G805)</f>
        <v>1692.66</v>
      </c>
      <c r="H733" s="92">
        <f>SUM('CA brut produits &amp; sites'!H794:H805)</f>
        <v>9927.3000000000011</v>
      </c>
      <c r="I733" s="92">
        <f>SUM('CA brut produits &amp; sites'!I794:I805)</f>
        <v>6382.0300000000007</v>
      </c>
      <c r="J733" s="92">
        <f>SUM('CA brut produits &amp; sites'!J794:J805)</f>
        <v>3140.1</v>
      </c>
      <c r="K733" s="92">
        <f>SUM('CA brut produits &amp; sites'!K794:K805)</f>
        <v>128703.68000000001</v>
      </c>
      <c r="L733" s="92">
        <f>SUM('CA brut produits &amp; sites'!L794:L805)</f>
        <v>1752.95</v>
      </c>
      <c r="M733" s="92">
        <f>SUM('CA brut produits &amp; sites'!M794:M805)</f>
        <v>146.25</v>
      </c>
      <c r="N733" s="92">
        <f>SUM('CA brut produits &amp; sites'!N794:N805)</f>
        <v>1850</v>
      </c>
      <c r="O733" s="92">
        <f>SUM('CA brut produits &amp; sites'!O794:O805)</f>
        <v>0</v>
      </c>
      <c r="P733" s="93">
        <f>SUM('CA brut produits &amp; sites'!P794:P805)</f>
        <v>0</v>
      </c>
    </row>
    <row r="734" spans="1:16" x14ac:dyDescent="0.3">
      <c r="A734" s="87">
        <v>42826</v>
      </c>
      <c r="B734" s="146"/>
      <c r="C734" s="92">
        <f t="shared" si="115"/>
        <v>382317.2</v>
      </c>
      <c r="D734" s="92">
        <f>SUM('CA brut produits &amp; sites'!D795:D806)</f>
        <v>158985.69</v>
      </c>
      <c r="E734" s="92">
        <f>SUM('CA brut produits &amp; sites'!E795:E806)</f>
        <v>71567.09</v>
      </c>
      <c r="F734" s="92">
        <f>SUM('CA brut produits &amp; sites'!F795:F806)</f>
        <v>283.15999999999997</v>
      </c>
      <c r="G734" s="92">
        <f>SUM('CA brut produits &amp; sites'!G795:G806)</f>
        <v>1392.4099999999999</v>
      </c>
      <c r="H734" s="92">
        <f>SUM('CA brut produits &amp; sites'!H795:H806)</f>
        <v>10823.490000000002</v>
      </c>
      <c r="I734" s="92">
        <f>SUM('CA brut produits &amp; sites'!I795:I806)</f>
        <v>6280.77</v>
      </c>
      <c r="J734" s="92">
        <f>SUM('CA brut produits &amp; sites'!J795:J806)</f>
        <v>3140.1</v>
      </c>
      <c r="K734" s="92">
        <f>SUM('CA brut produits &amp; sites'!K795:K806)</f>
        <v>126095.29</v>
      </c>
      <c r="L734" s="92">
        <f>SUM('CA brut produits &amp; sites'!L795:L806)</f>
        <v>1752.95</v>
      </c>
      <c r="M734" s="92">
        <f>SUM('CA brut produits &amp; sites'!M795:M806)</f>
        <v>146.25</v>
      </c>
      <c r="N734" s="92">
        <f>SUM('CA brut produits &amp; sites'!N795:N806)</f>
        <v>1850</v>
      </c>
      <c r="O734" s="92">
        <f>SUM('CA brut produits &amp; sites'!O795:O806)</f>
        <v>0</v>
      </c>
      <c r="P734" s="93">
        <f>SUM('CA brut produits &amp; sites'!P795:P806)</f>
        <v>0</v>
      </c>
    </row>
    <row r="735" spans="1:16" x14ac:dyDescent="0.3">
      <c r="A735" s="87">
        <v>42856</v>
      </c>
      <c r="B735" s="146"/>
      <c r="C735" s="92">
        <f t="shared" si="115"/>
        <v>376059.48</v>
      </c>
      <c r="D735" s="92">
        <f>SUM('CA brut produits &amp; sites'!D796:D807)</f>
        <v>156987.93</v>
      </c>
      <c r="E735" s="92">
        <f>SUM('CA brut produits &amp; sites'!E796:E807)</f>
        <v>72052.38</v>
      </c>
      <c r="F735" s="92">
        <f>SUM('CA brut produits &amp; sites'!F796:F807)</f>
        <v>261.06</v>
      </c>
      <c r="G735" s="92">
        <f>SUM('CA brut produits &amp; sites'!G796:G807)</f>
        <v>1388.61</v>
      </c>
      <c r="H735" s="92">
        <f>SUM('CA brut produits &amp; sites'!H796:H807)</f>
        <v>15140.400000000001</v>
      </c>
      <c r="I735" s="92">
        <f>SUM('CA brut produits &amp; sites'!I796:I807)</f>
        <v>3181.33</v>
      </c>
      <c r="J735" s="92">
        <f>SUM('CA brut produits &amp; sites'!J796:J807)</f>
        <v>3140.1</v>
      </c>
      <c r="K735" s="92">
        <f>SUM('CA brut produits &amp; sites'!K796:K807)</f>
        <v>120158.47</v>
      </c>
      <c r="L735" s="92">
        <f>SUM('CA brut produits &amp; sites'!L796:L807)</f>
        <v>1752.95</v>
      </c>
      <c r="M735" s="92">
        <f>SUM('CA brut produits &amp; sites'!M796:M807)</f>
        <v>146.25</v>
      </c>
      <c r="N735" s="92">
        <f>SUM('CA brut produits &amp; sites'!N796:N807)</f>
        <v>1850</v>
      </c>
      <c r="O735" s="92">
        <f>SUM('CA brut produits &amp; sites'!O796:O807)</f>
        <v>0</v>
      </c>
      <c r="P735" s="93">
        <f>SUM('CA brut produits &amp; sites'!P796:P807)</f>
        <v>0</v>
      </c>
    </row>
    <row r="736" spans="1:16" x14ac:dyDescent="0.3">
      <c r="A736" s="87">
        <v>42887</v>
      </c>
      <c r="B736" s="146"/>
      <c r="C736" s="92">
        <f t="shared" si="115"/>
        <v>369672.47000000003</v>
      </c>
      <c r="D736" s="92">
        <f>SUM('CA brut produits &amp; sites'!D797:D808)</f>
        <v>152149.91</v>
      </c>
      <c r="E736" s="92">
        <f>SUM('CA brut produits &amp; sites'!E797:E808)</f>
        <v>71534.990000000005</v>
      </c>
      <c r="F736" s="92">
        <f>SUM('CA brut produits &amp; sites'!F797:F808)</f>
        <v>123.7</v>
      </c>
      <c r="G736" s="92">
        <f>SUM('CA brut produits &amp; sites'!G797:G808)</f>
        <v>1406.55</v>
      </c>
      <c r="H736" s="92">
        <f>SUM('CA brut produits &amp; sites'!H797:H808)</f>
        <v>16175.65</v>
      </c>
      <c r="I736" s="92">
        <f>SUM('CA brut produits &amp; sites'!I797:I808)</f>
        <v>3054.7400000000002</v>
      </c>
      <c r="J736" s="92">
        <f>SUM('CA brut produits &amp; sites'!J797:J808)</f>
        <v>3024</v>
      </c>
      <c r="K736" s="92">
        <f>SUM('CA brut produits &amp; sites'!K797:K808)</f>
        <v>118538.73000000001</v>
      </c>
      <c r="L736" s="92">
        <f>SUM('CA brut produits &amp; sites'!L797:L808)</f>
        <v>1727.95</v>
      </c>
      <c r="M736" s="92">
        <f>SUM('CA brut produits &amp; sites'!M797:M808)</f>
        <v>86.25</v>
      </c>
      <c r="N736" s="92">
        <f>SUM('CA brut produits &amp; sites'!N797:N808)</f>
        <v>1850</v>
      </c>
      <c r="O736" s="92">
        <f>SUM('CA brut produits &amp; sites'!O797:O808)</f>
        <v>0</v>
      </c>
      <c r="P736" s="93">
        <f>SUM('CA brut produits &amp; sites'!P797:P808)</f>
        <v>0</v>
      </c>
    </row>
    <row r="737" spans="1:16" x14ac:dyDescent="0.3">
      <c r="A737" s="87">
        <v>42917</v>
      </c>
      <c r="B737" s="146"/>
      <c r="C737" s="92">
        <f t="shared" si="115"/>
        <v>380342.86</v>
      </c>
      <c r="D737" s="92">
        <f>SUM('CA brut produits &amp; sites'!D798:D809)</f>
        <v>159884.18</v>
      </c>
      <c r="E737" s="92">
        <f>SUM('CA brut produits &amp; sites'!E798:E809)</f>
        <v>70975.06</v>
      </c>
      <c r="F737" s="92">
        <f>SUM('CA brut produits &amp; sites'!F798:F809)</f>
        <v>203.82</v>
      </c>
      <c r="G737" s="92">
        <f>SUM('CA brut produits &amp; sites'!G798:G809)</f>
        <v>965.44</v>
      </c>
      <c r="H737" s="92">
        <f>SUM('CA brut produits &amp; sites'!H798:H809)</f>
        <v>16762.93</v>
      </c>
      <c r="I737" s="92">
        <f>SUM('CA brut produits &amp; sites'!I798:I809)</f>
        <v>2836.6499999999996</v>
      </c>
      <c r="J737" s="92">
        <f>SUM('CA brut produits &amp; sites'!J798:J809)</f>
        <v>3024</v>
      </c>
      <c r="K737" s="92">
        <f>SUM('CA brut produits &amp; sites'!K798:K809)</f>
        <v>122026.58</v>
      </c>
      <c r="L737" s="92">
        <f>SUM('CA brut produits &amp; sites'!L798:L809)</f>
        <v>1727.95</v>
      </c>
      <c r="M737" s="92">
        <f>SUM('CA brut produits &amp; sites'!M798:M809)</f>
        <v>86.25</v>
      </c>
      <c r="N737" s="92">
        <f>SUM('CA brut produits &amp; sites'!N798:N809)</f>
        <v>1850</v>
      </c>
      <c r="O737" s="92">
        <f>SUM('CA brut produits &amp; sites'!O798:O809)</f>
        <v>0</v>
      </c>
      <c r="P737" s="93">
        <f>SUM('CA brut produits &amp; sites'!P798:P809)</f>
        <v>0</v>
      </c>
    </row>
    <row r="738" spans="1:16" x14ac:dyDescent="0.3">
      <c r="A738" s="87">
        <v>42948</v>
      </c>
      <c r="B738" s="146"/>
      <c r="C738" s="92">
        <f t="shared" si="115"/>
        <v>383488.53</v>
      </c>
      <c r="D738" s="92">
        <f>SUM('CA brut produits &amp; sites'!D799:D810)</f>
        <v>160278.24999999997</v>
      </c>
      <c r="E738" s="92">
        <f>SUM('CA brut produits &amp; sites'!E799:E810)</f>
        <v>73170.329999999987</v>
      </c>
      <c r="F738" s="92">
        <f>SUM('CA brut produits &amp; sites'!F799:F810)</f>
        <v>194.79</v>
      </c>
      <c r="G738" s="92">
        <f>SUM('CA brut produits &amp; sites'!G799:G810)</f>
        <v>1696.97</v>
      </c>
      <c r="H738" s="92">
        <f>SUM('CA brut produits &amp; sites'!H799:H810)</f>
        <v>17401.260000000002</v>
      </c>
      <c r="I738" s="92">
        <f>SUM('CA brut produits &amp; sites'!I799:I810)</f>
        <v>2253.9499999999998</v>
      </c>
      <c r="J738" s="92">
        <f>SUM('CA brut produits &amp; sites'!J799:J810)</f>
        <v>3024</v>
      </c>
      <c r="K738" s="92">
        <f>SUM('CA brut produits &amp; sites'!K799:K810)</f>
        <v>121041.48000000001</v>
      </c>
      <c r="L738" s="92">
        <f>SUM('CA brut produits &amp; sites'!L799:L810)</f>
        <v>877.95</v>
      </c>
      <c r="M738" s="92">
        <f>SUM('CA brut produits &amp; sites'!M799:M810)</f>
        <v>1699.55</v>
      </c>
      <c r="N738" s="92">
        <f>SUM('CA brut produits &amp; sites'!N799:N810)</f>
        <v>1850</v>
      </c>
      <c r="O738" s="92">
        <f>SUM('CA brut produits &amp; sites'!O799:O810)</f>
        <v>0</v>
      </c>
      <c r="P738" s="93">
        <f>SUM('CA brut produits &amp; sites'!P799:P810)</f>
        <v>0</v>
      </c>
    </row>
    <row r="739" spans="1:16" x14ac:dyDescent="0.3">
      <c r="A739" s="87">
        <v>42979</v>
      </c>
      <c r="B739" s="146"/>
      <c r="C739" s="92">
        <f t="shared" si="115"/>
        <v>374167.74</v>
      </c>
      <c r="D739" s="92">
        <f>SUM('CA brut produits &amp; sites'!D800:D811)</f>
        <v>151779.72</v>
      </c>
      <c r="E739" s="92">
        <f>SUM('CA brut produits &amp; sites'!E800:E811)</f>
        <v>71718.77</v>
      </c>
      <c r="F739" s="92">
        <f>SUM('CA brut produits &amp; sites'!F800:F811)</f>
        <v>217.89999999999998</v>
      </c>
      <c r="G739" s="92">
        <f>SUM('CA brut produits &amp; sites'!G800:G811)</f>
        <v>1421.66</v>
      </c>
      <c r="H739" s="92">
        <f>SUM('CA brut produits &amp; sites'!H800:H811)</f>
        <v>18693.800000000003</v>
      </c>
      <c r="I739" s="92">
        <f>SUM('CA brut produits &amp; sites'!I800:I811)</f>
        <v>1540.3700000000001</v>
      </c>
      <c r="J739" s="92">
        <f>SUM('CA brut produits &amp; sites'!J800:J811)</f>
        <v>3024</v>
      </c>
      <c r="K739" s="92">
        <f>SUM('CA brut produits &amp; sites'!K800:K811)</f>
        <v>119092.58000000002</v>
      </c>
      <c r="L739" s="92">
        <f>SUM('CA brut produits &amp; sites'!L800:L811)</f>
        <v>850</v>
      </c>
      <c r="M739" s="92">
        <f>SUM('CA brut produits &amp; sites'!M800:M811)</f>
        <v>3978.9399999999996</v>
      </c>
      <c r="N739" s="92">
        <f>SUM('CA brut produits &amp; sites'!N800:N811)</f>
        <v>1850</v>
      </c>
      <c r="O739" s="92">
        <f>SUM('CA brut produits &amp; sites'!O800:O811)</f>
        <v>0</v>
      </c>
      <c r="P739" s="93">
        <f>SUM('CA brut produits &amp; sites'!P800:P811)</f>
        <v>0</v>
      </c>
    </row>
    <row r="740" spans="1:16" x14ac:dyDescent="0.3">
      <c r="A740" s="87">
        <v>43009</v>
      </c>
      <c r="B740" s="146"/>
      <c r="C740" s="92">
        <f t="shared" si="115"/>
        <v>386347.02999999997</v>
      </c>
      <c r="D740" s="92">
        <f>SUM('CA brut produits &amp; sites'!D801:D812)</f>
        <v>153573.31</v>
      </c>
      <c r="E740" s="92">
        <f>SUM('CA brut produits &amp; sites'!E801:E812)</f>
        <v>77033.33</v>
      </c>
      <c r="F740" s="92">
        <f>SUM('CA brut produits &amp; sites'!F801:F812)</f>
        <v>324.29999999999995</v>
      </c>
      <c r="G740" s="92">
        <f>SUM('CA brut produits &amp; sites'!G801:G812)</f>
        <v>1410.03</v>
      </c>
      <c r="H740" s="92">
        <f>SUM('CA brut produits &amp; sites'!H801:H812)</f>
        <v>19165.060000000001</v>
      </c>
      <c r="I740" s="92">
        <f>SUM('CA brut produits &amp; sites'!I801:I812)</f>
        <v>1599.3300000000004</v>
      </c>
      <c r="J740" s="92">
        <f>SUM('CA brut produits &amp; sites'!J801:J812)</f>
        <v>3024</v>
      </c>
      <c r="K740" s="92">
        <f>SUM('CA brut produits &amp; sites'!K801:K812)</f>
        <v>123538.73000000001</v>
      </c>
      <c r="L740" s="92">
        <f>SUM('CA brut produits &amp; sites'!L801:L812)</f>
        <v>850</v>
      </c>
      <c r="M740" s="92">
        <f>SUM('CA brut produits &amp; sites'!M801:M812)</f>
        <v>3978.9399999999996</v>
      </c>
      <c r="N740" s="92">
        <f>SUM('CA brut produits &amp; sites'!N801:N812)</f>
        <v>1850</v>
      </c>
      <c r="O740" s="92">
        <f>SUM('CA brut produits &amp; sites'!O801:O812)</f>
        <v>0</v>
      </c>
      <c r="P740" s="93">
        <f>SUM('CA brut produits &amp; sites'!P801:P812)</f>
        <v>0</v>
      </c>
    </row>
    <row r="741" spans="1:16" x14ac:dyDescent="0.3">
      <c r="A741" s="87">
        <v>43040</v>
      </c>
      <c r="B741" s="146"/>
      <c r="C741" s="92">
        <f t="shared" si="115"/>
        <v>387254.75000000006</v>
      </c>
      <c r="D741" s="92">
        <f>SUM('CA brut produits &amp; sites'!D802:D813)</f>
        <v>157757.88999999998</v>
      </c>
      <c r="E741" s="92">
        <f>SUM('CA brut produits &amp; sites'!E802:E813)</f>
        <v>76585.210000000021</v>
      </c>
      <c r="F741" s="92">
        <f>SUM('CA brut produits &amp; sites'!F802:F813)</f>
        <v>259.00000000000006</v>
      </c>
      <c r="G741" s="92">
        <f>SUM('CA brut produits &amp; sites'!G802:G813)</f>
        <v>1727.2</v>
      </c>
      <c r="H741" s="92">
        <f>SUM('CA brut produits &amp; sites'!H802:H813)</f>
        <v>16060.79</v>
      </c>
      <c r="I741" s="92">
        <f>SUM('CA brut produits &amp; sites'!I802:I813)</f>
        <v>856.40000000000009</v>
      </c>
      <c r="J741" s="92">
        <f>SUM('CA brut produits &amp; sites'!J802:J813)</f>
        <v>3024</v>
      </c>
      <c r="K741" s="92">
        <f>SUM('CA brut produits &amp; sites'!K802:K813)</f>
        <v>126155.32</v>
      </c>
      <c r="L741" s="92">
        <f>SUM('CA brut produits &amp; sites'!L802:L813)</f>
        <v>850</v>
      </c>
      <c r="M741" s="92">
        <f>SUM('CA brut produits &amp; sites'!M802:M813)</f>
        <v>3978.9399999999996</v>
      </c>
      <c r="N741" s="92">
        <f>SUM('CA brut produits &amp; sites'!N802:N813)</f>
        <v>0</v>
      </c>
      <c r="O741" s="92">
        <f>SUM('CA brut produits &amp; sites'!O802:O813)</f>
        <v>0</v>
      </c>
      <c r="P741" s="93">
        <f>SUM('CA brut produits &amp; sites'!P802:P813)</f>
        <v>0</v>
      </c>
    </row>
    <row r="742" spans="1:16" x14ac:dyDescent="0.3">
      <c r="A742" s="87">
        <v>43070</v>
      </c>
      <c r="B742" s="146"/>
      <c r="C742" s="92">
        <f t="shared" si="115"/>
        <v>384711.45999999996</v>
      </c>
      <c r="D742" s="92">
        <f>SUM('CA brut produits &amp; sites'!D803:D814)</f>
        <v>157163.15999999997</v>
      </c>
      <c r="E742" s="92">
        <f>SUM('CA brut produits &amp; sites'!E803:E814)</f>
        <v>75573.349999999991</v>
      </c>
      <c r="F742" s="92">
        <f>SUM('CA brut produits &amp; sites'!F803:F814)</f>
        <v>259.00000000000006</v>
      </c>
      <c r="G742" s="92">
        <f>SUM('CA brut produits &amp; sites'!G803:G814)</f>
        <v>1591.8600000000001</v>
      </c>
      <c r="H742" s="92">
        <f>SUM('CA brut produits &amp; sites'!H803:H814)</f>
        <v>16060.789999999999</v>
      </c>
      <c r="I742" s="92">
        <f>SUM('CA brut produits &amp; sites'!I803:I814)</f>
        <v>804.95</v>
      </c>
      <c r="J742" s="92">
        <f>SUM('CA brut produits &amp; sites'!J803:J814)</f>
        <v>3024</v>
      </c>
      <c r="K742" s="92">
        <f>SUM('CA brut produits &amp; sites'!K803:K814)</f>
        <v>126255.41</v>
      </c>
      <c r="L742" s="92">
        <f>SUM('CA brut produits &amp; sites'!L803:L814)</f>
        <v>0</v>
      </c>
      <c r="M742" s="92">
        <f>SUM('CA brut produits &amp; sites'!M803:M814)</f>
        <v>3978.9399999999996</v>
      </c>
      <c r="N742" s="92">
        <f>SUM('CA brut produits &amp; sites'!N803:N814)</f>
        <v>0</v>
      </c>
      <c r="O742" s="92">
        <f>SUM('CA brut produits &amp; sites'!O803:O814)</f>
        <v>0</v>
      </c>
      <c r="P742" s="93">
        <f>SUM('CA brut produits &amp; sites'!P803:P814)</f>
        <v>0</v>
      </c>
    </row>
    <row r="743" spans="1:16" x14ac:dyDescent="0.3">
      <c r="A743" s="87">
        <v>43101</v>
      </c>
      <c r="B743" s="146"/>
      <c r="C743" s="92">
        <f t="shared" ref="C743:C770" si="116">SUM(D743:P743)</f>
        <v>376920.29</v>
      </c>
      <c r="D743" s="92">
        <f>SUM('CA brut produits &amp; sites'!D804:D815)</f>
        <v>158590.82</v>
      </c>
      <c r="E743" s="92">
        <f>SUM('CA brut produits &amp; sites'!E804:E815)</f>
        <v>74163.95</v>
      </c>
      <c r="F743" s="92">
        <f>SUM('CA brut produits &amp; sites'!F804:F815)</f>
        <v>369.75000000000006</v>
      </c>
      <c r="G743" s="92">
        <f>SUM('CA brut produits &amp; sites'!G804:G815)</f>
        <v>1515.4600000000003</v>
      </c>
      <c r="H743" s="92">
        <f>SUM('CA brut produits &amp; sites'!H804:H815)</f>
        <v>16405.52</v>
      </c>
      <c r="I743" s="92">
        <f>SUM('CA brut produits &amp; sites'!I804:I815)</f>
        <v>820.4100000000002</v>
      </c>
      <c r="J743" s="92">
        <f>SUM('CA brut produits &amp; sites'!J804:J815)</f>
        <v>3024</v>
      </c>
      <c r="K743" s="92">
        <f>SUM('CA brut produits &amp; sites'!K804:K815)</f>
        <v>118051.44</v>
      </c>
      <c r="L743" s="92">
        <f>SUM('CA brut produits &amp; sites'!L804:L815)</f>
        <v>0</v>
      </c>
      <c r="M743" s="92">
        <f>SUM('CA brut produits &amp; sites'!M804:M815)</f>
        <v>3978.9399999999996</v>
      </c>
      <c r="N743" s="92">
        <f>SUM('CA brut produits &amp; sites'!N804:N815)</f>
        <v>0</v>
      </c>
      <c r="O743" s="92">
        <f>SUM('CA brut produits &amp; sites'!O804:O815)</f>
        <v>0</v>
      </c>
      <c r="P743" s="93">
        <f>SUM('CA brut produits &amp; sites'!P804:P815)</f>
        <v>0</v>
      </c>
    </row>
    <row r="744" spans="1:16" x14ac:dyDescent="0.3">
      <c r="A744" s="87">
        <v>43132</v>
      </c>
      <c r="B744" s="146"/>
      <c r="C744" s="92">
        <f t="shared" si="116"/>
        <v>369841.37999999995</v>
      </c>
      <c r="D744" s="92">
        <f>SUM('CA brut produits &amp; sites'!D805:D816)</f>
        <v>156562.29999999999</v>
      </c>
      <c r="E744" s="92">
        <f>SUM('CA brut produits &amp; sites'!E805:E816)</f>
        <v>74363.8</v>
      </c>
      <c r="F744" s="92">
        <f>SUM('CA brut produits &amp; sites'!F805:F816)</f>
        <v>1903.0300000000002</v>
      </c>
      <c r="G744" s="92">
        <f>SUM('CA brut produits &amp; sites'!G805:G816)</f>
        <v>1695.9400000000003</v>
      </c>
      <c r="H744" s="92">
        <f>SUM('CA brut produits &amp; sites'!H805:H816)</f>
        <v>15281.59</v>
      </c>
      <c r="I744" s="92">
        <f>SUM('CA brut produits &amp; sites'!I805:I816)</f>
        <v>780.37</v>
      </c>
      <c r="J744" s="92">
        <f>SUM('CA brut produits &amp; sites'!J805:J816)</f>
        <v>0</v>
      </c>
      <c r="K744" s="92">
        <f>SUM('CA brut produits &amp; sites'!K805:K816)</f>
        <v>115405.41</v>
      </c>
      <c r="L744" s="92">
        <f>SUM('CA brut produits &amp; sites'!L805:L816)</f>
        <v>0</v>
      </c>
      <c r="M744" s="92">
        <f>SUM('CA brut produits &amp; sites'!M805:M816)</f>
        <v>3848.9399999999996</v>
      </c>
      <c r="N744" s="92">
        <f>SUM('CA brut produits &amp; sites'!N805:N816)</f>
        <v>0</v>
      </c>
      <c r="O744" s="92">
        <f>SUM('CA brut produits &amp; sites'!O805:O816)</f>
        <v>0</v>
      </c>
      <c r="P744" s="93">
        <f>SUM('CA brut produits &amp; sites'!P805:P816)</f>
        <v>0</v>
      </c>
    </row>
    <row r="745" spans="1:16" x14ac:dyDescent="0.3">
      <c r="A745" s="87">
        <v>43160</v>
      </c>
      <c r="B745" s="146"/>
      <c r="C745" s="92">
        <f t="shared" si="116"/>
        <v>356446.69</v>
      </c>
      <c r="D745" s="92">
        <f>SUM('CA brut produits &amp; sites'!D806:D817)</f>
        <v>154822.72999999998</v>
      </c>
      <c r="E745" s="92">
        <f>SUM('CA brut produits &amp; sites'!E806:E817)</f>
        <v>71229.72</v>
      </c>
      <c r="F745" s="92">
        <f>SUM('CA brut produits &amp; sites'!F806:F817)</f>
        <v>1938.3100000000002</v>
      </c>
      <c r="G745" s="92">
        <f>SUM('CA brut produits &amp; sites'!G806:G817)</f>
        <v>1582.2900000000002</v>
      </c>
      <c r="H745" s="92">
        <f>SUM('CA brut produits &amp; sites'!H806:H817)</f>
        <v>11619.029999999999</v>
      </c>
      <c r="I745" s="92">
        <f>SUM('CA brut produits &amp; sites'!I806:I817)</f>
        <v>862.28000000000009</v>
      </c>
      <c r="J745" s="92">
        <f>SUM('CA brut produits &amp; sites'!J806:J817)</f>
        <v>0</v>
      </c>
      <c r="K745" s="92">
        <f>SUM('CA brut produits &amp; sites'!K806:K817)</f>
        <v>110543.39</v>
      </c>
      <c r="L745" s="92">
        <f>SUM('CA brut produits &amp; sites'!L806:L817)</f>
        <v>0</v>
      </c>
      <c r="M745" s="92">
        <f>SUM('CA brut produits &amp; sites'!M806:M817)</f>
        <v>3848.9399999999996</v>
      </c>
      <c r="N745" s="92">
        <f>SUM('CA brut produits &amp; sites'!N806:N817)</f>
        <v>0</v>
      </c>
      <c r="O745" s="92">
        <f>SUM('CA brut produits &amp; sites'!O806:O817)</f>
        <v>0</v>
      </c>
      <c r="P745" s="93">
        <f>SUM('CA brut produits &amp; sites'!P806:P817)</f>
        <v>0</v>
      </c>
    </row>
    <row r="746" spans="1:16" x14ac:dyDescent="0.3">
      <c r="A746" s="87">
        <v>43191</v>
      </c>
      <c r="B746" s="146"/>
      <c r="C746" s="92">
        <f t="shared" si="116"/>
        <v>350391.64</v>
      </c>
      <c r="D746" s="92">
        <f>SUM('CA brut produits &amp; sites'!D807:D818)</f>
        <v>151304.48000000001</v>
      </c>
      <c r="E746" s="92">
        <f>SUM('CA brut produits &amp; sites'!E807:E818)</f>
        <v>71573.91</v>
      </c>
      <c r="F746" s="92">
        <f>SUM('CA brut produits &amp; sites'!F807:F818)</f>
        <v>2618.3100000000004</v>
      </c>
      <c r="G746" s="92">
        <f>SUM('CA brut produits &amp; sites'!G807:G818)</f>
        <v>1621.2200000000003</v>
      </c>
      <c r="H746" s="92">
        <f>SUM('CA brut produits &amp; sites'!H807:H818)</f>
        <v>10757.809999999998</v>
      </c>
      <c r="I746" s="92">
        <f>SUM('CA brut produits &amp; sites'!I807:I818)</f>
        <v>874.34000000000026</v>
      </c>
      <c r="J746" s="92">
        <f>SUM('CA brut produits &amp; sites'!J807:J818)</f>
        <v>0</v>
      </c>
      <c r="K746" s="92">
        <f>SUM('CA brut produits &amp; sites'!K807:K818)</f>
        <v>107792.63</v>
      </c>
      <c r="L746" s="92">
        <f>SUM('CA brut produits &amp; sites'!L807:L818)</f>
        <v>0</v>
      </c>
      <c r="M746" s="92">
        <f>SUM('CA brut produits &amp; sites'!M807:M818)</f>
        <v>3848.9399999999996</v>
      </c>
      <c r="N746" s="92">
        <f>SUM('CA brut produits &amp; sites'!N807:N818)</f>
        <v>0</v>
      </c>
      <c r="O746" s="92">
        <f>SUM('CA brut produits &amp; sites'!O807:O818)</f>
        <v>0</v>
      </c>
      <c r="P746" s="93">
        <f>SUM('CA brut produits &amp; sites'!P807:P818)</f>
        <v>0</v>
      </c>
    </row>
    <row r="747" spans="1:16" x14ac:dyDescent="0.3">
      <c r="A747" s="87">
        <v>43221</v>
      </c>
      <c r="B747" s="146"/>
      <c r="C747" s="92">
        <f t="shared" si="116"/>
        <v>350550.30000000005</v>
      </c>
      <c r="D747" s="92">
        <f>SUM('CA brut produits &amp; sites'!D808:D819)</f>
        <v>155603.94000000003</v>
      </c>
      <c r="E747" s="92">
        <f>SUM('CA brut produits &amp; sites'!E808:E819)</f>
        <v>69475.05</v>
      </c>
      <c r="F747" s="92">
        <f>SUM('CA brut produits &amp; sites'!F808:F819)</f>
        <v>3161.4000000000005</v>
      </c>
      <c r="G747" s="92">
        <f>SUM('CA brut produits &amp; sites'!G808:G819)</f>
        <v>1614.8600000000001</v>
      </c>
      <c r="H747" s="92">
        <f>SUM('CA brut produits &amp; sites'!H808:H819)</f>
        <v>6610.0499999999993</v>
      </c>
      <c r="I747" s="92">
        <f>SUM('CA brut produits &amp; sites'!I808:I819)</f>
        <v>868.79000000000019</v>
      </c>
      <c r="J747" s="92">
        <f>SUM('CA brut produits &amp; sites'!J808:J819)</f>
        <v>0</v>
      </c>
      <c r="K747" s="92">
        <f>SUM('CA brut produits &amp; sites'!K808:K819)</f>
        <v>109337.27</v>
      </c>
      <c r="L747" s="92">
        <f>SUM('CA brut produits &amp; sites'!L808:L819)</f>
        <v>0</v>
      </c>
      <c r="M747" s="92">
        <f>SUM('CA brut produits &amp; sites'!M808:M819)</f>
        <v>3848.9399999999996</v>
      </c>
      <c r="N747" s="92">
        <f>SUM('CA brut produits &amp; sites'!N808:N819)</f>
        <v>0</v>
      </c>
      <c r="O747" s="92">
        <f>SUM('CA brut produits &amp; sites'!O808:O819)</f>
        <v>0</v>
      </c>
      <c r="P747" s="93">
        <f>SUM('CA brut produits &amp; sites'!P808:P819)</f>
        <v>30</v>
      </c>
    </row>
    <row r="748" spans="1:16" x14ac:dyDescent="0.3">
      <c r="A748" s="87">
        <v>43252</v>
      </c>
      <c r="B748" s="146"/>
      <c r="C748" s="92">
        <f t="shared" si="116"/>
        <v>358264.32000000001</v>
      </c>
      <c r="D748" s="92">
        <f>SUM('CA brut produits &amp; sites'!D809:D820)</f>
        <v>155201.79999999999</v>
      </c>
      <c r="E748" s="92">
        <f>SUM('CA brut produits &amp; sites'!E809:E820)</f>
        <v>69556.929999999993</v>
      </c>
      <c r="F748" s="92">
        <f>SUM('CA brut produits &amp; sites'!F809:F820)</f>
        <v>4059.6000000000004</v>
      </c>
      <c r="G748" s="92">
        <f>SUM('CA brut produits &amp; sites'!G809:G820)</f>
        <v>1659.0100000000002</v>
      </c>
      <c r="H748" s="92">
        <f>SUM('CA brut produits &amp; sites'!H809:H820)</f>
        <v>5798.7399999999989</v>
      </c>
      <c r="I748" s="92">
        <f>SUM('CA brut produits &amp; sites'!I809:I820)</f>
        <v>844.92000000000007</v>
      </c>
      <c r="J748" s="92">
        <f>SUM('CA brut produits &amp; sites'!J809:J820)</f>
        <v>0</v>
      </c>
      <c r="K748" s="92">
        <f>SUM('CA brut produits &amp; sites'!K809:K820)</f>
        <v>117239.38</v>
      </c>
      <c r="L748" s="92">
        <f>SUM('CA brut produits &amp; sites'!L809:L820)</f>
        <v>25</v>
      </c>
      <c r="M748" s="92">
        <f>SUM('CA brut produits &amp; sites'!M809:M820)</f>
        <v>3848.9399999999996</v>
      </c>
      <c r="N748" s="92">
        <f>SUM('CA brut produits &amp; sites'!N809:N820)</f>
        <v>0</v>
      </c>
      <c r="O748" s="92">
        <f>SUM('CA brut produits &amp; sites'!O809:O820)</f>
        <v>0</v>
      </c>
      <c r="P748" s="93">
        <f>SUM('CA brut produits &amp; sites'!P809:P820)</f>
        <v>30</v>
      </c>
    </row>
    <row r="749" spans="1:16" x14ac:dyDescent="0.3">
      <c r="A749" s="87">
        <v>43282</v>
      </c>
      <c r="B749" s="146"/>
      <c r="C749" s="92">
        <f t="shared" si="116"/>
        <v>352994.49</v>
      </c>
      <c r="D749" s="92">
        <f>SUM('CA brut produits &amp; sites'!D810:D821)</f>
        <v>149601.54999999999</v>
      </c>
      <c r="E749" s="92">
        <f>SUM('CA brut produits &amp; sites'!E810:E821)</f>
        <v>69261.299999999988</v>
      </c>
      <c r="F749" s="92">
        <f>SUM('CA brut produits &amp; sites'!F810:F821)</f>
        <v>3976.7200000000003</v>
      </c>
      <c r="G749" s="92">
        <f>SUM('CA brut produits &amp; sites'!G810:G821)</f>
        <v>1500.7800000000002</v>
      </c>
      <c r="H749" s="92">
        <f>SUM('CA brut produits &amp; sites'!H810:H821)</f>
        <v>5235.46</v>
      </c>
      <c r="I749" s="92">
        <f>SUM('CA brut produits &amp; sites'!I810:I821)</f>
        <v>855.06</v>
      </c>
      <c r="J749" s="92">
        <f>SUM('CA brut produits &amp; sites'!J810:J821)</f>
        <v>0</v>
      </c>
      <c r="K749" s="92">
        <f>SUM('CA brut produits &amp; sites'!K810:K821)</f>
        <v>118659.68000000001</v>
      </c>
      <c r="L749" s="92">
        <f>SUM('CA brut produits &amp; sites'!L810:L821)</f>
        <v>25</v>
      </c>
      <c r="M749" s="92">
        <f>SUM('CA brut produits &amp; sites'!M810:M821)</f>
        <v>3848.9399999999996</v>
      </c>
      <c r="N749" s="92">
        <f>SUM('CA brut produits &amp; sites'!N810:N821)</f>
        <v>0</v>
      </c>
      <c r="O749" s="92">
        <f>SUM('CA brut produits &amp; sites'!O810:O821)</f>
        <v>0</v>
      </c>
      <c r="P749" s="93">
        <f>SUM('CA brut produits &amp; sites'!P810:P821)</f>
        <v>30</v>
      </c>
    </row>
    <row r="750" spans="1:16" x14ac:dyDescent="0.3">
      <c r="A750" s="87">
        <v>43313</v>
      </c>
      <c r="B750" s="146"/>
      <c r="C750" s="92">
        <f t="shared" si="116"/>
        <v>349808.49000000005</v>
      </c>
      <c r="D750" s="92">
        <f>SUM('CA brut produits &amp; sites'!D811:D822)</f>
        <v>145626.21000000002</v>
      </c>
      <c r="E750" s="92">
        <f>SUM('CA brut produits &amp; sites'!E811:E822)</f>
        <v>68057.8</v>
      </c>
      <c r="F750" s="92">
        <f>SUM('CA brut produits &amp; sites'!F811:F822)</f>
        <v>4007.94</v>
      </c>
      <c r="G750" s="92">
        <f>SUM('CA brut produits &amp; sites'!G811:G822)</f>
        <v>771.86999999999989</v>
      </c>
      <c r="H750" s="92">
        <f>SUM('CA brut produits &amp; sites'!H811:H822)</f>
        <v>5025.51</v>
      </c>
      <c r="I750" s="92">
        <f>SUM('CA brut produits &amp; sites'!I811:I822)</f>
        <v>808.4</v>
      </c>
      <c r="J750" s="92">
        <f>SUM('CA brut produits &amp; sites'!J811:J822)</f>
        <v>0</v>
      </c>
      <c r="K750" s="92">
        <f>SUM('CA brut produits &amp; sites'!K811:K822)</f>
        <v>123220.12000000002</v>
      </c>
      <c r="L750" s="92">
        <f>SUM('CA brut produits &amp; sites'!L811:L822)</f>
        <v>25</v>
      </c>
      <c r="M750" s="92">
        <f>SUM('CA brut produits &amp; sites'!M811:M822)</f>
        <v>2235.64</v>
      </c>
      <c r="N750" s="92">
        <f>SUM('CA brut produits &amp; sites'!N811:N822)</f>
        <v>0</v>
      </c>
      <c r="O750" s="92">
        <f>SUM('CA brut produits &amp; sites'!O811:O822)</f>
        <v>0</v>
      </c>
      <c r="P750" s="93">
        <f>SUM('CA brut produits &amp; sites'!P811:P822)</f>
        <v>30</v>
      </c>
    </row>
    <row r="751" spans="1:16" x14ac:dyDescent="0.3">
      <c r="A751" s="87">
        <v>43344</v>
      </c>
      <c r="B751" s="146"/>
      <c r="C751" s="92">
        <f t="shared" si="116"/>
        <v>356701.10000000003</v>
      </c>
      <c r="D751" s="92">
        <f>SUM('CA brut produits &amp; sites'!D812:D823)</f>
        <v>146611.62000000002</v>
      </c>
      <c r="E751" s="92">
        <f>SUM('CA brut produits &amp; sites'!E812:E823)</f>
        <v>68135.759999999995</v>
      </c>
      <c r="F751" s="92">
        <f>SUM('CA brut produits &amp; sites'!F812:F823)</f>
        <v>4313.2700000000004</v>
      </c>
      <c r="G751" s="92">
        <f>SUM('CA brut produits &amp; sites'!G812:G823)</f>
        <v>744.49999999999989</v>
      </c>
      <c r="H751" s="92">
        <f>SUM('CA brut produits &amp; sites'!H812:H823)</f>
        <v>4388.2699999999995</v>
      </c>
      <c r="I751" s="92">
        <f>SUM('CA brut produits &amp; sites'!I812:I823)</f>
        <v>955.23</v>
      </c>
      <c r="J751" s="92">
        <f>SUM('CA brut produits &amp; sites'!J812:J823)</f>
        <v>0</v>
      </c>
      <c r="K751" s="92">
        <f>SUM('CA brut produits &amp; sites'!K812:K823)</f>
        <v>131480.53000000003</v>
      </c>
      <c r="L751" s="92">
        <f>SUM('CA brut produits &amp; sites'!L812:L823)</f>
        <v>41.92</v>
      </c>
      <c r="M751" s="92">
        <f>SUM('CA brut produits &amp; sites'!M812:M823)</f>
        <v>0</v>
      </c>
      <c r="N751" s="92">
        <f>SUM('CA brut produits &amp; sites'!N812:N823)</f>
        <v>0</v>
      </c>
      <c r="O751" s="92">
        <f>SUM('CA brut produits &amp; sites'!O812:O823)</f>
        <v>0</v>
      </c>
      <c r="P751" s="93">
        <f>SUM('CA brut produits &amp; sites'!P812:P823)</f>
        <v>30</v>
      </c>
    </row>
    <row r="752" spans="1:16" x14ac:dyDescent="0.3">
      <c r="A752" s="87">
        <v>43374</v>
      </c>
      <c r="B752" s="146"/>
      <c r="C752" s="92">
        <f t="shared" si="116"/>
        <v>355220.79000000004</v>
      </c>
      <c r="D752" s="92">
        <f>SUM('CA brut produits &amp; sites'!D813:D824)</f>
        <v>146247.91000000003</v>
      </c>
      <c r="E752" s="92">
        <f>SUM('CA brut produits &amp; sites'!E813:E824)</f>
        <v>66886</v>
      </c>
      <c r="F752" s="92">
        <f>SUM('CA brut produits &amp; sites'!F813:F824)</f>
        <v>5053.4399999999996</v>
      </c>
      <c r="G752" s="92">
        <f>SUM('CA brut produits &amp; sites'!G813:G824)</f>
        <v>720.24999999999989</v>
      </c>
      <c r="H752" s="92">
        <f>SUM('CA brut produits &amp; sites'!H813:H824)</f>
        <v>3888.7000000000003</v>
      </c>
      <c r="I752" s="92">
        <f>SUM('CA brut produits &amp; sites'!I813:I824)</f>
        <v>890.83</v>
      </c>
      <c r="J752" s="92">
        <f>SUM('CA brut produits &amp; sites'!J813:J824)</f>
        <v>0</v>
      </c>
      <c r="K752" s="92">
        <f>SUM('CA brut produits &amp; sites'!K813:K824)</f>
        <v>131461.74000000002</v>
      </c>
      <c r="L752" s="92">
        <f>SUM('CA brut produits &amp; sites'!L813:L824)</f>
        <v>41.92</v>
      </c>
      <c r="M752" s="92">
        <f>SUM('CA brut produits &amp; sites'!M813:M824)</f>
        <v>0</v>
      </c>
      <c r="N752" s="92">
        <f>SUM('CA brut produits &amp; sites'!N813:N824)</f>
        <v>0</v>
      </c>
      <c r="O752" s="92">
        <f>SUM('CA brut produits &amp; sites'!O813:O824)</f>
        <v>0</v>
      </c>
      <c r="P752" s="93">
        <f>SUM('CA brut produits &amp; sites'!P813:P824)</f>
        <v>30</v>
      </c>
    </row>
    <row r="753" spans="1:16" x14ac:dyDescent="0.3">
      <c r="A753" s="94">
        <v>43405</v>
      </c>
      <c r="B753" s="146"/>
      <c r="C753" s="92">
        <f t="shared" si="116"/>
        <v>358721.97000000003</v>
      </c>
      <c r="D753" s="92">
        <f>SUM('CA brut produits &amp; sites'!D814:D825)</f>
        <v>142444.51</v>
      </c>
      <c r="E753" s="92">
        <f>SUM('CA brut produits &amp; sites'!E814:E825)</f>
        <v>65446.630000000005</v>
      </c>
      <c r="F753" s="92">
        <f>SUM('CA brut produits &amp; sites'!F814:F825)</f>
        <v>6002.8</v>
      </c>
      <c r="G753" s="92">
        <f>SUM('CA brut produits &amp; sites'!G814:G825)</f>
        <v>420.87999999999994</v>
      </c>
      <c r="H753" s="92">
        <f>SUM('CA brut produits &amp; sites'!H814:H825)</f>
        <v>4879.84</v>
      </c>
      <c r="I753" s="92">
        <f>SUM('CA brut produits &amp; sites'!I814:I825)</f>
        <v>3134.32</v>
      </c>
      <c r="J753" s="92">
        <f>SUM('CA brut produits &amp; sites'!J814:J825)</f>
        <v>0</v>
      </c>
      <c r="K753" s="92">
        <f>SUM('CA brut produits &amp; sites'!K814:K825)</f>
        <v>136306.07</v>
      </c>
      <c r="L753" s="92">
        <f>SUM('CA brut produits &amp; sites'!L814:L825)</f>
        <v>46.92</v>
      </c>
      <c r="M753" s="92">
        <f>SUM('CA brut produits &amp; sites'!M814:M825)</f>
        <v>0</v>
      </c>
      <c r="N753" s="92">
        <f>SUM('CA brut produits &amp; sites'!N814:N825)</f>
        <v>0</v>
      </c>
      <c r="O753" s="92">
        <f>SUM('CA brut produits &amp; sites'!O814:O825)</f>
        <v>0</v>
      </c>
      <c r="P753" s="93">
        <f>SUM('CA brut produits &amp; sites'!P814:P825)</f>
        <v>40</v>
      </c>
    </row>
    <row r="754" spans="1:16" x14ac:dyDescent="0.3">
      <c r="A754" s="94">
        <v>43435</v>
      </c>
      <c r="B754" s="146"/>
      <c r="C754" s="92">
        <f t="shared" si="116"/>
        <v>356481.26</v>
      </c>
      <c r="D754" s="92">
        <f>SUM('CA brut produits &amp; sites'!D815:D826)</f>
        <v>139273.45000000001</v>
      </c>
      <c r="E754" s="92">
        <f>SUM('CA brut produits &amp; sites'!E815:E826)</f>
        <v>65410.520000000004</v>
      </c>
      <c r="F754" s="92">
        <f>SUM('CA brut produits &amp; sites'!F815:F826)</f>
        <v>6002.8</v>
      </c>
      <c r="G754" s="92">
        <f>SUM('CA brut produits &amp; sites'!G815:G826)</f>
        <v>415.10999999999996</v>
      </c>
      <c r="H754" s="92">
        <f>SUM('CA brut produits &amp; sites'!H815:H826)</f>
        <v>5347.7900000000009</v>
      </c>
      <c r="I754" s="92">
        <f>SUM('CA brut produits &amp; sites'!I815:I826)</f>
        <v>3154.79</v>
      </c>
      <c r="J754" s="92">
        <f>SUM('CA brut produits &amp; sites'!J815:J826)</f>
        <v>0</v>
      </c>
      <c r="K754" s="92">
        <f>SUM('CA brut produits &amp; sites'!K815:K826)</f>
        <v>136789.88</v>
      </c>
      <c r="L754" s="92">
        <f>SUM('CA brut produits &amp; sites'!L815:L826)</f>
        <v>46.92</v>
      </c>
      <c r="M754" s="92">
        <f>SUM('CA brut produits &amp; sites'!M815:M826)</f>
        <v>0</v>
      </c>
      <c r="N754" s="92">
        <f>SUM('CA brut produits &amp; sites'!N815:N826)</f>
        <v>0</v>
      </c>
      <c r="O754" s="92">
        <f>SUM('CA brut produits &amp; sites'!O815:O826)</f>
        <v>0</v>
      </c>
      <c r="P754" s="93">
        <f>SUM('CA brut produits &amp; sites'!P815:P826)</f>
        <v>40</v>
      </c>
    </row>
    <row r="755" spans="1:16" x14ac:dyDescent="0.3">
      <c r="A755" s="94">
        <v>43466</v>
      </c>
      <c r="B755" s="146"/>
      <c r="C755" s="92">
        <f t="shared" si="116"/>
        <v>356860.92</v>
      </c>
      <c r="D755" s="92">
        <f>SUM('CA brut produits &amp; sites'!D816:D827)</f>
        <v>138054.96000000002</v>
      </c>
      <c r="E755" s="92">
        <f>SUM('CA brut produits &amp; sites'!E816:E827)</f>
        <v>67984.53</v>
      </c>
      <c r="F755" s="92">
        <f>SUM('CA brut produits &amp; sites'!F816:F827)</f>
        <v>6450.2</v>
      </c>
      <c r="G755" s="92">
        <f>SUM('CA brut produits &amp; sites'!G816:G827)</f>
        <v>415.55</v>
      </c>
      <c r="H755" s="92">
        <f>SUM('CA brut produits &amp; sites'!H816:H827)</f>
        <v>5155.880000000001</v>
      </c>
      <c r="I755" s="92">
        <f>SUM('CA brut produits &amp; sites'!I816:I827)</f>
        <v>3192.88</v>
      </c>
      <c r="J755" s="92">
        <f>SUM('CA brut produits &amp; sites'!J816:J827)</f>
        <v>0</v>
      </c>
      <c r="K755" s="92">
        <f>SUM('CA brut produits &amp; sites'!K816:K827)</f>
        <v>135520</v>
      </c>
      <c r="L755" s="92">
        <f>SUM('CA brut produits &amp; sites'!L816:L827)</f>
        <v>46.92</v>
      </c>
      <c r="M755" s="92">
        <f>SUM('CA brut produits &amp; sites'!M816:M827)</f>
        <v>0</v>
      </c>
      <c r="N755" s="92">
        <f>SUM('CA brut produits &amp; sites'!N816:N827)</f>
        <v>0</v>
      </c>
      <c r="O755" s="92">
        <f>SUM('CA brut produits &amp; sites'!O816:O827)</f>
        <v>0</v>
      </c>
      <c r="P755" s="93">
        <f>SUM('CA brut produits &amp; sites'!P816:P827)</f>
        <v>40</v>
      </c>
    </row>
    <row r="756" spans="1:16" x14ac:dyDescent="0.3">
      <c r="A756" s="94">
        <v>43497</v>
      </c>
      <c r="B756" s="146"/>
      <c r="C756" s="92">
        <f t="shared" si="116"/>
        <v>355369.91</v>
      </c>
      <c r="D756" s="92">
        <f>SUM('CA brut produits &amp; sites'!D817:D828)</f>
        <v>135544.05000000002</v>
      </c>
      <c r="E756" s="92">
        <f>SUM('CA brut produits &amp; sites'!E817:E828)</f>
        <v>67715.699999999983</v>
      </c>
      <c r="F756" s="92">
        <f>SUM('CA brut produits &amp; sites'!F817:F828)</f>
        <v>5151.3900000000003</v>
      </c>
      <c r="G756" s="92">
        <f>SUM('CA brut produits &amp; sites'!G817:G828)</f>
        <v>249.36999999999998</v>
      </c>
      <c r="H756" s="92">
        <f>SUM('CA brut produits &amp; sites'!H817:H828)</f>
        <v>5094.33</v>
      </c>
      <c r="I756" s="92">
        <f>SUM('CA brut produits &amp; sites'!I817:I828)</f>
        <v>3274.25</v>
      </c>
      <c r="J756" s="92">
        <f>SUM('CA brut produits &amp; sites'!J817:J828)</f>
        <v>0</v>
      </c>
      <c r="K756" s="92">
        <f>SUM('CA brut produits &amp; sites'!K817:K828)</f>
        <v>138253.9</v>
      </c>
      <c r="L756" s="92">
        <f>SUM('CA brut produits &amp; sites'!L817:L828)</f>
        <v>46.92</v>
      </c>
      <c r="M756" s="92">
        <f>SUM('CA brut produits &amp; sites'!M817:M828)</f>
        <v>0</v>
      </c>
      <c r="N756" s="92">
        <f>SUM('CA brut produits &amp; sites'!N817:N828)</f>
        <v>0</v>
      </c>
      <c r="O756" s="92">
        <f>SUM('CA brut produits &amp; sites'!O817:O828)</f>
        <v>0</v>
      </c>
      <c r="P756" s="93">
        <f>SUM('CA brut produits &amp; sites'!P817:P828)</f>
        <v>40</v>
      </c>
    </row>
    <row r="757" spans="1:16" x14ac:dyDescent="0.3">
      <c r="A757" s="94">
        <v>43525</v>
      </c>
      <c r="B757" s="146"/>
      <c r="C757" s="92">
        <f t="shared" si="116"/>
        <v>347336.97000000003</v>
      </c>
      <c r="D757" s="92">
        <f>SUM('CA brut produits &amp; sites'!D818:D829)</f>
        <v>130740.28</v>
      </c>
      <c r="E757" s="92">
        <f>SUM('CA brut produits &amp; sites'!E818:E829)</f>
        <v>67112.95</v>
      </c>
      <c r="F757" s="92">
        <f>SUM('CA brut produits &amp; sites'!F818:F829)</f>
        <v>5431.23</v>
      </c>
      <c r="G757" s="92">
        <f>SUM('CA brut produits &amp; sites'!G818:G829)</f>
        <v>204.22</v>
      </c>
      <c r="H757" s="92">
        <f>SUM('CA brut produits &amp; sites'!H818:H829)</f>
        <v>5367.2899999999991</v>
      </c>
      <c r="I757" s="92">
        <f>SUM('CA brut produits &amp; sites'!I818:I829)</f>
        <v>3553.7799999999997</v>
      </c>
      <c r="J757" s="92">
        <f>SUM('CA brut produits &amp; sites'!J818:J829)</f>
        <v>0</v>
      </c>
      <c r="K757" s="92">
        <f>SUM('CA brut produits &amp; sites'!K818:K829)</f>
        <v>134840.30000000002</v>
      </c>
      <c r="L757" s="92">
        <f>SUM('CA brut produits &amp; sites'!L818:L829)</f>
        <v>46.92</v>
      </c>
      <c r="M757" s="92">
        <f>SUM('CA brut produits &amp; sites'!M818:M829)</f>
        <v>0</v>
      </c>
      <c r="N757" s="92">
        <f>SUM('CA brut produits &amp; sites'!N818:N829)</f>
        <v>0</v>
      </c>
      <c r="O757" s="92">
        <f>SUM('CA brut produits &amp; sites'!O818:O829)</f>
        <v>0</v>
      </c>
      <c r="P757" s="93">
        <f>SUM('CA brut produits &amp; sites'!P818:P829)</f>
        <v>40</v>
      </c>
    </row>
    <row r="758" spans="1:16" x14ac:dyDescent="0.3">
      <c r="A758" s="94">
        <v>43556</v>
      </c>
      <c r="B758" s="146"/>
      <c r="C758" s="92">
        <f t="shared" si="116"/>
        <v>364839.56</v>
      </c>
      <c r="D758" s="92">
        <f>SUM('CA brut produits &amp; sites'!D819:D830)</f>
        <v>135094.72</v>
      </c>
      <c r="E758" s="92">
        <f>SUM('CA brut produits &amp; sites'!E819:E830)</f>
        <v>69276.889999999985</v>
      </c>
      <c r="F758" s="92">
        <f>SUM('CA brut produits &amp; sites'!F819:F830)</f>
        <v>5042.3300000000008</v>
      </c>
      <c r="G758" s="92">
        <f>SUM('CA brut produits &amp; sites'!G819:G830)</f>
        <v>508.95</v>
      </c>
      <c r="H758" s="92">
        <f>SUM('CA brut produits &amp; sites'!H819:H830)</f>
        <v>6863.96</v>
      </c>
      <c r="I758" s="92">
        <f>SUM('CA brut produits &amp; sites'!I819:I830)</f>
        <v>3576.8799999999997</v>
      </c>
      <c r="J758" s="92">
        <f>SUM('CA brut produits &amp; sites'!J819:J830)</f>
        <v>0</v>
      </c>
      <c r="K758" s="92">
        <f>SUM('CA brut produits &amp; sites'!K819:K830)</f>
        <v>144388.91</v>
      </c>
      <c r="L758" s="92">
        <f>SUM('CA brut produits &amp; sites'!L819:L830)</f>
        <v>46.92</v>
      </c>
      <c r="M758" s="92">
        <f>SUM('CA brut produits &amp; sites'!M819:M830)</f>
        <v>0</v>
      </c>
      <c r="N758" s="92">
        <f>SUM('CA brut produits &amp; sites'!N819:N830)</f>
        <v>0</v>
      </c>
      <c r="O758" s="92">
        <f>SUM('CA brut produits &amp; sites'!O819:O830)</f>
        <v>0</v>
      </c>
      <c r="P758" s="93">
        <f>SUM('CA brut produits &amp; sites'!P819:P830)</f>
        <v>40</v>
      </c>
    </row>
    <row r="759" spans="1:16" x14ac:dyDescent="0.3">
      <c r="A759" s="94">
        <v>43586</v>
      </c>
      <c r="B759" s="146"/>
      <c r="C759" s="92">
        <f t="shared" si="116"/>
        <v>364118.00999999995</v>
      </c>
      <c r="D759" s="92">
        <f>SUM('CA brut produits &amp; sites'!D820:D831)</f>
        <v>130910.56</v>
      </c>
      <c r="E759" s="92">
        <f>SUM('CA brut produits &amp; sites'!E820:E831)</f>
        <v>69045.36</v>
      </c>
      <c r="F759" s="92">
        <f>SUM('CA brut produits &amp; sites'!F820:F831)</f>
        <v>5160.8000000000011</v>
      </c>
      <c r="G759" s="92">
        <f>SUM('CA brut produits &amp; sites'!G820:G831)</f>
        <v>516.1</v>
      </c>
      <c r="H759" s="92">
        <f>SUM('CA brut produits &amp; sites'!H820:H831)</f>
        <v>7797.31</v>
      </c>
      <c r="I759" s="92">
        <f>SUM('CA brut produits &amp; sites'!I820:I831)</f>
        <v>3629.1799999999994</v>
      </c>
      <c r="J759" s="92">
        <f>SUM('CA brut produits &amp; sites'!J820:J831)</f>
        <v>0</v>
      </c>
      <c r="K759" s="92">
        <f>SUM('CA brut produits &amp; sites'!K820:K831)</f>
        <v>147001.77999999997</v>
      </c>
      <c r="L759" s="92">
        <f>SUM('CA brut produits &amp; sites'!L820:L831)</f>
        <v>46.92</v>
      </c>
      <c r="M759" s="92">
        <f>SUM('CA brut produits &amp; sites'!M820:M831)</f>
        <v>0</v>
      </c>
      <c r="N759" s="92">
        <f>SUM('CA brut produits &amp; sites'!N820:N831)</f>
        <v>0</v>
      </c>
      <c r="O759" s="92">
        <f>SUM('CA brut produits &amp; sites'!O820:O831)</f>
        <v>0</v>
      </c>
      <c r="P759" s="93">
        <f>SUM('CA brut produits &amp; sites'!P820:P831)</f>
        <v>10</v>
      </c>
    </row>
    <row r="760" spans="1:16" x14ac:dyDescent="0.3">
      <c r="A760" s="94">
        <v>43617</v>
      </c>
      <c r="B760" s="146"/>
      <c r="C760" s="92">
        <f t="shared" si="116"/>
        <v>359347.14</v>
      </c>
      <c r="D760" s="92">
        <f>SUM('CA brut produits &amp; sites'!D821:D832)</f>
        <v>129660.62000000001</v>
      </c>
      <c r="E760" s="92">
        <f>SUM('CA brut produits &amp; sites'!E821:E832)</f>
        <v>66885.449999999983</v>
      </c>
      <c r="F760" s="92">
        <f>SUM('CA brut produits &amp; sites'!F821:F832)</f>
        <v>4610.7199999999993</v>
      </c>
      <c r="G760" s="92">
        <f>SUM('CA brut produits &amp; sites'!G821:G832)</f>
        <v>456.26999999999992</v>
      </c>
      <c r="H760" s="92">
        <f>SUM('CA brut produits &amp; sites'!H821:H832)</f>
        <v>7846.69</v>
      </c>
      <c r="I760" s="92">
        <f>SUM('CA brut produits &amp; sites'!I821:I832)</f>
        <v>3607.0699999999993</v>
      </c>
      <c r="J760" s="92">
        <f>SUM('CA brut produits &amp; sites'!J821:J832)</f>
        <v>0</v>
      </c>
      <c r="K760" s="92">
        <f>SUM('CA brut produits &amp; sites'!K821:K832)</f>
        <v>146248.40000000002</v>
      </c>
      <c r="L760" s="92">
        <f>SUM('CA brut produits &amp; sites'!L821:L832)</f>
        <v>21.92</v>
      </c>
      <c r="M760" s="92">
        <f>SUM('CA brut produits &amp; sites'!M821:M832)</f>
        <v>0</v>
      </c>
      <c r="N760" s="92">
        <f>SUM('CA brut produits &amp; sites'!N821:N832)</f>
        <v>0</v>
      </c>
      <c r="O760" s="92">
        <f>SUM('CA brut produits &amp; sites'!O821:O832)</f>
        <v>0</v>
      </c>
      <c r="P760" s="93">
        <f>SUM('CA brut produits &amp; sites'!P821:P832)</f>
        <v>10</v>
      </c>
    </row>
    <row r="761" spans="1:16" x14ac:dyDescent="0.3">
      <c r="A761" s="94">
        <v>43647</v>
      </c>
      <c r="B761" s="146"/>
      <c r="C761" s="92">
        <f t="shared" si="116"/>
        <v>406094.83</v>
      </c>
      <c r="D761" s="92">
        <f>SUM('CA brut produits &amp; sites'!D822:D833)</f>
        <v>158221.5</v>
      </c>
      <c r="E761" s="92">
        <f>SUM('CA brut produits &amp; sites'!E822:E833)</f>
        <v>69437.539999999994</v>
      </c>
      <c r="F761" s="92">
        <f>SUM('CA brut produits &amp; sites'!F822:F833)</f>
        <v>5448.9499999999989</v>
      </c>
      <c r="G761" s="92">
        <f>SUM('CA brut produits &amp; sites'!G822:G833)</f>
        <v>812.62999999999988</v>
      </c>
      <c r="H761" s="92">
        <f>SUM('CA brut produits &amp; sites'!H822:H833)</f>
        <v>7822.69</v>
      </c>
      <c r="I761" s="92">
        <f>SUM('CA brut produits &amp; sites'!I822:I833)</f>
        <v>3566.5499999999993</v>
      </c>
      <c r="J761" s="92">
        <f>SUM('CA brut produits &amp; sites'!J822:J833)</f>
        <v>0</v>
      </c>
      <c r="K761" s="92">
        <f>SUM('CA brut produits &amp; sites'!K822:K833)</f>
        <v>160753.05000000002</v>
      </c>
      <c r="L761" s="92">
        <f>SUM('CA brut produits &amp; sites'!L822:L833)</f>
        <v>21.92</v>
      </c>
      <c r="M761" s="92">
        <f>SUM('CA brut produits &amp; sites'!M822:M833)</f>
        <v>0</v>
      </c>
      <c r="N761" s="92">
        <f>SUM('CA brut produits &amp; sites'!N822:N833)</f>
        <v>0</v>
      </c>
      <c r="O761" s="92">
        <f>SUM('CA brut produits &amp; sites'!O822:O833)</f>
        <v>0</v>
      </c>
      <c r="P761" s="93">
        <f>SUM('CA brut produits &amp; sites'!P822:P833)</f>
        <v>10</v>
      </c>
    </row>
    <row r="762" spans="1:16" x14ac:dyDescent="0.3">
      <c r="A762" s="94">
        <v>43678</v>
      </c>
      <c r="B762" s="146"/>
      <c r="C762" s="92">
        <f t="shared" si="116"/>
        <v>408123.06999999995</v>
      </c>
      <c r="D762" s="92">
        <f>SUM('CA brut produits &amp; sites'!D823:D834)</f>
        <v>160728.85999999999</v>
      </c>
      <c r="E762" s="92">
        <f>SUM('CA brut produits &amp; sites'!E823:E834)</f>
        <v>70226.499999999985</v>
      </c>
      <c r="F762" s="92">
        <f>SUM('CA brut produits &amp; sites'!F823:F834)</f>
        <v>5700.3399999999992</v>
      </c>
      <c r="G762" s="92">
        <f>SUM('CA brut produits &amp; sites'!G823:G834)</f>
        <v>807.59</v>
      </c>
      <c r="H762" s="92">
        <f>SUM('CA brut produits &amp; sites'!H823:H834)</f>
        <v>7520.31</v>
      </c>
      <c r="I762" s="92">
        <f>SUM('CA brut produits &amp; sites'!I823:I834)</f>
        <v>3606.4299999999994</v>
      </c>
      <c r="J762" s="92">
        <f>SUM('CA brut produits &amp; sites'!J823:J834)</f>
        <v>0</v>
      </c>
      <c r="K762" s="92">
        <f>SUM('CA brut produits &amp; sites'!K823:K834)</f>
        <v>159501.12</v>
      </c>
      <c r="L762" s="92">
        <f>SUM('CA brut produits &amp; sites'!L823:L834)</f>
        <v>21.92</v>
      </c>
      <c r="M762" s="92">
        <f>SUM('CA brut produits &amp; sites'!M823:M834)</f>
        <v>0</v>
      </c>
      <c r="N762" s="92">
        <f>SUM('CA brut produits &amp; sites'!N823:N834)</f>
        <v>0</v>
      </c>
      <c r="O762" s="92">
        <f>SUM('CA brut produits &amp; sites'!O823:O834)</f>
        <v>0</v>
      </c>
      <c r="P762" s="93">
        <f>SUM('CA brut produits &amp; sites'!P823:P834)</f>
        <v>10</v>
      </c>
    </row>
    <row r="763" spans="1:16" x14ac:dyDescent="0.3">
      <c r="A763" s="94">
        <v>43709</v>
      </c>
      <c r="B763" s="146"/>
      <c r="C763" s="92">
        <f t="shared" si="116"/>
        <v>411167.77</v>
      </c>
      <c r="D763" s="92">
        <f>SUM('CA brut produits &amp; sites'!D824:D835)</f>
        <v>165368.52000000002</v>
      </c>
      <c r="E763" s="92">
        <f>SUM('CA brut produits &amp; sites'!E824:E835)</f>
        <v>71081.2</v>
      </c>
      <c r="F763" s="92">
        <f>SUM('CA brut produits &amp; sites'!F824:F835)</f>
        <v>5855.41</v>
      </c>
      <c r="G763" s="92">
        <f>SUM('CA brut produits &amp; sites'!G824:G835)</f>
        <v>816.61999999999989</v>
      </c>
      <c r="H763" s="92">
        <f>SUM('CA brut produits &amp; sites'!H824:H835)</f>
        <v>7350.21</v>
      </c>
      <c r="I763" s="92">
        <f>SUM('CA brut produits &amp; sites'!I824:I835)</f>
        <v>3666.5399999999995</v>
      </c>
      <c r="J763" s="92">
        <f>SUM('CA brut produits &amp; sites'!J824:J835)</f>
        <v>0</v>
      </c>
      <c r="K763" s="92">
        <f>SUM('CA brut produits &amp; sites'!K824:K835)</f>
        <v>157014.26999999999</v>
      </c>
      <c r="L763" s="92">
        <f>SUM('CA brut produits &amp; sites'!L824:L835)</f>
        <v>5</v>
      </c>
      <c r="M763" s="92">
        <f>SUM('CA brut produits &amp; sites'!M824:M835)</f>
        <v>0</v>
      </c>
      <c r="N763" s="92">
        <f>SUM('CA brut produits &amp; sites'!N824:N835)</f>
        <v>0</v>
      </c>
      <c r="O763" s="92">
        <f>SUM('CA brut produits &amp; sites'!O824:O835)</f>
        <v>0</v>
      </c>
      <c r="P763" s="93">
        <f>SUM('CA brut produits &amp; sites'!P824:P835)</f>
        <v>10</v>
      </c>
    </row>
    <row r="764" spans="1:16" x14ac:dyDescent="0.3">
      <c r="A764" s="94">
        <v>43739</v>
      </c>
      <c r="B764" s="146"/>
      <c r="C764" s="92">
        <f t="shared" si="116"/>
        <v>409916.29</v>
      </c>
      <c r="D764" s="92">
        <f>SUM('CA brut produits &amp; sites'!D825:D836)</f>
        <v>163882.67000000001</v>
      </c>
      <c r="E764" s="92">
        <f>SUM('CA brut produits &amp; sites'!E825:E836)</f>
        <v>71467.569999999992</v>
      </c>
      <c r="F764" s="92">
        <f>SUM('CA brut produits &amp; sites'!F825:F836)</f>
        <v>5311.53</v>
      </c>
      <c r="G764" s="92">
        <f>SUM('CA brut produits &amp; sites'!G825:G836)</f>
        <v>972.99999999999989</v>
      </c>
      <c r="H764" s="92">
        <f>SUM('CA brut produits &amp; sites'!H825:H836)</f>
        <v>7248.62</v>
      </c>
      <c r="I764" s="92">
        <f>SUM('CA brut produits &amp; sites'!I825:I836)</f>
        <v>3824.9299999999994</v>
      </c>
      <c r="J764" s="92">
        <f>SUM('CA brut produits &amp; sites'!J825:J836)</f>
        <v>0</v>
      </c>
      <c r="K764" s="92">
        <f>SUM('CA brut produits &amp; sites'!K825:K836)</f>
        <v>157192.97</v>
      </c>
      <c r="L764" s="92">
        <f>SUM('CA brut produits &amp; sites'!L825:L836)</f>
        <v>5</v>
      </c>
      <c r="M764" s="92">
        <f>SUM('CA brut produits &amp; sites'!M825:M836)</f>
        <v>0</v>
      </c>
      <c r="N764" s="92">
        <f>SUM('CA brut produits &amp; sites'!N825:N836)</f>
        <v>0</v>
      </c>
      <c r="O764" s="92">
        <f>SUM('CA brut produits &amp; sites'!O825:O836)</f>
        <v>0</v>
      </c>
      <c r="P764" s="93">
        <f>SUM('CA brut produits &amp; sites'!P825:P836)</f>
        <v>10</v>
      </c>
    </row>
    <row r="765" spans="1:16" x14ac:dyDescent="0.3">
      <c r="A765" s="94">
        <v>43770</v>
      </c>
      <c r="B765" s="146"/>
      <c r="C765" s="92">
        <f t="shared" si="116"/>
        <v>402725.00999999995</v>
      </c>
      <c r="D765" s="92">
        <f>SUM('CA brut produits &amp; sites'!D826:D837)</f>
        <v>162609.21999999997</v>
      </c>
      <c r="E765" s="92">
        <f>SUM('CA brut produits &amp; sites'!E826:E837)</f>
        <v>73016.489999999991</v>
      </c>
      <c r="F765" s="92">
        <f>SUM('CA brut produits &amp; sites'!F826:F837)</f>
        <v>5100.18</v>
      </c>
      <c r="G765" s="92">
        <f>SUM('CA brut produits &amp; sites'!G826:G837)</f>
        <v>1084.27</v>
      </c>
      <c r="H765" s="92">
        <f>SUM('CA brut produits &amp; sites'!H826:H837)</f>
        <v>6209.58</v>
      </c>
      <c r="I765" s="92">
        <f>SUM('CA brut produits &amp; sites'!I826:I837)</f>
        <v>1449.47</v>
      </c>
      <c r="J765" s="92">
        <f>SUM('CA brut produits &amp; sites'!J826:J837)</f>
        <v>0</v>
      </c>
      <c r="K765" s="92">
        <f>SUM('CA brut produits &amp; sites'!K826:K837)</f>
        <v>153255.80000000002</v>
      </c>
      <c r="L765" s="92">
        <f>SUM('CA brut produits &amp; sites'!L826:L837)</f>
        <v>0</v>
      </c>
      <c r="M765" s="92">
        <f>SUM('CA brut produits &amp; sites'!M826:M837)</f>
        <v>0</v>
      </c>
      <c r="N765" s="92">
        <f>SUM('CA brut produits &amp; sites'!N826:N837)</f>
        <v>0</v>
      </c>
      <c r="O765" s="92">
        <f>SUM('CA brut produits &amp; sites'!O826:O837)</f>
        <v>0</v>
      </c>
      <c r="P765" s="93">
        <f>SUM('CA brut produits &amp; sites'!P826:P837)</f>
        <v>0</v>
      </c>
    </row>
    <row r="766" spans="1:16" x14ac:dyDescent="0.3">
      <c r="A766" s="94">
        <v>43800</v>
      </c>
      <c r="B766" s="146"/>
      <c r="C766" s="92">
        <f t="shared" si="116"/>
        <v>435772.16000000003</v>
      </c>
      <c r="D766" s="92">
        <f>SUM('CA brut produits &amp; sites'!D827:D838)</f>
        <v>171008.33999999997</v>
      </c>
      <c r="E766" s="92">
        <f>SUM('CA brut produits &amp; sites'!E827:E838)</f>
        <v>84524.81</v>
      </c>
      <c r="F766" s="92">
        <f>SUM('CA brut produits &amp; sites'!F827:F838)</f>
        <v>5428.9900000000007</v>
      </c>
      <c r="G766" s="92">
        <f>SUM('CA brut produits &amp; sites'!G827:G838)</f>
        <v>1651.54</v>
      </c>
      <c r="H766" s="92">
        <f>SUM('CA brut produits &amp; sites'!H827:H838)</f>
        <v>5824.58</v>
      </c>
      <c r="I766" s="92">
        <f>SUM('CA brut produits &amp; sites'!I827:I838)</f>
        <v>1425.33</v>
      </c>
      <c r="J766" s="92">
        <f>SUM('CA brut produits &amp; sites'!J827:J838)</f>
        <v>0</v>
      </c>
      <c r="K766" s="92">
        <f>SUM('CA brut produits &amp; sites'!K827:K838)</f>
        <v>157293.22000000003</v>
      </c>
      <c r="L766" s="92">
        <f>SUM('CA brut produits &amp; sites'!L827:L838)</f>
        <v>2228.4</v>
      </c>
      <c r="M766" s="92">
        <f>SUM('CA brut produits &amp; sites'!M827:M838)</f>
        <v>240</v>
      </c>
      <c r="N766" s="92">
        <f>SUM('CA brut produits &amp; sites'!N827:N838)</f>
        <v>0</v>
      </c>
      <c r="O766" s="92">
        <f>SUM('CA brut produits &amp; sites'!O827:O838)</f>
        <v>6146.95</v>
      </c>
      <c r="P766" s="93">
        <f>SUM('CA brut produits &amp; sites'!P827:P838)</f>
        <v>0</v>
      </c>
    </row>
    <row r="767" spans="1:16" x14ac:dyDescent="0.3">
      <c r="A767" s="94">
        <v>43831</v>
      </c>
      <c r="B767" s="146"/>
      <c r="C767" s="92">
        <f t="shared" si="116"/>
        <v>432957.25000000006</v>
      </c>
      <c r="D767" s="92">
        <f>SUM('CA brut produits &amp; sites'!D828:D839)</f>
        <v>175330.02</v>
      </c>
      <c r="E767" s="92">
        <f>SUM('CA brut produits &amp; sites'!E828:E839)</f>
        <v>78427.240000000005</v>
      </c>
      <c r="F767" s="92">
        <f>SUM('CA brut produits &amp; sites'!F828:F839)</f>
        <v>5417.9700000000012</v>
      </c>
      <c r="G767" s="92">
        <f>SUM('CA brut produits &amp; sites'!G828:G839)</f>
        <v>1782.1299999999999</v>
      </c>
      <c r="H767" s="92">
        <f>SUM('CA brut produits &amp; sites'!H828:H839)</f>
        <v>6163.61</v>
      </c>
      <c r="I767" s="92">
        <f>SUM('CA brut produits &amp; sites'!I828:I839)</f>
        <v>1387.8500000000001</v>
      </c>
      <c r="J767" s="92">
        <f>SUM('CA brut produits &amp; sites'!J828:J839)</f>
        <v>0</v>
      </c>
      <c r="K767" s="92">
        <f>SUM('CA brut produits &amp; sites'!K828:K839)</f>
        <v>155833.07999999999</v>
      </c>
      <c r="L767" s="92">
        <f>SUM('CA brut produits &amp; sites'!L828:L839)</f>
        <v>2228.4</v>
      </c>
      <c r="M767" s="92">
        <f>SUM('CA brut produits &amp; sites'!M828:M839)</f>
        <v>240</v>
      </c>
      <c r="N767" s="92">
        <f>SUM('CA brut produits &amp; sites'!N828:N839)</f>
        <v>0</v>
      </c>
      <c r="O767" s="92">
        <f>SUM('CA brut produits &amp; sites'!O828:O839)</f>
        <v>6146.95</v>
      </c>
      <c r="P767" s="93">
        <f>SUM('CA brut produits &amp; sites'!P828:P839)</f>
        <v>0</v>
      </c>
    </row>
    <row r="768" spans="1:16" x14ac:dyDescent="0.3">
      <c r="A768" s="94">
        <v>43862</v>
      </c>
      <c r="B768" s="146"/>
      <c r="C768" s="92">
        <f t="shared" si="116"/>
        <v>431992.51000000007</v>
      </c>
      <c r="D768" s="92">
        <f>SUM('CA brut produits &amp; sites'!D829:D840)</f>
        <v>172661.50000000003</v>
      </c>
      <c r="E768" s="92">
        <f>SUM('CA brut produits &amp; sites'!E829:E840)</f>
        <v>77971.499999999985</v>
      </c>
      <c r="F768" s="92">
        <f>SUM('CA brut produits &amp; sites'!F829:F840)</f>
        <v>5686.9900000000007</v>
      </c>
      <c r="G768" s="92">
        <f>SUM('CA brut produits &amp; sites'!G829:G840)</f>
        <v>1729.4499999999998</v>
      </c>
      <c r="H768" s="92">
        <f>SUM('CA brut produits &amp; sites'!H829:H840)</f>
        <v>5594.16</v>
      </c>
      <c r="I768" s="92">
        <f>SUM('CA brut produits &amp; sites'!I829:I840)</f>
        <v>1307.4000000000001</v>
      </c>
      <c r="J768" s="92">
        <f>SUM('CA brut produits &amp; sites'!J829:J840)</f>
        <v>0</v>
      </c>
      <c r="K768" s="92">
        <f>SUM('CA brut produits &amp; sites'!K829:K840)</f>
        <v>158426.16</v>
      </c>
      <c r="L768" s="92">
        <f>SUM('CA brut produits &amp; sites'!L829:L840)</f>
        <v>2228.4</v>
      </c>
      <c r="M768" s="92">
        <f>SUM('CA brut produits &amp; sites'!M829:M840)</f>
        <v>240</v>
      </c>
      <c r="N768" s="92">
        <f>SUM('CA brut produits &amp; sites'!N829:N840)</f>
        <v>0</v>
      </c>
      <c r="O768" s="92">
        <f>SUM('CA brut produits &amp; sites'!O829:O840)</f>
        <v>6146.95</v>
      </c>
      <c r="P768" s="93">
        <f>SUM('CA brut produits &amp; sites'!P829:P840)</f>
        <v>0</v>
      </c>
    </row>
    <row r="769" spans="1:16" x14ac:dyDescent="0.3">
      <c r="A769" s="94">
        <v>43891</v>
      </c>
      <c r="B769" s="146"/>
      <c r="C769" s="92">
        <f t="shared" si="116"/>
        <v>420859.49000000005</v>
      </c>
      <c r="D769" s="92">
        <f>SUM('CA brut produits &amp; sites'!D830:D841)</f>
        <v>172069.36000000002</v>
      </c>
      <c r="E769" s="92">
        <f>SUM('CA brut produits &amp; sites'!E830:E841)</f>
        <v>74589.799999999988</v>
      </c>
      <c r="F769" s="92">
        <f>SUM('CA brut produits &amp; sites'!F830:F841)</f>
        <v>5361.79</v>
      </c>
      <c r="G769" s="92">
        <f>SUM('CA brut produits &amp; sites'!G830:G841)</f>
        <v>1729.4499999999998</v>
      </c>
      <c r="H769" s="92">
        <f>SUM('CA brut produits &amp; sites'!H830:H841)</f>
        <v>5089.76</v>
      </c>
      <c r="I769" s="92">
        <f>SUM('CA brut produits &amp; sites'!I830:I841)</f>
        <v>904.75000000000011</v>
      </c>
      <c r="J769" s="92">
        <f>SUM('CA brut produits &amp; sites'!J830:J841)</f>
        <v>0</v>
      </c>
      <c r="K769" s="92">
        <f>SUM('CA brut produits &amp; sites'!K830:K841)</f>
        <v>152499.22999999998</v>
      </c>
      <c r="L769" s="92">
        <f>SUM('CA brut produits &amp; sites'!L830:L841)</f>
        <v>2228.4</v>
      </c>
      <c r="M769" s="92">
        <f>SUM('CA brut produits &amp; sites'!M830:M841)</f>
        <v>240</v>
      </c>
      <c r="N769" s="92">
        <f>SUM('CA brut produits &amp; sites'!N830:N841)</f>
        <v>0</v>
      </c>
      <c r="O769" s="92">
        <f>SUM('CA brut produits &amp; sites'!O830:O841)</f>
        <v>6146.95</v>
      </c>
      <c r="P769" s="93">
        <f>SUM('CA brut produits &amp; sites'!P830:P841)</f>
        <v>0</v>
      </c>
    </row>
    <row r="770" spans="1:16" x14ac:dyDescent="0.3">
      <c r="A770" s="94">
        <v>43922</v>
      </c>
      <c r="B770" s="146"/>
      <c r="C770" s="92">
        <f t="shared" si="116"/>
        <v>381541.64000000007</v>
      </c>
      <c r="D770" s="92">
        <f>SUM('CA brut produits &amp; sites'!D831:D842)</f>
        <v>158141.57000000004</v>
      </c>
      <c r="E770" s="92">
        <f>SUM('CA brut produits &amp; sites'!E831:E842)</f>
        <v>69868.719999999987</v>
      </c>
      <c r="F770" s="92">
        <f>SUM('CA brut produits &amp; sites'!F831:F842)</f>
        <v>5070.6899999999996</v>
      </c>
      <c r="G770" s="92">
        <f>SUM('CA brut produits &amp; sites'!G831:G842)</f>
        <v>1385.79</v>
      </c>
      <c r="H770" s="92">
        <f>SUM('CA brut produits &amp; sites'!H831:H842)</f>
        <v>3548.12</v>
      </c>
      <c r="I770" s="92">
        <f>SUM('CA brut produits &amp; sites'!I831:I842)</f>
        <v>833.94000000000017</v>
      </c>
      <c r="J770" s="92">
        <f>SUM('CA brut produits &amp; sites'!J831:J842)</f>
        <v>0</v>
      </c>
      <c r="K770" s="92">
        <f>SUM('CA brut produits &amp; sites'!K831:K842)</f>
        <v>134077.46</v>
      </c>
      <c r="L770" s="92">
        <f>SUM('CA brut produits &amp; sites'!L831:L842)</f>
        <v>2228.4</v>
      </c>
      <c r="M770" s="92">
        <f>SUM('CA brut produits &amp; sites'!M831:M842)</f>
        <v>240</v>
      </c>
      <c r="N770" s="92">
        <f>SUM('CA brut produits &amp; sites'!N831:N842)</f>
        <v>0</v>
      </c>
      <c r="O770" s="92">
        <f>SUM('CA brut produits &amp; sites'!O831:O842)</f>
        <v>6146.95</v>
      </c>
      <c r="P770" s="93">
        <f>SUM('CA brut produits &amp; sites'!P831:P842)</f>
        <v>0</v>
      </c>
    </row>
    <row r="771" spans="1:16" x14ac:dyDescent="0.3">
      <c r="A771" s="94">
        <v>43952</v>
      </c>
      <c r="B771" s="146"/>
      <c r="C771" s="92">
        <f t="shared" ref="C771" si="117">SUM(D771:P771)</f>
        <v>370885.92000000004</v>
      </c>
      <c r="D771" s="92">
        <f>SUM('CA brut produits &amp; sites'!D832:D843)</f>
        <v>146835.50000000003</v>
      </c>
      <c r="E771" s="92">
        <f>SUM('CA brut produits &amp; sites'!E832:E843)</f>
        <v>69924.28</v>
      </c>
      <c r="F771" s="92">
        <f>SUM('CA brut produits &amp; sites'!F832:F843)</f>
        <v>4753.93</v>
      </c>
      <c r="G771" s="92">
        <f>SUM('CA brut produits &amp; sites'!G832:G843)</f>
        <v>1378.6399999999999</v>
      </c>
      <c r="H771" s="92">
        <f>SUM('CA brut produits &amp; sites'!H832:H843)</f>
        <v>2804.62</v>
      </c>
      <c r="I771" s="92">
        <f>SUM('CA brut produits &amp; sites'!I832:I843)</f>
        <v>918.11000000000013</v>
      </c>
      <c r="J771" s="92">
        <f>SUM('CA brut produits &amp; sites'!J832:J843)</f>
        <v>0</v>
      </c>
      <c r="K771" s="92">
        <f>SUM('CA brut produits &amp; sites'!K832:K843)</f>
        <v>135655.49</v>
      </c>
      <c r="L771" s="92">
        <f>SUM('CA brut produits &amp; sites'!L832:L843)</f>
        <v>2228.4</v>
      </c>
      <c r="M771" s="92">
        <f>SUM('CA brut produits &amp; sites'!M832:M843)</f>
        <v>240</v>
      </c>
      <c r="N771" s="92">
        <f>SUM('CA brut produits &amp; sites'!N832:N843)</f>
        <v>0</v>
      </c>
      <c r="O771" s="92">
        <f>SUM('CA brut produits &amp; sites'!O832:O843)</f>
        <v>6146.95</v>
      </c>
      <c r="P771" s="93">
        <f>SUM('CA brut produits &amp; sites'!P832:P843)</f>
        <v>0</v>
      </c>
    </row>
    <row r="772" spans="1:16" x14ac:dyDescent="0.3">
      <c r="A772" s="94">
        <v>43983</v>
      </c>
      <c r="B772" s="146"/>
      <c r="C772" s="92">
        <f t="shared" ref="C772" si="118">SUM(D772:P772)</f>
        <v>354640.64000000001</v>
      </c>
      <c r="D772" s="92">
        <f>SUM('CA brut produits &amp; sites'!D833:D844)</f>
        <v>139648.98000000001</v>
      </c>
      <c r="E772" s="92">
        <f>SUM('CA brut produits &amp; sites'!E833:E844)</f>
        <v>68357.689999999988</v>
      </c>
      <c r="F772" s="92">
        <f>SUM('CA brut produits &amp; sites'!F833:F844)</f>
        <v>4801.93</v>
      </c>
      <c r="G772" s="92">
        <f>SUM('CA brut produits &amp; sites'!G833:G844)</f>
        <v>1376.3799999999999</v>
      </c>
      <c r="H772" s="92">
        <f>SUM('CA brut produits &amp; sites'!H833:H844)</f>
        <v>2046.87</v>
      </c>
      <c r="I772" s="92">
        <f>SUM('CA brut produits &amp; sites'!I833:I844)</f>
        <v>870.35000000000014</v>
      </c>
      <c r="J772" s="92">
        <f>SUM('CA brut produits &amp; sites'!J833:J844)</f>
        <v>0</v>
      </c>
      <c r="K772" s="92">
        <f>SUM('CA brut produits &amp; sites'!K833:K844)</f>
        <v>128923.09</v>
      </c>
      <c r="L772" s="92">
        <f>SUM('CA brut produits &amp; sites'!L833:L844)</f>
        <v>2228.4</v>
      </c>
      <c r="M772" s="92">
        <f>SUM('CA brut produits &amp; sites'!M833:M844)</f>
        <v>240</v>
      </c>
      <c r="N772" s="92">
        <f>SUM('CA brut produits &amp; sites'!N833:N844)</f>
        <v>0</v>
      </c>
      <c r="O772" s="92">
        <f>SUM('CA brut produits &amp; sites'!O833:O844)</f>
        <v>6146.95</v>
      </c>
      <c r="P772" s="93">
        <f>SUM('CA brut produits &amp; sites'!P833:P844)</f>
        <v>0</v>
      </c>
    </row>
    <row r="773" spans="1:16" x14ac:dyDescent="0.3">
      <c r="A773" s="94">
        <v>44013</v>
      </c>
      <c r="B773" s="146"/>
      <c r="C773" s="92">
        <f t="shared" ref="C773" si="119">SUM(D773:P773)</f>
        <v>302972.81000000006</v>
      </c>
      <c r="D773" s="92">
        <f>SUM('CA brut produits &amp; sites'!D834:D845)</f>
        <v>108665.01000000001</v>
      </c>
      <c r="E773" s="92">
        <f>SUM('CA brut produits &amp; sites'!E834:E845)</f>
        <v>65976.17</v>
      </c>
      <c r="F773" s="92">
        <f>SUM('CA brut produits &amp; sites'!F834:F845)</f>
        <v>4425.920000000001</v>
      </c>
      <c r="G773" s="92">
        <f>SUM('CA brut produits &amp; sites'!G834:G845)</f>
        <v>1018.89</v>
      </c>
      <c r="H773" s="92">
        <f>SUM('CA brut produits &amp; sites'!H834:H845)</f>
        <v>2046.87</v>
      </c>
      <c r="I773" s="92">
        <f>SUM('CA brut produits &amp; sites'!I834:I845)</f>
        <v>885.58000000000015</v>
      </c>
      <c r="J773" s="92">
        <f>SUM('CA brut produits &amp; sites'!J834:J845)</f>
        <v>0</v>
      </c>
      <c r="K773" s="92">
        <f>SUM('CA brut produits &amp; sites'!K834:K845)</f>
        <v>111339.02</v>
      </c>
      <c r="L773" s="92">
        <f>SUM('CA brut produits &amp; sites'!L834:L845)</f>
        <v>2228.4</v>
      </c>
      <c r="M773" s="92">
        <f>SUM('CA brut produits &amp; sites'!M834:M845)</f>
        <v>240</v>
      </c>
      <c r="N773" s="92">
        <f>SUM('CA brut produits &amp; sites'!N834:N845)</f>
        <v>0</v>
      </c>
      <c r="O773" s="92">
        <f>SUM('CA brut produits &amp; sites'!O834:O845)</f>
        <v>6146.95</v>
      </c>
      <c r="P773" s="93">
        <f>SUM('CA brut produits &amp; sites'!P834:P845)</f>
        <v>0</v>
      </c>
    </row>
    <row r="774" spans="1:16" x14ac:dyDescent="0.3">
      <c r="A774" s="94">
        <v>44044</v>
      </c>
      <c r="B774" s="146"/>
      <c r="C774" s="92">
        <f t="shared" ref="C774" si="120">SUM(D774:P774)</f>
        <v>296566.18000000005</v>
      </c>
      <c r="D774" s="92">
        <f>SUM('CA brut produits &amp; sites'!D835:D846)</f>
        <v>106577.13000000002</v>
      </c>
      <c r="E774" s="92">
        <f>SUM('CA brut produits &amp; sites'!E835:E846)</f>
        <v>64142.860000000008</v>
      </c>
      <c r="F774" s="92">
        <f>SUM('CA brut produits &amp; sites'!F835:F846)</f>
        <v>4533.3100000000004</v>
      </c>
      <c r="G774" s="92">
        <f>SUM('CA brut produits &amp; sites'!G835:G846)</f>
        <v>1015.29</v>
      </c>
      <c r="H774" s="92">
        <f>SUM('CA brut produits &amp; sites'!H835:H846)</f>
        <v>2102.87</v>
      </c>
      <c r="I774" s="92">
        <f>SUM('CA brut produits &amp; sites'!I835:I846)</f>
        <v>995.8599999999999</v>
      </c>
      <c r="J774" s="92">
        <f>SUM('CA brut produits &amp; sites'!J835:J846)</f>
        <v>0</v>
      </c>
      <c r="K774" s="92">
        <f>SUM('CA brut produits &amp; sites'!K835:K846)</f>
        <v>108488.51000000001</v>
      </c>
      <c r="L774" s="92">
        <f>SUM('CA brut produits &amp; sites'!L835:L846)</f>
        <v>2238.4</v>
      </c>
      <c r="M774" s="92">
        <f>SUM('CA brut produits &amp; sites'!M835:M846)</f>
        <v>240</v>
      </c>
      <c r="N774" s="92">
        <f>SUM('CA brut produits &amp; sites'!N835:N846)</f>
        <v>0</v>
      </c>
      <c r="O774" s="92">
        <f>SUM('CA brut produits &amp; sites'!O835:O846)</f>
        <v>6146.95</v>
      </c>
      <c r="P774" s="93">
        <f>SUM('CA brut produits &amp; sites'!P835:P846)</f>
        <v>85</v>
      </c>
    </row>
    <row r="775" spans="1:16" x14ac:dyDescent="0.3">
      <c r="A775" s="94">
        <v>44075</v>
      </c>
      <c r="B775" s="146"/>
      <c r="C775" s="92">
        <f t="shared" ref="C775" si="121">SUM(D775:P775)</f>
        <v>289144.93000000005</v>
      </c>
      <c r="D775" s="92">
        <f>SUM('CA brut produits &amp; sites'!D836:D847)</f>
        <v>97951.38</v>
      </c>
      <c r="E775" s="92">
        <f>SUM('CA brut produits &amp; sites'!E836:E847)</f>
        <v>63722.350000000006</v>
      </c>
      <c r="F775" s="92">
        <f>SUM('CA brut produits &amp; sites'!F836:F847)</f>
        <v>4179.4700000000012</v>
      </c>
      <c r="G775" s="92">
        <f>SUM('CA brut produits &amp; sites'!G836:G847)</f>
        <v>1004.5600000000001</v>
      </c>
      <c r="H775" s="92">
        <f>SUM('CA brut produits &amp; sites'!H836:H847)</f>
        <v>1805.82</v>
      </c>
      <c r="I775" s="92">
        <f>SUM('CA brut produits &amp; sites'!I836:I847)</f>
        <v>826.07</v>
      </c>
      <c r="J775" s="92">
        <f>SUM('CA brut produits &amp; sites'!J836:J847)</f>
        <v>0</v>
      </c>
      <c r="K775" s="92">
        <f>SUM('CA brut produits &amp; sites'!K836:K847)</f>
        <v>110859.93000000001</v>
      </c>
      <c r="L775" s="92">
        <f>SUM('CA brut produits &amp; sites'!L836:L847)</f>
        <v>2238.4</v>
      </c>
      <c r="M775" s="92">
        <f>SUM('CA brut produits &amp; sites'!M836:M847)</f>
        <v>240</v>
      </c>
      <c r="N775" s="92">
        <f>SUM('CA brut produits &amp; sites'!N836:N847)</f>
        <v>0</v>
      </c>
      <c r="O775" s="92">
        <f>SUM('CA brut produits &amp; sites'!O836:O847)</f>
        <v>6146.95</v>
      </c>
      <c r="P775" s="93">
        <f>SUM('CA brut produits &amp; sites'!P836:P847)</f>
        <v>170</v>
      </c>
    </row>
    <row r="776" spans="1:16" x14ac:dyDescent="0.3">
      <c r="A776" s="94">
        <v>44105</v>
      </c>
      <c r="B776" s="146"/>
      <c r="C776" s="92">
        <f t="shared" ref="C776" si="122">SUM(D776:P776)</f>
        <v>279470.74000000005</v>
      </c>
      <c r="D776" s="92">
        <f>SUM('CA brut produits &amp; sites'!D837:D848)</f>
        <v>94592.48</v>
      </c>
      <c r="E776" s="92">
        <f>SUM('CA brut produits &amp; sites'!E837:E848)</f>
        <v>59738.320000000007</v>
      </c>
      <c r="F776" s="92">
        <f>SUM('CA brut produits &amp; sites'!F837:F848)</f>
        <v>3876.78</v>
      </c>
      <c r="G776" s="92">
        <f>SUM('CA brut produits &amp; sites'!G837:G848)</f>
        <v>865.28</v>
      </c>
      <c r="H776" s="92">
        <f>SUM('CA brut produits &amp; sites'!H837:H848)</f>
        <v>2966.67</v>
      </c>
      <c r="I776" s="92">
        <f>SUM('CA brut produits &amp; sites'!I837:I848)</f>
        <v>834.2299999999999</v>
      </c>
      <c r="J776" s="92">
        <f>SUM('CA brut produits &amp; sites'!J837:J848)</f>
        <v>0</v>
      </c>
      <c r="K776" s="92">
        <f>SUM('CA brut produits &amp; sites'!K837:K848)</f>
        <v>107801.63</v>
      </c>
      <c r="L776" s="92">
        <f>SUM('CA brut produits &amp; sites'!L837:L848)</f>
        <v>2238.4</v>
      </c>
      <c r="M776" s="92">
        <f>SUM('CA brut produits &amp; sites'!M837:M848)</f>
        <v>240</v>
      </c>
      <c r="N776" s="92">
        <f>SUM('CA brut produits &amp; sites'!N837:N848)</f>
        <v>0</v>
      </c>
      <c r="O776" s="92">
        <f>SUM('CA brut produits &amp; sites'!O837:O848)</f>
        <v>6146.95</v>
      </c>
      <c r="P776" s="93">
        <f>SUM('CA brut produits &amp; sites'!P837:P848)</f>
        <v>170</v>
      </c>
    </row>
    <row r="777" spans="1:16" x14ac:dyDescent="0.3">
      <c r="A777" s="94">
        <v>44136</v>
      </c>
      <c r="B777" s="146"/>
      <c r="C777" s="92">
        <f t="shared" ref="C777:C778" si="123">SUM(D777:P777)</f>
        <v>254524.83</v>
      </c>
      <c r="D777" s="92">
        <f>SUM('CA brut produits &amp; sites'!D838:D849)</f>
        <v>82981.26999999999</v>
      </c>
      <c r="E777" s="92">
        <f>SUM('CA brut produits &amp; sites'!E838:E849)</f>
        <v>53875.34</v>
      </c>
      <c r="F777" s="92">
        <f>SUM('CA brut produits &amp; sites'!F838:F849)</f>
        <v>3417.0899999999997</v>
      </c>
      <c r="G777" s="92">
        <f>SUM('CA brut produits &amp; sites'!G838:G849)</f>
        <v>736.21</v>
      </c>
      <c r="H777" s="92">
        <f>SUM('CA brut produits &amp; sites'!H838:H849)</f>
        <v>2966.67</v>
      </c>
      <c r="I777" s="92">
        <f>SUM('CA brut produits &amp; sites'!I838:I849)</f>
        <v>835.77</v>
      </c>
      <c r="J777" s="92">
        <f>SUM('CA brut produits &amp; sites'!J838:J849)</f>
        <v>0</v>
      </c>
      <c r="K777" s="92">
        <f>SUM('CA brut produits &amp; sites'!K838:K849)</f>
        <v>100917.13</v>
      </c>
      <c r="L777" s="92">
        <f>SUM('CA brut produits &amp; sites'!L838:L849)</f>
        <v>2238.4</v>
      </c>
      <c r="M777" s="92">
        <f>SUM('CA brut produits &amp; sites'!M838:M849)</f>
        <v>240</v>
      </c>
      <c r="N777" s="92">
        <f>SUM('CA brut produits &amp; sites'!N838:N849)</f>
        <v>0</v>
      </c>
      <c r="O777" s="92">
        <f>SUM('CA brut produits &amp; sites'!O838:O849)</f>
        <v>6146.95</v>
      </c>
      <c r="P777" s="93">
        <f>SUM('CA brut produits &amp; sites'!P838:P849)</f>
        <v>170</v>
      </c>
    </row>
    <row r="778" spans="1:16" x14ac:dyDescent="0.3">
      <c r="A778" s="94">
        <v>44166</v>
      </c>
      <c r="B778" s="146"/>
      <c r="C778" s="92">
        <f t="shared" si="123"/>
        <v>230056.59999999998</v>
      </c>
      <c r="D778" s="92">
        <f>SUM('CA brut produits &amp; sites'!D839:D850)</f>
        <v>75698.449999999983</v>
      </c>
      <c r="E778" s="92">
        <f>SUM('CA brut produits &amp; sites'!E839:E850)</f>
        <v>47970.930000000008</v>
      </c>
      <c r="F778" s="92">
        <f>SUM('CA brut produits &amp; sites'!F839:F850)</f>
        <v>3088.2799999999997</v>
      </c>
      <c r="G778" s="92">
        <f>SUM('CA brut produits &amp; sites'!G839:G850)</f>
        <v>168.93999999999997</v>
      </c>
      <c r="H778" s="92">
        <f>SUM('CA brut produits &amp; sites'!H839:H850)</f>
        <v>2887.67</v>
      </c>
      <c r="I778" s="92">
        <f>SUM('CA brut produits &amp; sites'!I839:I850)</f>
        <v>823.44999999999993</v>
      </c>
      <c r="J778" s="92">
        <f>SUM('CA brut produits &amp; sites'!J839:J850)</f>
        <v>0</v>
      </c>
      <c r="K778" s="92">
        <f>SUM('CA brut produits &amp; sites'!K839:K850)</f>
        <v>99223.87999999999</v>
      </c>
      <c r="L778" s="92">
        <f>SUM('CA brut produits &amp; sites'!L839:L850)</f>
        <v>10</v>
      </c>
      <c r="M778" s="92">
        <f>SUM('CA brut produits &amp; sites'!M839:M850)</f>
        <v>0</v>
      </c>
      <c r="N778" s="92">
        <f>SUM('CA brut produits &amp; sites'!N839:N850)</f>
        <v>0</v>
      </c>
      <c r="O778" s="92">
        <f>SUM('CA brut produits &amp; sites'!O839:O850)</f>
        <v>0</v>
      </c>
      <c r="P778" s="93">
        <f>SUM('CA brut produits &amp; sites'!P839:P850)</f>
        <v>185</v>
      </c>
    </row>
    <row r="779" spans="1:16" x14ac:dyDescent="0.3">
      <c r="A779" s="94">
        <v>44197</v>
      </c>
      <c r="B779" s="146"/>
      <c r="C779" s="92">
        <f t="shared" ref="C779" si="124">SUM(D779:P779)</f>
        <v>200175.04</v>
      </c>
      <c r="D779" s="92">
        <f>SUM('CA brut produits &amp; sites'!D840:D851)</f>
        <v>59419.960000000006</v>
      </c>
      <c r="E779" s="92">
        <f>SUM('CA brut produits &amp; sites'!E840:E851)</f>
        <v>40878.530000000006</v>
      </c>
      <c r="F779" s="92">
        <f>SUM('CA brut produits &amp; sites'!F840:F851)</f>
        <v>3157.15</v>
      </c>
      <c r="G779" s="92">
        <f>SUM('CA brut produits &amp; sites'!G840:G851)</f>
        <v>33.090000000000003</v>
      </c>
      <c r="H779" s="92">
        <f>SUM('CA brut produits &amp; sites'!H840:H851)</f>
        <v>2293.0500000000002</v>
      </c>
      <c r="I779" s="92">
        <f>SUM('CA brut produits &amp; sites'!I840:I851)</f>
        <v>769.27</v>
      </c>
      <c r="J779" s="92">
        <f>SUM('CA brut produits &amp; sites'!J840:J851)</f>
        <v>0</v>
      </c>
      <c r="K779" s="92">
        <f>SUM('CA brut produits &amp; sites'!K840:K851)</f>
        <v>93428.989999999991</v>
      </c>
      <c r="L779" s="92">
        <f>SUM('CA brut produits &amp; sites'!L840:L851)</f>
        <v>10</v>
      </c>
      <c r="M779" s="92">
        <f>SUM('CA brut produits &amp; sites'!M840:M851)</f>
        <v>0</v>
      </c>
      <c r="N779" s="92">
        <f>SUM('CA brut produits &amp; sites'!N840:N851)</f>
        <v>0</v>
      </c>
      <c r="O779" s="92">
        <f>SUM('CA brut produits &amp; sites'!O840:O851)</f>
        <v>0</v>
      </c>
      <c r="P779" s="93">
        <f>SUM('CA brut produits &amp; sites'!P840:P851)</f>
        <v>185</v>
      </c>
    </row>
    <row r="780" spans="1:16" x14ac:dyDescent="0.3">
      <c r="A780" s="94">
        <v>44228</v>
      </c>
      <c r="B780" s="146"/>
      <c r="C780" s="92">
        <f t="shared" ref="C780" si="125">SUM(D780:P780)</f>
        <v>196062.92</v>
      </c>
      <c r="D780" s="92">
        <f>SUM('CA brut produits &amp; sites'!D841:D852)</f>
        <v>52851.03</v>
      </c>
      <c r="E780" s="92">
        <f>SUM('CA brut produits &amp; sites'!E841:E852)</f>
        <v>37671.9</v>
      </c>
      <c r="F780" s="92">
        <f>SUM('CA brut produits &amp; sites'!F841:F852)</f>
        <v>2837.66</v>
      </c>
      <c r="G780" s="92">
        <f>SUM('CA brut produits &amp; sites'!G841:G852)</f>
        <v>21.05</v>
      </c>
      <c r="H780" s="92">
        <f>SUM('CA brut produits &amp; sites'!H841:H852)</f>
        <v>2349.0500000000002</v>
      </c>
      <c r="I780" s="92">
        <f>SUM('CA brut produits &amp; sites'!I841:I852)</f>
        <v>14999.75</v>
      </c>
      <c r="J780" s="92">
        <f>SUM('CA brut produits &amp; sites'!J841:J852)</f>
        <v>0</v>
      </c>
      <c r="K780" s="92">
        <f>SUM('CA brut produits &amp; sites'!K841:K852)</f>
        <v>85137.48000000001</v>
      </c>
      <c r="L780" s="92">
        <f>SUM('CA brut produits &amp; sites'!L841:L852)</f>
        <v>10</v>
      </c>
      <c r="M780" s="92">
        <f>SUM('CA brut produits &amp; sites'!M841:M852)</f>
        <v>0</v>
      </c>
      <c r="N780" s="92">
        <f>SUM('CA brut produits &amp; sites'!N841:N852)</f>
        <v>0</v>
      </c>
      <c r="O780" s="92">
        <f>SUM('CA brut produits &amp; sites'!O841:O852)</f>
        <v>0</v>
      </c>
      <c r="P780" s="93">
        <f>SUM('CA brut produits &amp; sites'!P841:P852)</f>
        <v>185</v>
      </c>
    </row>
    <row r="781" spans="1:16" x14ac:dyDescent="0.3">
      <c r="A781" s="94">
        <v>44256</v>
      </c>
      <c r="B781" s="146"/>
      <c r="C781" s="92">
        <f t="shared" ref="C781" si="126">SUM(D781:P781)</f>
        <v>202817.91000000003</v>
      </c>
      <c r="D781" s="92">
        <f>SUM('CA brut produits &amp; sites'!D842:D853)</f>
        <v>49351.47</v>
      </c>
      <c r="E781" s="92">
        <f>SUM('CA brut produits &amp; sites'!E842:E853)</f>
        <v>40745.83</v>
      </c>
      <c r="F781" s="92">
        <f>SUM('CA brut produits &amp; sites'!F842:F853)</f>
        <v>4813.78</v>
      </c>
      <c r="G781" s="92">
        <f>SUM('CA brut produits &amp; sites'!G842:G853)</f>
        <v>52.730000000000004</v>
      </c>
      <c r="H781" s="92">
        <f>SUM('CA brut produits &amp; sites'!H842:H853)</f>
        <v>2637.05</v>
      </c>
      <c r="I781" s="92">
        <f>SUM('CA brut produits &amp; sites'!I842:I853)</f>
        <v>15322.789999999999</v>
      </c>
      <c r="J781" s="92">
        <f>SUM('CA brut produits &amp; sites'!J842:J853)</f>
        <v>0</v>
      </c>
      <c r="K781" s="92">
        <f>SUM('CA brut produits &amp; sites'!K842:K853)</f>
        <v>89699.260000000024</v>
      </c>
      <c r="L781" s="92">
        <f>SUM('CA brut produits &amp; sites'!L842:L853)</f>
        <v>10</v>
      </c>
      <c r="M781" s="92">
        <f>SUM('CA brut produits &amp; sites'!M842:M853)</f>
        <v>0</v>
      </c>
      <c r="N781" s="92">
        <f>SUM('CA brut produits &amp; sites'!N842:N853)</f>
        <v>0</v>
      </c>
      <c r="O781" s="92">
        <f>SUM('CA brut produits &amp; sites'!O842:O853)</f>
        <v>0</v>
      </c>
      <c r="P781" s="93">
        <f>SUM('CA brut produits &amp; sites'!P842:P853)</f>
        <v>185</v>
      </c>
    </row>
    <row r="782" spans="1:16" x14ac:dyDescent="0.3">
      <c r="A782" s="94">
        <v>44287</v>
      </c>
      <c r="B782" s="146"/>
      <c r="C782" s="92">
        <f t="shared" ref="C782" si="127">SUM(D782:P782)</f>
        <v>215347.79000000004</v>
      </c>
      <c r="D782" s="92">
        <f>SUM('CA brut produits &amp; sites'!D843:D854)</f>
        <v>53150.07</v>
      </c>
      <c r="E782" s="92">
        <f>SUM('CA brut produits &amp; sites'!E843:E854)</f>
        <v>42656.01</v>
      </c>
      <c r="F782" s="92">
        <f>SUM('CA brut produits &amp; sites'!F843:F854)</f>
        <v>4813.78</v>
      </c>
      <c r="G782" s="92">
        <f>SUM('CA brut produits &amp; sites'!G843:G854)</f>
        <v>52.730000000000004</v>
      </c>
      <c r="H782" s="92">
        <f>SUM('CA brut produits &amp; sites'!H843:H854)</f>
        <v>2637.05</v>
      </c>
      <c r="I782" s="92">
        <f>SUM('CA brut produits &amp; sites'!I843:I854)</f>
        <v>15322.789999999999</v>
      </c>
      <c r="J782" s="92">
        <f>SUM('CA brut produits &amp; sites'!J843:J854)</f>
        <v>0</v>
      </c>
      <c r="K782" s="92">
        <f>SUM('CA brut produits &amp; sites'!K843:K854)</f>
        <v>96505.36000000003</v>
      </c>
      <c r="L782" s="92">
        <f>SUM('CA brut produits &amp; sites'!L843:L854)</f>
        <v>25</v>
      </c>
      <c r="M782" s="92">
        <f>SUM('CA brut produits &amp; sites'!M843:M854)</f>
        <v>0</v>
      </c>
      <c r="N782" s="92">
        <f>SUM('CA brut produits &amp; sites'!N843:N854)</f>
        <v>0</v>
      </c>
      <c r="O782" s="92">
        <f>SUM('CA brut produits &amp; sites'!O843:O854)</f>
        <v>0</v>
      </c>
      <c r="P782" s="93">
        <f>SUM('CA brut produits &amp; sites'!P843:P854)</f>
        <v>185</v>
      </c>
    </row>
    <row r="783" spans="1:16" x14ac:dyDescent="0.3">
      <c r="A783" s="94">
        <v>44317</v>
      </c>
      <c r="B783" s="146"/>
      <c r="C783" s="92">
        <f t="shared" ref="C783" si="128">SUM(D783:P783)</f>
        <v>206263.17</v>
      </c>
      <c r="D783" s="92">
        <f>SUM('CA brut produits &amp; sites'!D844:D855)</f>
        <v>52739.17</v>
      </c>
      <c r="E783" s="92">
        <f>SUM('CA brut produits &amp; sites'!E844:E855)</f>
        <v>42340.84</v>
      </c>
      <c r="F783" s="92">
        <f>SUM('CA brut produits &amp; sites'!F844:F855)</f>
        <v>4612.9799999999996</v>
      </c>
      <c r="G783" s="92">
        <f>SUM('CA brut produits &amp; sites'!G844:G855)</f>
        <v>57.77</v>
      </c>
      <c r="H783" s="92">
        <f>SUM('CA brut produits &amp; sites'!H844:H855)</f>
        <v>2822.75</v>
      </c>
      <c r="I783" s="92">
        <f>SUM('CA brut produits &amp; sites'!I844:I855)</f>
        <v>15129.96</v>
      </c>
      <c r="J783" s="92">
        <f>SUM('CA brut produits &amp; sites'!J844:J855)</f>
        <v>0</v>
      </c>
      <c r="K783" s="92">
        <f>SUM('CA brut produits &amp; sites'!K844:K855)</f>
        <v>88349.700000000012</v>
      </c>
      <c r="L783" s="92">
        <f>SUM('CA brut produits &amp; sites'!L844:L855)</f>
        <v>25</v>
      </c>
      <c r="M783" s="92">
        <f>SUM('CA brut produits &amp; sites'!M844:M855)</f>
        <v>0</v>
      </c>
      <c r="N783" s="92">
        <f>SUM('CA brut produits &amp; sites'!N844:N855)</f>
        <v>0</v>
      </c>
      <c r="O783" s="92">
        <f>SUM('CA brut produits &amp; sites'!O844:O855)</f>
        <v>0</v>
      </c>
      <c r="P783" s="93">
        <f>SUM('CA brut produits &amp; sites'!P844:P855)</f>
        <v>185</v>
      </c>
    </row>
    <row r="784" spans="1:16" x14ac:dyDescent="0.3">
      <c r="A784" s="94">
        <v>44348</v>
      </c>
      <c r="B784" s="146"/>
      <c r="C784" s="92">
        <f t="shared" ref="C784" si="129">SUM(D784:P784)</f>
        <v>207481.65</v>
      </c>
      <c r="D784" s="92">
        <f>SUM('CA brut produits &amp; sites'!D845:D856)</f>
        <v>53309.97</v>
      </c>
      <c r="E784" s="92">
        <f>SUM('CA brut produits &amp; sites'!E845:E856)</f>
        <v>43830.21</v>
      </c>
      <c r="F784" s="92">
        <f>SUM('CA brut produits &amp; sites'!F845:F856)</f>
        <v>4475.0599999999995</v>
      </c>
      <c r="G784" s="92">
        <f>SUM('CA brut produits &amp; sites'!G845:G856)</f>
        <v>179.18</v>
      </c>
      <c r="H784" s="92">
        <f>SUM('CA brut produits &amp; sites'!H845:H856)</f>
        <v>2822.75</v>
      </c>
      <c r="I784" s="92">
        <f>SUM('CA brut produits &amp; sites'!I845:I856)</f>
        <v>15116.38</v>
      </c>
      <c r="J784" s="92">
        <f>SUM('CA brut produits &amp; sites'!J845:J856)</f>
        <v>0</v>
      </c>
      <c r="K784" s="92">
        <f>SUM('CA brut produits &amp; sites'!K845:K856)</f>
        <v>87538.1</v>
      </c>
      <c r="L784" s="92">
        <f>SUM('CA brut produits &amp; sites'!L845:L856)</f>
        <v>25</v>
      </c>
      <c r="M784" s="92">
        <f>SUM('CA brut produits &amp; sites'!M845:M856)</f>
        <v>0</v>
      </c>
      <c r="N784" s="92">
        <f>SUM('CA brut produits &amp; sites'!N845:N856)</f>
        <v>0</v>
      </c>
      <c r="O784" s="92">
        <f>SUM('CA brut produits &amp; sites'!O845:O856)</f>
        <v>0</v>
      </c>
      <c r="P784" s="93">
        <f>SUM('CA brut produits &amp; sites'!P845:P856)</f>
        <v>185</v>
      </c>
    </row>
    <row r="785" spans="1:16" x14ac:dyDescent="0.3">
      <c r="A785" s="94">
        <v>44378</v>
      </c>
      <c r="B785" s="146"/>
      <c r="C785" s="92">
        <f t="shared" ref="C785" si="130">SUM(D785:P785)</f>
        <v>218135.68000000002</v>
      </c>
      <c r="D785" s="92">
        <f>SUM('CA brut produits &amp; sites'!D846:D857)</f>
        <v>54543.48</v>
      </c>
      <c r="E785" s="92">
        <f>SUM('CA brut produits &amp; sites'!E846:E857)</f>
        <v>44193.430000000008</v>
      </c>
      <c r="F785" s="92">
        <f>SUM('CA brut produits &amp; sites'!F846:F857)</f>
        <v>11636.33</v>
      </c>
      <c r="G785" s="92">
        <f>SUM('CA brut produits &amp; sites'!G846:G857)</f>
        <v>183.70000000000002</v>
      </c>
      <c r="H785" s="92">
        <f>SUM('CA brut produits &amp; sites'!H846:H857)</f>
        <v>2822.75</v>
      </c>
      <c r="I785" s="92">
        <f>SUM('CA brut produits &amp; sites'!I846:I857)</f>
        <v>15088.92</v>
      </c>
      <c r="J785" s="92">
        <f>SUM('CA brut produits &amp; sites'!J846:J857)</f>
        <v>0</v>
      </c>
      <c r="K785" s="92">
        <f>SUM('CA brut produits &amp; sites'!K846:K857)</f>
        <v>89457.070000000022</v>
      </c>
      <c r="L785" s="92">
        <f>SUM('CA brut produits &amp; sites'!L846:L857)</f>
        <v>25</v>
      </c>
      <c r="M785" s="92">
        <f>SUM('CA brut produits &amp; sites'!M846:M857)</f>
        <v>0</v>
      </c>
      <c r="N785" s="92">
        <f>SUM('CA brut produits &amp; sites'!N846:N857)</f>
        <v>0</v>
      </c>
      <c r="O785" s="92">
        <f>SUM('CA brut produits &amp; sites'!O846:O857)</f>
        <v>0</v>
      </c>
      <c r="P785" s="93">
        <f>SUM('CA brut produits &amp; sites'!P846:P857)</f>
        <v>185</v>
      </c>
    </row>
    <row r="786" spans="1:16" x14ac:dyDescent="0.3">
      <c r="A786" s="94">
        <v>44409</v>
      </c>
      <c r="B786" s="146"/>
      <c r="C786" s="92">
        <f t="shared" ref="C786:C796" si="131">SUM(D786:P786)</f>
        <v>214789.35</v>
      </c>
      <c r="D786" s="92">
        <f>SUM('CA brut produits &amp; sites'!D847:D858)</f>
        <v>52319.519999999997</v>
      </c>
      <c r="E786" s="92">
        <f>SUM('CA brut produits &amp; sites'!E847:E858)</f>
        <v>44007.310000000012</v>
      </c>
      <c r="F786" s="92">
        <f>SUM('CA brut produits &amp; sites'!F847:F858)</f>
        <v>11246.33</v>
      </c>
      <c r="G786" s="92">
        <f>SUM('CA brut produits &amp; sites'!G847:G858)</f>
        <v>197.50000000000003</v>
      </c>
      <c r="H786" s="92">
        <f>SUM('CA brut produits &amp; sites'!H847:H858)</f>
        <v>2640.75</v>
      </c>
      <c r="I786" s="92">
        <f>SUM('CA brut produits &amp; sites'!I847:I858)</f>
        <v>15177.210000000001</v>
      </c>
      <c r="J786" s="92">
        <f>SUM('CA brut produits &amp; sites'!J847:J858)</f>
        <v>0</v>
      </c>
      <c r="K786" s="92">
        <f>SUM('CA brut produits &amp; sites'!K847:K858)</f>
        <v>89083.08</v>
      </c>
      <c r="L786" s="92">
        <f>SUM('CA brut produits &amp; sites'!L847:L858)</f>
        <v>15</v>
      </c>
      <c r="M786" s="92">
        <f>SUM('CA brut produits &amp; sites'!M847:M858)</f>
        <v>2.65</v>
      </c>
      <c r="N786" s="92">
        <f>SUM('CA brut produits &amp; sites'!N847:N858)</f>
        <v>0</v>
      </c>
      <c r="O786" s="92">
        <f>SUM('CA brut produits &amp; sites'!O847:O858)</f>
        <v>0</v>
      </c>
      <c r="P786" s="93">
        <f>SUM('CA brut produits &amp; sites'!P847:P858)</f>
        <v>100</v>
      </c>
    </row>
    <row r="787" spans="1:16" x14ac:dyDescent="0.3">
      <c r="A787" s="94">
        <v>44440</v>
      </c>
      <c r="B787" s="146"/>
      <c r="C787" s="92">
        <f t="shared" si="131"/>
        <v>204210.38</v>
      </c>
      <c r="D787" s="92">
        <f>SUM('CA brut produits &amp; sites'!D848:D859)</f>
        <v>51431.709999999992</v>
      </c>
      <c r="E787" s="92">
        <f>SUM('CA brut produits &amp; sites'!E848:E859)</f>
        <v>40088.879999999997</v>
      </c>
      <c r="F787" s="92">
        <f>SUM('CA brut produits &amp; sites'!F848:F859)</f>
        <v>11134.689999999999</v>
      </c>
      <c r="G787" s="92">
        <f>SUM('CA brut produits &amp; sites'!G848:G859)</f>
        <v>212.27</v>
      </c>
      <c r="H787" s="92">
        <f>SUM('CA brut produits &amp; sites'!H848:H859)</f>
        <v>2818.6800000000003</v>
      </c>
      <c r="I787" s="92">
        <f>SUM('CA brut produits &amp; sites'!I848:I859)</f>
        <v>15200.42</v>
      </c>
      <c r="J787" s="92">
        <f>SUM('CA brut produits &amp; sites'!J848:J859)</f>
        <v>0</v>
      </c>
      <c r="K787" s="92">
        <f>SUM('CA brut produits &amp; sites'!K848:K859)</f>
        <v>83291.08</v>
      </c>
      <c r="L787" s="92">
        <f>SUM('CA brut produits &amp; sites'!L848:L859)</f>
        <v>15</v>
      </c>
      <c r="M787" s="92">
        <f>SUM('CA brut produits &amp; sites'!M848:M859)</f>
        <v>2.65</v>
      </c>
      <c r="N787" s="92">
        <f>SUM('CA brut produits &amp; sites'!N848:N859)</f>
        <v>0</v>
      </c>
      <c r="O787" s="92">
        <f>SUM('CA brut produits &amp; sites'!O848:O859)</f>
        <v>0</v>
      </c>
      <c r="P787" s="93">
        <f>SUM('CA brut produits &amp; sites'!P848:P859)</f>
        <v>15</v>
      </c>
    </row>
    <row r="788" spans="1:16" x14ac:dyDescent="0.3">
      <c r="A788" s="94">
        <v>44470</v>
      </c>
      <c r="B788" s="146"/>
      <c r="C788" s="92">
        <f t="shared" si="131"/>
        <v>214658.19</v>
      </c>
      <c r="D788" s="92">
        <f>SUM('CA brut produits &amp; sites'!D849:D860)</f>
        <v>55705.99</v>
      </c>
      <c r="E788" s="92">
        <f>SUM('CA brut produits &amp; sites'!E849:E860)</f>
        <v>39760.000000000007</v>
      </c>
      <c r="F788" s="92">
        <f>SUM('CA brut produits &amp; sites'!F849:F860)</f>
        <v>11557.899999999998</v>
      </c>
      <c r="G788" s="92">
        <f>SUM('CA brut produits &amp; sites'!G849:G860)</f>
        <v>195.17000000000002</v>
      </c>
      <c r="H788" s="92">
        <f>SUM('CA brut produits &amp; sites'!H849:H860)</f>
        <v>1854.49</v>
      </c>
      <c r="I788" s="92">
        <f>SUM('CA brut produits &amp; sites'!I849:I860)</f>
        <v>15000.550000000001</v>
      </c>
      <c r="J788" s="92">
        <f>SUM('CA brut produits &amp; sites'!J849:J860)</f>
        <v>0</v>
      </c>
      <c r="K788" s="92">
        <f>SUM('CA brut produits &amp; sites'!K849:K860)</f>
        <v>90551.44</v>
      </c>
      <c r="L788" s="92">
        <f>SUM('CA brut produits &amp; sites'!L849:L860)</f>
        <v>15</v>
      </c>
      <c r="M788" s="92">
        <f>SUM('CA brut produits &amp; sites'!M849:M860)</f>
        <v>2.65</v>
      </c>
      <c r="N788" s="92">
        <f>SUM('CA brut produits &amp; sites'!N849:N860)</f>
        <v>0</v>
      </c>
      <c r="O788" s="92">
        <f>SUM('CA brut produits &amp; sites'!O849:O860)</f>
        <v>0</v>
      </c>
      <c r="P788" s="93">
        <f>SUM('CA brut produits &amp; sites'!P849:P860)</f>
        <v>15</v>
      </c>
    </row>
    <row r="789" spans="1:16" x14ac:dyDescent="0.3">
      <c r="A789" s="94">
        <v>44501</v>
      </c>
      <c r="B789" s="146"/>
      <c r="C789" s="92">
        <f t="shared" si="131"/>
        <v>228259.44999999998</v>
      </c>
      <c r="D789" s="92">
        <f>SUM('CA brut produits &amp; sites'!D850:D861)</f>
        <v>61650.539999999986</v>
      </c>
      <c r="E789" s="92">
        <f>SUM('CA brut produits &amp; sites'!E850:E861)</f>
        <v>42110.040000000008</v>
      </c>
      <c r="F789" s="92">
        <f>SUM('CA brut produits &amp; sites'!F850:F861)</f>
        <v>11865.939999999999</v>
      </c>
      <c r="G789" s="92">
        <f>SUM('CA brut produits &amp; sites'!G850:G861)</f>
        <v>197.22000000000003</v>
      </c>
      <c r="H789" s="92">
        <f>SUM('CA brut produits &amp; sites'!H850:H861)</f>
        <v>2601.23</v>
      </c>
      <c r="I789" s="92">
        <f>SUM('CA brut produits &amp; sites'!I850:I861)</f>
        <v>14977.93</v>
      </c>
      <c r="J789" s="92">
        <f>SUM('CA brut produits &amp; sites'!J850:J861)</f>
        <v>0</v>
      </c>
      <c r="K789" s="92">
        <f>SUM('CA brut produits &amp; sites'!K850:K861)</f>
        <v>94823.9</v>
      </c>
      <c r="L789" s="92">
        <f>SUM('CA brut produits &amp; sites'!L850:L861)</f>
        <v>15</v>
      </c>
      <c r="M789" s="92">
        <f>SUM('CA brut produits &amp; sites'!M850:M861)</f>
        <v>2.65</v>
      </c>
      <c r="N789" s="92">
        <f>SUM('CA brut produits &amp; sites'!N850:N861)</f>
        <v>0</v>
      </c>
      <c r="O789" s="92">
        <f>SUM('CA brut produits &amp; sites'!O850:O861)</f>
        <v>0</v>
      </c>
      <c r="P789" s="93">
        <f>SUM('CA brut produits &amp; sites'!P850:P861)</f>
        <v>15</v>
      </c>
    </row>
    <row r="790" spans="1:16" x14ac:dyDescent="0.3">
      <c r="A790" s="94">
        <v>44531</v>
      </c>
      <c r="B790" s="146"/>
      <c r="C790" s="92">
        <f t="shared" si="131"/>
        <v>229375.23999999996</v>
      </c>
      <c r="D790" s="92">
        <f>SUM('CA brut produits &amp; sites'!D851:D862)</f>
        <v>62950.089999999989</v>
      </c>
      <c r="E790" s="92">
        <f>SUM('CA brut produits &amp; sites'!E851:E862)</f>
        <v>44231.710000000006</v>
      </c>
      <c r="F790" s="92">
        <f>SUM('CA brut produits &amp; sites'!F851:F862)</f>
        <v>12290.819999999998</v>
      </c>
      <c r="G790" s="92">
        <f>SUM('CA brut produits &amp; sites'!G851:G862)</f>
        <v>764.49</v>
      </c>
      <c r="H790" s="92">
        <f>SUM('CA brut produits &amp; sites'!H851:H862)</f>
        <v>2970.83</v>
      </c>
      <c r="I790" s="92">
        <f>SUM('CA brut produits &amp; sites'!I851:I862)</f>
        <v>14977.93</v>
      </c>
      <c r="J790" s="92">
        <f>SUM('CA brut produits &amp; sites'!J851:J862)</f>
        <v>0</v>
      </c>
      <c r="K790" s="92">
        <f>SUM('CA brut produits &amp; sites'!K851:K862)</f>
        <v>91141.719999999987</v>
      </c>
      <c r="L790" s="92">
        <f>SUM('CA brut produits &amp; sites'!L851:L862)</f>
        <v>45</v>
      </c>
      <c r="M790" s="92">
        <f>SUM('CA brut produits &amp; sites'!M851:M862)</f>
        <v>2.65</v>
      </c>
      <c r="N790" s="92">
        <f>SUM('CA brut produits &amp; sites'!N851:N862)</f>
        <v>0</v>
      </c>
      <c r="O790" s="92">
        <f>SUM('CA brut produits &amp; sites'!O851:O862)</f>
        <v>0</v>
      </c>
      <c r="P790" s="93">
        <f>SUM('CA brut produits &amp; sites'!P851:P862)</f>
        <v>0</v>
      </c>
    </row>
    <row r="791" spans="1:16" x14ac:dyDescent="0.3">
      <c r="A791" s="94">
        <v>44562</v>
      </c>
      <c r="B791" s="146"/>
      <c r="C791" s="92">
        <f t="shared" si="131"/>
        <v>237867.36999999997</v>
      </c>
      <c r="D791" s="92">
        <f>SUM('CA brut produits &amp; sites'!D852:D863)</f>
        <v>63433.739999999991</v>
      </c>
      <c r="E791" s="92">
        <f>SUM('CA brut produits &amp; sites'!E852:E863)</f>
        <v>48647.119999999995</v>
      </c>
      <c r="F791" s="92">
        <f>SUM('CA brut produits &amp; sites'!F852:F863)</f>
        <v>11737.519999999999</v>
      </c>
      <c r="G791" s="92">
        <f>SUM('CA brut produits &amp; sites'!G852:G863)</f>
        <v>764.83</v>
      </c>
      <c r="H791" s="92">
        <f>SUM('CA brut produits &amp; sites'!H852:H863)</f>
        <v>3526.1099999999997</v>
      </c>
      <c r="I791" s="92">
        <f>SUM('CA brut produits &amp; sites'!I852:I863)</f>
        <v>14977.93</v>
      </c>
      <c r="J791" s="92">
        <f>SUM('CA brut produits &amp; sites'!J852:J863)</f>
        <v>0</v>
      </c>
      <c r="K791" s="92">
        <f>SUM('CA brut produits &amp; sites'!K852:K863)</f>
        <v>94732.469999999987</v>
      </c>
      <c r="L791" s="92">
        <f>SUM('CA brut produits &amp; sites'!L852:L863)</f>
        <v>45</v>
      </c>
      <c r="M791" s="92">
        <f>SUM('CA brut produits &amp; sites'!M852:M863)</f>
        <v>2.65</v>
      </c>
      <c r="N791" s="92">
        <f>SUM('CA brut produits &amp; sites'!N852:N863)</f>
        <v>0</v>
      </c>
      <c r="O791" s="92">
        <f>SUM('CA brut produits &amp; sites'!O852:O863)</f>
        <v>0</v>
      </c>
      <c r="P791" s="93">
        <f>SUM('CA brut produits &amp; sites'!P852:P863)</f>
        <v>0</v>
      </c>
    </row>
    <row r="792" spans="1:16" x14ac:dyDescent="0.3">
      <c r="A792" s="94">
        <v>44593</v>
      </c>
      <c r="B792" s="146"/>
      <c r="C792" s="92">
        <f t="shared" si="131"/>
        <v>232291.71999999994</v>
      </c>
      <c r="D792" s="92">
        <f>SUM('CA brut produits &amp; sites'!D853:D864)</f>
        <v>64857.76999999999</v>
      </c>
      <c r="E792" s="92">
        <f>SUM('CA brut produits &amp; sites'!E853:E864)</f>
        <v>50554.97</v>
      </c>
      <c r="F792" s="92">
        <f>SUM('CA brut produits &amp; sites'!F853:F864)</f>
        <v>11581.97</v>
      </c>
      <c r="G792" s="92">
        <f>SUM('CA brut produits &amp; sites'!G853:G864)</f>
        <v>764.83</v>
      </c>
      <c r="H792" s="92">
        <f>SUM('CA brut produits &amp; sites'!H853:H864)</f>
        <v>4191.25</v>
      </c>
      <c r="I792" s="92">
        <f>SUM('CA brut produits &amp; sites'!I853:I864)</f>
        <v>1251.3600000000001</v>
      </c>
      <c r="J792" s="92">
        <f>SUM('CA brut produits &amp; sites'!J853:J864)</f>
        <v>0</v>
      </c>
      <c r="K792" s="92">
        <f>SUM('CA brut produits &amp; sites'!K853:K864)</f>
        <v>99041.919999999984</v>
      </c>
      <c r="L792" s="92">
        <f>SUM('CA brut produits &amp; sites'!L853:L864)</f>
        <v>45</v>
      </c>
      <c r="M792" s="92">
        <f>SUM('CA brut produits &amp; sites'!M853:M864)</f>
        <v>2.65</v>
      </c>
      <c r="N792" s="92">
        <f>SUM('CA brut produits &amp; sites'!N853:N864)</f>
        <v>0</v>
      </c>
      <c r="O792" s="92">
        <f>SUM('CA brut produits &amp; sites'!O853:O864)</f>
        <v>0</v>
      </c>
      <c r="P792" s="93">
        <f>SUM('CA brut produits &amp; sites'!P853:P864)</f>
        <v>0</v>
      </c>
    </row>
    <row r="793" spans="1:16" x14ac:dyDescent="0.3">
      <c r="A793" s="94">
        <v>44621</v>
      </c>
      <c r="B793" s="146"/>
      <c r="C793" s="92">
        <f t="shared" si="131"/>
        <v>238973.47</v>
      </c>
      <c r="D793" s="92">
        <f>SUM('CA brut produits &amp; sites'!D854:D865)</f>
        <v>64563.649999999994</v>
      </c>
      <c r="E793" s="92">
        <f>SUM('CA brut produits &amp; sites'!E854:E865)</f>
        <v>50208.920000000006</v>
      </c>
      <c r="F793" s="92">
        <f>SUM('CA brut produits &amp; sites'!F854:F865)</f>
        <v>9815.630000000001</v>
      </c>
      <c r="G793" s="92">
        <f>SUM('CA brut produits &amp; sites'!G854:G865)</f>
        <v>737.47000000000014</v>
      </c>
      <c r="H793" s="92">
        <f>SUM('CA brut produits &amp; sites'!H854:H865)</f>
        <v>4343.4299999999994</v>
      </c>
      <c r="I793" s="92">
        <f>SUM('CA brut produits &amp; sites'!I854:I865)</f>
        <v>988.25</v>
      </c>
      <c r="J793" s="92">
        <f>SUM('CA brut produits &amp; sites'!J854:J865)</f>
        <v>0</v>
      </c>
      <c r="K793" s="92">
        <f>SUM('CA brut produits &amp; sites'!K854:K865)</f>
        <v>108240.47</v>
      </c>
      <c r="L793" s="92">
        <f>SUM('CA brut produits &amp; sites'!L854:L865)</f>
        <v>45</v>
      </c>
      <c r="M793" s="92">
        <f>SUM('CA brut produits &amp; sites'!M854:M865)</f>
        <v>24.65</v>
      </c>
      <c r="N793" s="92">
        <f>SUM('CA brut produits &amp; sites'!N854:N865)</f>
        <v>0</v>
      </c>
      <c r="O793" s="92">
        <f>SUM('CA brut produits &amp; sites'!O854:O865)</f>
        <v>0</v>
      </c>
      <c r="P793" s="93">
        <f>SUM('CA brut produits &amp; sites'!P854:P865)</f>
        <v>6</v>
      </c>
    </row>
    <row r="794" spans="1:16" x14ac:dyDescent="0.3">
      <c r="A794" s="94">
        <v>44652</v>
      </c>
      <c r="B794" s="146"/>
      <c r="C794" s="92">
        <f t="shared" si="131"/>
        <v>250952.47</v>
      </c>
      <c r="D794" s="92">
        <f>SUM('CA brut produits &amp; sites'!D855:D866)</f>
        <v>69741.509999999995</v>
      </c>
      <c r="E794" s="92">
        <f>SUM('CA brut produits &amp; sites'!E855:E866)</f>
        <v>51283.11</v>
      </c>
      <c r="F794" s="92">
        <f>SUM('CA brut produits &amp; sites'!F855:F866)</f>
        <v>9856.9500000000007</v>
      </c>
      <c r="G794" s="92">
        <f>SUM('CA brut produits &amp; sites'!G855:G866)</f>
        <v>739.36000000000013</v>
      </c>
      <c r="H794" s="92">
        <f>SUM('CA brut produits &amp; sites'!H855:H866)</f>
        <v>4389.7599999999993</v>
      </c>
      <c r="I794" s="92">
        <f>SUM('CA brut produits &amp; sites'!I855:I866)</f>
        <v>1072.94</v>
      </c>
      <c r="J794" s="92">
        <f>SUM('CA brut produits &amp; sites'!J855:J866)</f>
        <v>0</v>
      </c>
      <c r="K794" s="92">
        <f>SUM('CA brut produits &amp; sites'!K855:K866)</f>
        <v>113747.19</v>
      </c>
      <c r="L794" s="92">
        <f>SUM('CA brut produits &amp; sites'!L855:L866)</f>
        <v>30</v>
      </c>
      <c r="M794" s="92">
        <f>SUM('CA brut produits &amp; sites'!M855:M866)</f>
        <v>85.65</v>
      </c>
      <c r="N794" s="92">
        <f>SUM('CA brut produits &amp; sites'!N855:N866)</f>
        <v>0</v>
      </c>
      <c r="O794" s="92">
        <f>SUM('CA brut produits &amp; sites'!O855:O866)</f>
        <v>0</v>
      </c>
      <c r="P794" s="93">
        <f>SUM('CA brut produits &amp; sites'!P855:P866)</f>
        <v>6</v>
      </c>
    </row>
    <row r="795" spans="1:16" x14ac:dyDescent="0.3">
      <c r="A795" s="94">
        <v>44682</v>
      </c>
      <c r="B795" s="146"/>
      <c r="C795" s="92">
        <f t="shared" si="131"/>
        <v>255203.95999999996</v>
      </c>
      <c r="D795" s="92">
        <f>SUM('CA brut produits &amp; sites'!D856:D867)</f>
        <v>71423.13</v>
      </c>
      <c r="E795" s="92">
        <f>SUM('CA brut produits &amp; sites'!E856:E867)</f>
        <v>50876.959999999999</v>
      </c>
      <c r="F795" s="92">
        <f>SUM('CA brut produits &amp; sites'!F856:F867)</f>
        <v>10226.130000000001</v>
      </c>
      <c r="G795" s="92">
        <f>SUM('CA brut produits &amp; sites'!G856:G867)</f>
        <v>735.83</v>
      </c>
      <c r="H795" s="92">
        <f>SUM('CA brut produits &amp; sites'!H856:H867)</f>
        <v>4422.0899999999992</v>
      </c>
      <c r="I795" s="92">
        <f>SUM('CA brut produits &amp; sites'!I856:I867)</f>
        <v>1080.48</v>
      </c>
      <c r="J795" s="92">
        <f>SUM('CA brut produits &amp; sites'!J856:J867)</f>
        <v>0</v>
      </c>
      <c r="K795" s="92">
        <f>SUM('CA brut produits &amp; sites'!K856:K867)</f>
        <v>116275.40999999999</v>
      </c>
      <c r="L795" s="92">
        <f>SUM('CA brut produits &amp; sites'!L856:L867)</f>
        <v>65.28</v>
      </c>
      <c r="M795" s="92">
        <f>SUM('CA brut produits &amp; sites'!M856:M867)</f>
        <v>92.65</v>
      </c>
      <c r="N795" s="92">
        <f>SUM('CA brut produits &amp; sites'!N856:N867)</f>
        <v>0</v>
      </c>
      <c r="O795" s="92">
        <f>SUM('CA brut produits &amp; sites'!O856:O867)</f>
        <v>0</v>
      </c>
      <c r="P795" s="93">
        <f>SUM('CA brut produits &amp; sites'!P856:P867)</f>
        <v>6</v>
      </c>
    </row>
    <row r="796" spans="1:16" x14ac:dyDescent="0.3">
      <c r="A796" s="94">
        <v>44713</v>
      </c>
      <c r="B796" s="146"/>
      <c r="C796" s="92">
        <f t="shared" si="131"/>
        <v>261749.34</v>
      </c>
      <c r="D796" s="92">
        <f>SUM('CA brut produits &amp; sites'!D857:D868)</f>
        <v>74011.98000000001</v>
      </c>
      <c r="E796" s="92">
        <f>SUM('CA brut produits &amp; sites'!E857:E868)</f>
        <v>51686.380000000005</v>
      </c>
      <c r="F796" s="92">
        <f>SUM('CA brut produits &amp; sites'!F857:F868)</f>
        <v>11028.260000000002</v>
      </c>
      <c r="G796" s="92">
        <f>SUM('CA brut produits &amp; sites'!G857:G868)</f>
        <v>614.80000000000007</v>
      </c>
      <c r="H796" s="92">
        <f>SUM('CA brut produits &amp; sites'!H857:H868)</f>
        <v>4869.579999999999</v>
      </c>
      <c r="I796" s="92">
        <f>SUM('CA brut produits &amp; sites'!I857:I868)</f>
        <v>1060.01</v>
      </c>
      <c r="J796" s="92">
        <f>SUM('CA brut produits &amp; sites'!J857:J868)</f>
        <v>0</v>
      </c>
      <c r="K796" s="92">
        <f>SUM('CA brut produits &amp; sites'!K857:K868)</f>
        <v>118314.4</v>
      </c>
      <c r="L796" s="92">
        <f>SUM('CA brut produits &amp; sites'!L857:L868)</f>
        <v>65.28</v>
      </c>
      <c r="M796" s="92">
        <f>SUM('CA brut produits &amp; sites'!M857:M868)</f>
        <v>92.65</v>
      </c>
      <c r="N796" s="92">
        <f>SUM('CA brut produits &amp; sites'!N857:N868)</f>
        <v>0</v>
      </c>
      <c r="O796" s="92">
        <f>SUM('CA brut produits &amp; sites'!O857:O868)</f>
        <v>0</v>
      </c>
      <c r="P796" s="93">
        <f>SUM('CA brut produits &amp; sites'!P857:P868)</f>
        <v>6</v>
      </c>
    </row>
    <row r="797" spans="1:16" x14ac:dyDescent="0.3">
      <c r="A797" s="94">
        <v>44743</v>
      </c>
      <c r="B797" s="146"/>
      <c r="P797" s="93"/>
    </row>
    <row r="798" spans="1:16" x14ac:dyDescent="0.3">
      <c r="A798" s="94">
        <v>44774</v>
      </c>
      <c r="B798" s="146"/>
      <c r="P798" s="93"/>
    </row>
    <row r="799" spans="1:16" x14ac:dyDescent="0.3">
      <c r="A799" s="94">
        <v>44805</v>
      </c>
      <c r="B799" s="146"/>
      <c r="P799" s="93"/>
    </row>
    <row r="800" spans="1:16" x14ac:dyDescent="0.3">
      <c r="A800" s="94">
        <v>44835</v>
      </c>
      <c r="B800" s="146"/>
      <c r="P800" s="93"/>
    </row>
    <row r="801" spans="1:16" x14ac:dyDescent="0.3">
      <c r="A801" s="94">
        <v>44866</v>
      </c>
      <c r="B801" s="146"/>
      <c r="P801" s="93"/>
    </row>
    <row r="802" spans="1:16" x14ac:dyDescent="0.3">
      <c r="A802" s="94">
        <v>44896</v>
      </c>
      <c r="B802" s="146"/>
      <c r="P802" s="93"/>
    </row>
    <row r="803" spans="1:16" x14ac:dyDescent="0.3">
      <c r="A803" s="94"/>
      <c r="B803" s="146"/>
      <c r="P803" s="93"/>
    </row>
    <row r="804" spans="1:16" x14ac:dyDescent="0.3">
      <c r="A804" s="94"/>
      <c r="B804" s="146"/>
      <c r="P804" s="93"/>
    </row>
    <row r="805" spans="1:16" ht="15" thickBot="1" x14ac:dyDescent="0.35">
      <c r="A805" s="94"/>
      <c r="B805" s="149"/>
      <c r="P805" s="93"/>
    </row>
    <row r="806" spans="1:16" x14ac:dyDescent="0.3">
      <c r="A806" s="88">
        <v>41974</v>
      </c>
      <c r="B806" s="145" t="s">
        <v>2</v>
      </c>
      <c r="C806" s="95">
        <f t="shared" ref="C806:P806" si="132">C2+C104+C204+C304+C404+C706</f>
        <v>7699511.2400000002</v>
      </c>
      <c r="D806" s="95">
        <f t="shared" si="132"/>
        <v>2729032.3200000003</v>
      </c>
      <c r="E806" s="95">
        <f t="shared" si="132"/>
        <v>766889.12999999989</v>
      </c>
      <c r="F806" s="95">
        <f t="shared" si="132"/>
        <v>840142.03</v>
      </c>
      <c r="G806" s="95">
        <f t="shared" si="132"/>
        <v>245561.35999999996</v>
      </c>
      <c r="H806" s="95">
        <f t="shared" si="132"/>
        <v>189264.69</v>
      </c>
      <c r="I806" s="95">
        <f t="shared" si="132"/>
        <v>196316.38</v>
      </c>
      <c r="J806" s="95">
        <f t="shared" si="132"/>
        <v>878718.05</v>
      </c>
      <c r="K806" s="95">
        <f t="shared" si="132"/>
        <v>1376851.81</v>
      </c>
      <c r="L806" s="95">
        <f t="shared" si="132"/>
        <v>245676.60000000006</v>
      </c>
      <c r="M806" s="95">
        <f t="shared" si="132"/>
        <v>231058.86999999997</v>
      </c>
      <c r="N806" s="95">
        <f t="shared" si="132"/>
        <v>0</v>
      </c>
      <c r="O806" s="95">
        <f t="shared" si="132"/>
        <v>36460.600000000006</v>
      </c>
      <c r="P806" s="97">
        <f t="shared" si="132"/>
        <v>3002</v>
      </c>
    </row>
    <row r="807" spans="1:16" x14ac:dyDescent="0.3">
      <c r="A807" s="87">
        <v>42005</v>
      </c>
      <c r="B807" s="148"/>
      <c r="C807" s="92">
        <f t="shared" ref="C807:P807" si="133">C3+C105+C205+C305+C405+C707</f>
        <v>7209251.8400000008</v>
      </c>
      <c r="D807" s="92">
        <f t="shared" si="133"/>
        <v>2439450.6800000006</v>
      </c>
      <c r="E807" s="92">
        <f t="shared" si="133"/>
        <v>755864.55</v>
      </c>
      <c r="F807" s="92">
        <f t="shared" si="133"/>
        <v>820285.44000000006</v>
      </c>
      <c r="G807" s="92">
        <f t="shared" si="133"/>
        <v>242033.25999999995</v>
      </c>
      <c r="H807" s="92">
        <f t="shared" si="133"/>
        <v>175896.56</v>
      </c>
      <c r="I807" s="92">
        <f t="shared" si="133"/>
        <v>191911.06000000006</v>
      </c>
      <c r="J807" s="92">
        <f t="shared" si="133"/>
        <v>902936.6100000001</v>
      </c>
      <c r="K807" s="92">
        <f t="shared" si="133"/>
        <v>1240730.53</v>
      </c>
      <c r="L807" s="92">
        <f t="shared" si="133"/>
        <v>226770.9500000001</v>
      </c>
      <c r="M807" s="92">
        <f t="shared" si="133"/>
        <v>213372.19999999998</v>
      </c>
      <c r="N807" s="92">
        <f t="shared" si="133"/>
        <v>0</v>
      </c>
      <c r="O807" s="92">
        <f t="shared" si="133"/>
        <v>0</v>
      </c>
      <c r="P807" s="93">
        <f t="shared" si="133"/>
        <v>0</v>
      </c>
    </row>
    <row r="808" spans="1:16" x14ac:dyDescent="0.3">
      <c r="A808" s="87">
        <v>42036</v>
      </c>
      <c r="B808" s="148"/>
      <c r="C808" s="92">
        <f t="shared" ref="C808:P808" si="134">C4+C106+C206+C306+C406+C708</f>
        <v>7193256.7800000012</v>
      </c>
      <c r="D808" s="92">
        <f t="shared" si="134"/>
        <v>2467684.2300000004</v>
      </c>
      <c r="E808" s="92">
        <f t="shared" si="134"/>
        <v>738773.1</v>
      </c>
      <c r="F808" s="92">
        <f t="shared" si="134"/>
        <v>809671.61</v>
      </c>
      <c r="G808" s="92">
        <f t="shared" si="134"/>
        <v>244355.65000000002</v>
      </c>
      <c r="H808" s="92">
        <f t="shared" si="134"/>
        <v>180079.08000000005</v>
      </c>
      <c r="I808" s="92">
        <f t="shared" si="134"/>
        <v>188584.88</v>
      </c>
      <c r="J808" s="92">
        <f t="shared" si="134"/>
        <v>910517.81</v>
      </c>
      <c r="K808" s="92">
        <f t="shared" si="134"/>
        <v>1218899.5799999998</v>
      </c>
      <c r="L808" s="92">
        <f t="shared" si="134"/>
        <v>221791.95000000007</v>
      </c>
      <c r="M808" s="92">
        <f t="shared" si="134"/>
        <v>212898.89</v>
      </c>
      <c r="N808" s="92">
        <f t="shared" si="134"/>
        <v>0</v>
      </c>
      <c r="O808" s="92">
        <f t="shared" si="134"/>
        <v>0</v>
      </c>
      <c r="P808" s="93">
        <f t="shared" si="134"/>
        <v>0</v>
      </c>
    </row>
    <row r="809" spans="1:16" x14ac:dyDescent="0.3">
      <c r="A809" s="87">
        <v>42064</v>
      </c>
      <c r="B809" s="148"/>
      <c r="C809" s="92">
        <f t="shared" ref="C809:P809" si="135">C5+C107+C207+C307+C407+C709</f>
        <v>7149357.7700000005</v>
      </c>
      <c r="D809" s="92">
        <f t="shared" si="135"/>
        <v>2450138.63</v>
      </c>
      <c r="E809" s="92">
        <f t="shared" si="135"/>
        <v>739738.52000000014</v>
      </c>
      <c r="F809" s="92">
        <f t="shared" si="135"/>
        <v>802259.7100000002</v>
      </c>
      <c r="G809" s="92">
        <f t="shared" si="135"/>
        <v>249027.27999999994</v>
      </c>
      <c r="H809" s="92">
        <f t="shared" si="135"/>
        <v>184145.22000000003</v>
      </c>
      <c r="I809" s="92">
        <f t="shared" si="135"/>
        <v>195357.46</v>
      </c>
      <c r="J809" s="92">
        <f t="shared" si="135"/>
        <v>924574.89</v>
      </c>
      <c r="K809" s="92">
        <f t="shared" si="135"/>
        <v>1192117.5199999998</v>
      </c>
      <c r="L809" s="92">
        <f t="shared" si="135"/>
        <v>225377.81000000006</v>
      </c>
      <c r="M809" s="92">
        <f t="shared" si="135"/>
        <v>186620.73000000004</v>
      </c>
      <c r="N809" s="92">
        <f t="shared" si="135"/>
        <v>0</v>
      </c>
      <c r="O809" s="92">
        <f t="shared" si="135"/>
        <v>0</v>
      </c>
      <c r="P809" s="93">
        <f t="shared" si="135"/>
        <v>0</v>
      </c>
    </row>
    <row r="810" spans="1:16" x14ac:dyDescent="0.3">
      <c r="A810" s="87">
        <v>42095</v>
      </c>
      <c r="B810" s="148"/>
      <c r="C810" s="92">
        <f t="shared" ref="C810:P810" si="136">C6+C108+C208+C308+C408+C710</f>
        <v>7191414.2600000016</v>
      </c>
      <c r="D810" s="92">
        <f t="shared" si="136"/>
        <v>2463606</v>
      </c>
      <c r="E810" s="92">
        <f t="shared" si="136"/>
        <v>764142.10000000009</v>
      </c>
      <c r="F810" s="92">
        <f t="shared" si="136"/>
        <v>790162.51000000013</v>
      </c>
      <c r="G810" s="92">
        <f t="shared" si="136"/>
        <v>249107.36999999997</v>
      </c>
      <c r="H810" s="92">
        <f t="shared" si="136"/>
        <v>187864.49000000002</v>
      </c>
      <c r="I810" s="92">
        <f t="shared" si="136"/>
        <v>182023.02000000002</v>
      </c>
      <c r="J810" s="92">
        <f t="shared" si="136"/>
        <v>931901.32000000018</v>
      </c>
      <c r="K810" s="92">
        <f t="shared" si="136"/>
        <v>1218438.19</v>
      </c>
      <c r="L810" s="92">
        <f t="shared" si="136"/>
        <v>219478.01000000004</v>
      </c>
      <c r="M810" s="92">
        <f t="shared" si="136"/>
        <v>184691.24999999997</v>
      </c>
      <c r="N810" s="92">
        <f t="shared" si="136"/>
        <v>0</v>
      </c>
      <c r="O810" s="92">
        <f t="shared" si="136"/>
        <v>0</v>
      </c>
      <c r="P810" s="93">
        <f t="shared" si="136"/>
        <v>0</v>
      </c>
    </row>
    <row r="811" spans="1:16" x14ac:dyDescent="0.3">
      <c r="A811" s="87">
        <v>42125</v>
      </c>
      <c r="B811" s="148"/>
      <c r="C811" s="92">
        <f t="shared" ref="C811:P811" si="137">C7+C109+C209+C309+C409+C711</f>
        <v>7120517.7800000003</v>
      </c>
      <c r="D811" s="92">
        <f t="shared" si="137"/>
        <v>2460779.1300000004</v>
      </c>
      <c r="E811" s="92">
        <f t="shared" si="137"/>
        <v>747687.79000000015</v>
      </c>
      <c r="F811" s="92">
        <f t="shared" si="137"/>
        <v>776305.4</v>
      </c>
      <c r="G811" s="92">
        <f t="shared" si="137"/>
        <v>243181.16999999995</v>
      </c>
      <c r="H811" s="92">
        <f t="shared" si="137"/>
        <v>190208.64000000004</v>
      </c>
      <c r="I811" s="92">
        <f t="shared" si="137"/>
        <v>161585.08000000002</v>
      </c>
      <c r="J811" s="92">
        <f t="shared" si="137"/>
        <v>946031.5900000002</v>
      </c>
      <c r="K811" s="92">
        <f t="shared" si="137"/>
        <v>1194632.8800000001</v>
      </c>
      <c r="L811" s="92">
        <f t="shared" si="137"/>
        <v>222090.76</v>
      </c>
      <c r="M811" s="92">
        <f t="shared" si="137"/>
        <v>178015.34</v>
      </c>
      <c r="N811" s="92">
        <f t="shared" si="137"/>
        <v>0</v>
      </c>
      <c r="O811" s="92">
        <f t="shared" si="137"/>
        <v>0</v>
      </c>
      <c r="P811" s="93">
        <f t="shared" si="137"/>
        <v>0</v>
      </c>
    </row>
    <row r="812" spans="1:16" x14ac:dyDescent="0.3">
      <c r="A812" s="87">
        <v>42156</v>
      </c>
      <c r="B812" s="148"/>
      <c r="C812" s="92">
        <f t="shared" ref="C812:P812" si="138">C8+C110+C210+C310+C410+C712</f>
        <v>7318672.5800000001</v>
      </c>
      <c r="D812" s="92">
        <f t="shared" si="138"/>
        <v>2538783.0700000003</v>
      </c>
      <c r="E812" s="92">
        <f t="shared" si="138"/>
        <v>755212.7300000001</v>
      </c>
      <c r="F812" s="92">
        <f t="shared" si="138"/>
        <v>803773.01</v>
      </c>
      <c r="G812" s="92">
        <f t="shared" si="138"/>
        <v>243829.76999999996</v>
      </c>
      <c r="H812" s="92">
        <f t="shared" si="138"/>
        <v>179738.62</v>
      </c>
      <c r="I812" s="92">
        <f t="shared" si="138"/>
        <v>155188.18</v>
      </c>
      <c r="J812" s="92">
        <f t="shared" si="138"/>
        <v>1007947.8700000002</v>
      </c>
      <c r="K812" s="92">
        <f t="shared" si="138"/>
        <v>1219560.0599999998</v>
      </c>
      <c r="L812" s="92">
        <f t="shared" si="138"/>
        <v>238125.53000000003</v>
      </c>
      <c r="M812" s="92">
        <f t="shared" si="138"/>
        <v>176513.74000000002</v>
      </c>
      <c r="N812" s="92">
        <f t="shared" si="138"/>
        <v>0</v>
      </c>
      <c r="O812" s="92">
        <f t="shared" si="138"/>
        <v>0</v>
      </c>
      <c r="P812" s="93">
        <f t="shared" si="138"/>
        <v>0</v>
      </c>
    </row>
    <row r="813" spans="1:16" x14ac:dyDescent="0.3">
      <c r="A813" s="87">
        <v>42186</v>
      </c>
      <c r="B813" s="148"/>
      <c r="C813" s="92">
        <f t="shared" ref="C813:P813" si="139">C9+C111+C211+C311+C411+C713</f>
        <v>7345803.4700000016</v>
      </c>
      <c r="D813" s="92">
        <f t="shared" si="139"/>
        <v>2583115.4700000007</v>
      </c>
      <c r="E813" s="92">
        <f t="shared" si="139"/>
        <v>754306.66</v>
      </c>
      <c r="F813" s="92">
        <f t="shared" si="139"/>
        <v>809355.96999999986</v>
      </c>
      <c r="G813" s="92">
        <f t="shared" si="139"/>
        <v>235160.26999999996</v>
      </c>
      <c r="H813" s="92">
        <f t="shared" si="139"/>
        <v>185726.01</v>
      </c>
      <c r="I813" s="92">
        <f t="shared" si="139"/>
        <v>157367.48000000001</v>
      </c>
      <c r="J813" s="92">
        <f t="shared" si="139"/>
        <v>1011420.9600000001</v>
      </c>
      <c r="K813" s="92">
        <f t="shared" si="139"/>
        <v>1195380.3099999998</v>
      </c>
      <c r="L813" s="92">
        <f t="shared" si="139"/>
        <v>239562.08000000007</v>
      </c>
      <c r="M813" s="92">
        <f t="shared" si="139"/>
        <v>174408.26</v>
      </c>
      <c r="N813" s="92">
        <f t="shared" si="139"/>
        <v>0</v>
      </c>
      <c r="O813" s="92">
        <f t="shared" si="139"/>
        <v>0</v>
      </c>
      <c r="P813" s="93">
        <f t="shared" si="139"/>
        <v>0</v>
      </c>
    </row>
    <row r="814" spans="1:16" x14ac:dyDescent="0.3">
      <c r="A814" s="87">
        <v>42217</v>
      </c>
      <c r="B814" s="148"/>
      <c r="C814" s="92">
        <f t="shared" ref="C814:P814" si="140">C10+C112+C212+C312+C412+C714</f>
        <v>7368516.9800000023</v>
      </c>
      <c r="D814" s="92">
        <f t="shared" si="140"/>
        <v>2611527.1900000004</v>
      </c>
      <c r="E814" s="92">
        <f t="shared" si="140"/>
        <v>765428.76000000013</v>
      </c>
      <c r="F814" s="92">
        <f t="shared" si="140"/>
        <v>827902.46</v>
      </c>
      <c r="G814" s="92">
        <f t="shared" si="140"/>
        <v>226660.05000000002</v>
      </c>
      <c r="H814" s="92">
        <f t="shared" si="140"/>
        <v>191602.32</v>
      </c>
      <c r="I814" s="92">
        <f t="shared" si="140"/>
        <v>166572.37999999998</v>
      </c>
      <c r="J814" s="92">
        <f t="shared" si="140"/>
        <v>991271.36</v>
      </c>
      <c r="K814" s="92">
        <f t="shared" si="140"/>
        <v>1170283.43</v>
      </c>
      <c r="L814" s="92">
        <f t="shared" si="140"/>
        <v>239877.83000000005</v>
      </c>
      <c r="M814" s="92">
        <f t="shared" si="140"/>
        <v>177391.2</v>
      </c>
      <c r="N814" s="92">
        <f t="shared" si="140"/>
        <v>0</v>
      </c>
      <c r="O814" s="92">
        <f t="shared" si="140"/>
        <v>0</v>
      </c>
      <c r="P814" s="93">
        <f t="shared" si="140"/>
        <v>0</v>
      </c>
    </row>
    <row r="815" spans="1:16" x14ac:dyDescent="0.3">
      <c r="A815" s="87">
        <v>42248</v>
      </c>
      <c r="B815" s="148"/>
      <c r="C815" s="92">
        <f t="shared" ref="C815:P815" si="141">C11+C113+C213+C313+C413+C715</f>
        <v>7436912.3800000008</v>
      </c>
      <c r="D815" s="92">
        <f t="shared" si="141"/>
        <v>2627025.5300000003</v>
      </c>
      <c r="E815" s="92">
        <f t="shared" si="141"/>
        <v>800610.78999999992</v>
      </c>
      <c r="F815" s="92">
        <f t="shared" si="141"/>
        <v>840968.39999999991</v>
      </c>
      <c r="G815" s="92">
        <f t="shared" si="141"/>
        <v>218259.49000000005</v>
      </c>
      <c r="H815" s="92">
        <f t="shared" si="141"/>
        <v>199945.64999999997</v>
      </c>
      <c r="I815" s="92">
        <f t="shared" si="141"/>
        <v>165280.87999999998</v>
      </c>
      <c r="J815" s="92">
        <f t="shared" si="141"/>
        <v>1003220.7500000001</v>
      </c>
      <c r="K815" s="92">
        <f t="shared" si="141"/>
        <v>1165145.1600000001</v>
      </c>
      <c r="L815" s="92">
        <f t="shared" si="141"/>
        <v>243692.62000000008</v>
      </c>
      <c r="M815" s="92">
        <f t="shared" si="141"/>
        <v>172763.11000000002</v>
      </c>
      <c r="N815" s="92">
        <f t="shared" si="141"/>
        <v>0</v>
      </c>
      <c r="O815" s="92">
        <f t="shared" si="141"/>
        <v>0</v>
      </c>
      <c r="P815" s="93">
        <f t="shared" si="141"/>
        <v>0</v>
      </c>
    </row>
    <row r="816" spans="1:16" x14ac:dyDescent="0.3">
      <c r="A816" s="87">
        <v>42278</v>
      </c>
      <c r="B816" s="148"/>
      <c r="C816" s="92">
        <f t="shared" ref="C816:P816" si="142">C12+C114+C214+C314+C414+C716</f>
        <v>7435654.1899999995</v>
      </c>
      <c r="D816" s="92">
        <f t="shared" si="142"/>
        <v>2649106.5200000005</v>
      </c>
      <c r="E816" s="92">
        <f t="shared" si="142"/>
        <v>798589.79</v>
      </c>
      <c r="F816" s="92">
        <f t="shared" si="142"/>
        <v>825369.47</v>
      </c>
      <c r="G816" s="92">
        <f t="shared" si="142"/>
        <v>215267.99000000005</v>
      </c>
      <c r="H816" s="92">
        <f t="shared" si="142"/>
        <v>212100.84</v>
      </c>
      <c r="I816" s="92">
        <f t="shared" si="142"/>
        <v>169370.72999999998</v>
      </c>
      <c r="J816" s="92">
        <f t="shared" si="142"/>
        <v>964981.6100000001</v>
      </c>
      <c r="K816" s="92">
        <f t="shared" si="142"/>
        <v>1178564.6200000001</v>
      </c>
      <c r="L816" s="92">
        <f t="shared" si="142"/>
        <v>252655.70000000004</v>
      </c>
      <c r="M816" s="92">
        <f t="shared" si="142"/>
        <v>169646.92000000004</v>
      </c>
      <c r="N816" s="92">
        <f t="shared" si="142"/>
        <v>0</v>
      </c>
      <c r="O816" s="92">
        <f t="shared" si="142"/>
        <v>0</v>
      </c>
      <c r="P816" s="93">
        <f t="shared" si="142"/>
        <v>0</v>
      </c>
    </row>
    <row r="817" spans="1:16" x14ac:dyDescent="0.3">
      <c r="A817" s="87">
        <v>42309</v>
      </c>
      <c r="B817" s="148"/>
      <c r="C817" s="92">
        <f t="shared" ref="C817:P817" si="143">C13+C115+C215+C315+C415+C717</f>
        <v>7539003.5399999991</v>
      </c>
      <c r="D817" s="92">
        <f t="shared" si="143"/>
        <v>2737275.5900000003</v>
      </c>
      <c r="E817" s="92">
        <f t="shared" si="143"/>
        <v>814854.54</v>
      </c>
      <c r="F817" s="92">
        <f t="shared" si="143"/>
        <v>849222.58</v>
      </c>
      <c r="G817" s="92">
        <f t="shared" si="143"/>
        <v>217050.01000000004</v>
      </c>
      <c r="H817" s="92">
        <f t="shared" si="143"/>
        <v>218715.18</v>
      </c>
      <c r="I817" s="92">
        <f t="shared" si="143"/>
        <v>174716.07</v>
      </c>
      <c r="J817" s="92">
        <f t="shared" si="143"/>
        <v>942083.07000000007</v>
      </c>
      <c r="K817" s="92">
        <f t="shared" si="143"/>
        <v>1163660.9400000002</v>
      </c>
      <c r="L817" s="92">
        <f t="shared" si="143"/>
        <v>252144.07000000007</v>
      </c>
      <c r="M817" s="92">
        <f t="shared" si="143"/>
        <v>168809.80000000005</v>
      </c>
      <c r="N817" s="92">
        <f t="shared" si="143"/>
        <v>471.69000000000005</v>
      </c>
      <c r="O817" s="92">
        <f t="shared" si="143"/>
        <v>0</v>
      </c>
      <c r="P817" s="93">
        <f t="shared" si="143"/>
        <v>0</v>
      </c>
    </row>
    <row r="818" spans="1:16" x14ac:dyDescent="0.3">
      <c r="A818" s="87">
        <v>42339</v>
      </c>
      <c r="B818" s="148"/>
      <c r="C818" s="92">
        <f t="shared" ref="C818:P818" si="144">C14+C116+C216+C316+C416+C718</f>
        <v>7477607.9099999992</v>
      </c>
      <c r="D818" s="92">
        <f t="shared" si="144"/>
        <v>2737792.3700000006</v>
      </c>
      <c r="E818" s="92">
        <f t="shared" si="144"/>
        <v>802562.64999999991</v>
      </c>
      <c r="F818" s="92">
        <f t="shared" si="144"/>
        <v>872934.69999999984</v>
      </c>
      <c r="G818" s="92">
        <f t="shared" si="144"/>
        <v>214511.57000000004</v>
      </c>
      <c r="H818" s="92">
        <f t="shared" si="144"/>
        <v>218478.28</v>
      </c>
      <c r="I818" s="92">
        <f t="shared" si="144"/>
        <v>166977.22</v>
      </c>
      <c r="J818" s="92">
        <f t="shared" si="144"/>
        <v>940368.99</v>
      </c>
      <c r="K818" s="92">
        <f t="shared" si="144"/>
        <v>1111684.4000000001</v>
      </c>
      <c r="L818" s="92">
        <f t="shared" si="144"/>
        <v>256334.76</v>
      </c>
      <c r="M818" s="92">
        <f t="shared" si="144"/>
        <v>155245.61000000002</v>
      </c>
      <c r="N818" s="92">
        <f t="shared" si="144"/>
        <v>717.36000000000013</v>
      </c>
      <c r="O818" s="92">
        <f t="shared" si="144"/>
        <v>0</v>
      </c>
      <c r="P818" s="93">
        <f t="shared" si="144"/>
        <v>0</v>
      </c>
    </row>
    <row r="819" spans="1:16" x14ac:dyDescent="0.3">
      <c r="A819" s="87">
        <v>42370</v>
      </c>
      <c r="B819" s="148"/>
      <c r="C819" s="92">
        <f t="shared" ref="C819:P819" si="145">C15+C117+C217+C317+C417+C719</f>
        <v>7533420.0900000008</v>
      </c>
      <c r="D819" s="92">
        <f t="shared" si="145"/>
        <v>2769131.0800000005</v>
      </c>
      <c r="E819" s="92">
        <f t="shared" si="145"/>
        <v>788612.10000000009</v>
      </c>
      <c r="F819" s="92">
        <f t="shared" si="145"/>
        <v>869687.61999999976</v>
      </c>
      <c r="G819" s="92">
        <f t="shared" si="145"/>
        <v>207317.56</v>
      </c>
      <c r="H819" s="92">
        <f t="shared" si="145"/>
        <v>222135.12999999998</v>
      </c>
      <c r="I819" s="92">
        <f t="shared" si="145"/>
        <v>169871.18</v>
      </c>
      <c r="J819" s="92">
        <f t="shared" si="145"/>
        <v>960970.73999999987</v>
      </c>
      <c r="K819" s="92">
        <f t="shared" si="145"/>
        <v>1135909.1200000003</v>
      </c>
      <c r="L819" s="92">
        <f t="shared" si="145"/>
        <v>251409.97999999995</v>
      </c>
      <c r="M819" s="92">
        <f t="shared" si="145"/>
        <v>157285.29</v>
      </c>
      <c r="N819" s="92">
        <f t="shared" si="145"/>
        <v>1090.2900000000002</v>
      </c>
      <c r="O819" s="92">
        <f t="shared" si="145"/>
        <v>0</v>
      </c>
      <c r="P819" s="93">
        <f t="shared" si="145"/>
        <v>0</v>
      </c>
    </row>
    <row r="820" spans="1:16" x14ac:dyDescent="0.3">
      <c r="A820" s="87">
        <v>42401</v>
      </c>
      <c r="B820" s="148"/>
      <c r="C820" s="92">
        <f t="shared" ref="C820:P820" si="146">C16+C118+C218+C318+C418+C720</f>
        <v>7514363.7000000011</v>
      </c>
      <c r="D820" s="92">
        <f t="shared" si="146"/>
        <v>2763393.79</v>
      </c>
      <c r="E820" s="92">
        <f t="shared" si="146"/>
        <v>799885.03000000014</v>
      </c>
      <c r="F820" s="92">
        <f t="shared" si="146"/>
        <v>872249.61999999988</v>
      </c>
      <c r="G820" s="92">
        <f t="shared" si="146"/>
        <v>195368.58000000005</v>
      </c>
      <c r="H820" s="92">
        <f t="shared" si="146"/>
        <v>222470.60000000003</v>
      </c>
      <c r="I820" s="92">
        <f t="shared" si="146"/>
        <v>165315.6</v>
      </c>
      <c r="J820" s="92">
        <f t="shared" si="146"/>
        <v>931460.7100000002</v>
      </c>
      <c r="K820" s="92">
        <f t="shared" si="146"/>
        <v>1144950.6100000003</v>
      </c>
      <c r="L820" s="92">
        <f t="shared" si="146"/>
        <v>257903.51999999996</v>
      </c>
      <c r="M820" s="92">
        <f t="shared" si="146"/>
        <v>155094.55000000002</v>
      </c>
      <c r="N820" s="92">
        <f t="shared" si="146"/>
        <v>6271.09</v>
      </c>
      <c r="O820" s="92">
        <f t="shared" si="146"/>
        <v>0</v>
      </c>
      <c r="P820" s="93">
        <f t="shared" si="146"/>
        <v>0</v>
      </c>
    </row>
    <row r="821" spans="1:16" x14ac:dyDescent="0.3">
      <c r="A821" s="87">
        <v>42430</v>
      </c>
      <c r="B821" s="148"/>
      <c r="C821" s="92">
        <f t="shared" ref="C821:P821" si="147">C17+C119+C219+C319+C419+C721</f>
        <v>7603723.8699999992</v>
      </c>
      <c r="D821" s="92">
        <f t="shared" si="147"/>
        <v>2796366.2399999998</v>
      </c>
      <c r="E821" s="92">
        <f t="shared" si="147"/>
        <v>806806.52</v>
      </c>
      <c r="F821" s="92">
        <f t="shared" si="147"/>
        <v>865082.05</v>
      </c>
      <c r="G821" s="92">
        <f t="shared" si="147"/>
        <v>194002.07</v>
      </c>
      <c r="H821" s="92">
        <f t="shared" si="147"/>
        <v>215561.59</v>
      </c>
      <c r="I821" s="92">
        <f t="shared" si="147"/>
        <v>163679.07999999999</v>
      </c>
      <c r="J821" s="92">
        <f t="shared" si="147"/>
        <v>983170.27</v>
      </c>
      <c r="K821" s="92">
        <f t="shared" si="147"/>
        <v>1148286.9500000002</v>
      </c>
      <c r="L821" s="92">
        <f t="shared" si="147"/>
        <v>258919.97999999998</v>
      </c>
      <c r="M821" s="92">
        <f t="shared" si="147"/>
        <v>163532.06000000003</v>
      </c>
      <c r="N821" s="92">
        <f t="shared" si="147"/>
        <v>8317.06</v>
      </c>
      <c r="O821" s="92">
        <f t="shared" si="147"/>
        <v>0</v>
      </c>
      <c r="P821" s="93">
        <f t="shared" si="147"/>
        <v>0</v>
      </c>
    </row>
    <row r="822" spans="1:16" x14ac:dyDescent="0.3">
      <c r="A822" s="87">
        <v>42461</v>
      </c>
      <c r="B822" s="148"/>
      <c r="C822" s="92">
        <f t="shared" ref="C822:P822" si="148">C18+C120+C220+C320+C420+C722</f>
        <v>7547469.5300000003</v>
      </c>
      <c r="D822" s="92">
        <f t="shared" si="148"/>
        <v>2774968.6599999997</v>
      </c>
      <c r="E822" s="92">
        <f t="shared" si="148"/>
        <v>787700.14000000013</v>
      </c>
      <c r="F822" s="92">
        <f t="shared" si="148"/>
        <v>866939.66999999993</v>
      </c>
      <c r="G822" s="92">
        <f t="shared" si="148"/>
        <v>197776.26</v>
      </c>
      <c r="H822" s="92">
        <f t="shared" si="148"/>
        <v>206265.89</v>
      </c>
      <c r="I822" s="92">
        <f t="shared" si="148"/>
        <v>157910.76999999999</v>
      </c>
      <c r="J822" s="92">
        <f t="shared" si="148"/>
        <v>976649.31</v>
      </c>
      <c r="K822" s="92">
        <f t="shared" si="148"/>
        <v>1124879.9100000004</v>
      </c>
      <c r="L822" s="92">
        <f t="shared" si="148"/>
        <v>272175.19</v>
      </c>
      <c r="M822" s="92">
        <f t="shared" si="148"/>
        <v>167386.29</v>
      </c>
      <c r="N822" s="92">
        <f t="shared" si="148"/>
        <v>14817.439999999999</v>
      </c>
      <c r="O822" s="92">
        <f t="shared" si="148"/>
        <v>0</v>
      </c>
      <c r="P822" s="93">
        <f t="shared" si="148"/>
        <v>0</v>
      </c>
    </row>
    <row r="823" spans="1:16" x14ac:dyDescent="0.3">
      <c r="A823" s="87">
        <v>42491</v>
      </c>
      <c r="B823" s="148"/>
      <c r="C823" s="92">
        <f t="shared" ref="C823:P823" si="149">C19+C121+C221+C321+C421+C723</f>
        <v>7689471.9600000009</v>
      </c>
      <c r="D823" s="92">
        <f t="shared" si="149"/>
        <v>2830421.8999999994</v>
      </c>
      <c r="E823" s="92">
        <f t="shared" si="149"/>
        <v>799050.01</v>
      </c>
      <c r="F823" s="92">
        <f t="shared" si="149"/>
        <v>900393.2699999999</v>
      </c>
      <c r="G823" s="92">
        <f t="shared" si="149"/>
        <v>211573.76000000001</v>
      </c>
      <c r="H823" s="92">
        <f t="shared" si="149"/>
        <v>203835</v>
      </c>
      <c r="I823" s="92">
        <f t="shared" si="149"/>
        <v>163299.15</v>
      </c>
      <c r="J823" s="92">
        <f t="shared" si="149"/>
        <v>973260.35000000009</v>
      </c>
      <c r="K823" s="92">
        <f t="shared" si="149"/>
        <v>1132460.0900000003</v>
      </c>
      <c r="L823" s="92">
        <f t="shared" si="149"/>
        <v>275364.46000000002</v>
      </c>
      <c r="M823" s="92">
        <f t="shared" si="149"/>
        <v>180901.2</v>
      </c>
      <c r="N823" s="92">
        <f t="shared" si="149"/>
        <v>18912.769999999997</v>
      </c>
      <c r="O823" s="92">
        <f t="shared" si="149"/>
        <v>0</v>
      </c>
      <c r="P823" s="93">
        <f t="shared" si="149"/>
        <v>0</v>
      </c>
    </row>
    <row r="824" spans="1:16" x14ac:dyDescent="0.3">
      <c r="A824" s="87">
        <v>42522</v>
      </c>
      <c r="B824" s="148"/>
      <c r="C824" s="92">
        <f t="shared" ref="C824:P824" si="150">C20+C122+C222+C322+C422+C724</f>
        <v>7634719.9000000004</v>
      </c>
      <c r="D824" s="92">
        <f t="shared" si="150"/>
        <v>2812864.08</v>
      </c>
      <c r="E824" s="92">
        <f t="shared" si="150"/>
        <v>769597.25</v>
      </c>
      <c r="F824" s="92">
        <f t="shared" si="150"/>
        <v>901585.31</v>
      </c>
      <c r="G824" s="92">
        <f t="shared" si="150"/>
        <v>213581.25</v>
      </c>
      <c r="H824" s="92">
        <f t="shared" si="150"/>
        <v>220865.87000000002</v>
      </c>
      <c r="I824" s="92">
        <f t="shared" si="150"/>
        <v>161966.16999999998</v>
      </c>
      <c r="J824" s="92">
        <f t="shared" si="150"/>
        <v>960009.41999999993</v>
      </c>
      <c r="K824" s="92">
        <f t="shared" si="150"/>
        <v>1114944.6700000002</v>
      </c>
      <c r="L824" s="92">
        <f t="shared" si="150"/>
        <v>272122.36000000004</v>
      </c>
      <c r="M824" s="92">
        <f t="shared" si="150"/>
        <v>184452.49000000005</v>
      </c>
      <c r="N824" s="92">
        <f t="shared" si="150"/>
        <v>22731.03</v>
      </c>
      <c r="O824" s="92">
        <f t="shared" si="150"/>
        <v>0</v>
      </c>
      <c r="P824" s="93">
        <f t="shared" si="150"/>
        <v>0</v>
      </c>
    </row>
    <row r="825" spans="1:16" x14ac:dyDescent="0.3">
      <c r="A825" s="87">
        <v>42552</v>
      </c>
      <c r="B825" s="148"/>
      <c r="C825" s="92">
        <f t="shared" ref="C825:P825" si="151">C21+C123+C223+C323+C423+C725</f>
        <v>7621343.0700000012</v>
      </c>
      <c r="D825" s="92">
        <f t="shared" si="151"/>
        <v>2792478.4800000004</v>
      </c>
      <c r="E825" s="92">
        <f t="shared" si="151"/>
        <v>784126.49</v>
      </c>
      <c r="F825" s="92">
        <f t="shared" si="151"/>
        <v>908524.64000000013</v>
      </c>
      <c r="G825" s="92">
        <f t="shared" si="151"/>
        <v>213794.66999999998</v>
      </c>
      <c r="H825" s="92">
        <f t="shared" si="151"/>
        <v>218393.99999999997</v>
      </c>
      <c r="I825" s="92">
        <f t="shared" si="151"/>
        <v>162243.08000000005</v>
      </c>
      <c r="J825" s="92">
        <f t="shared" si="151"/>
        <v>960703.85000000021</v>
      </c>
      <c r="K825" s="92">
        <f t="shared" si="151"/>
        <v>1100027.0500000005</v>
      </c>
      <c r="L825" s="92">
        <f t="shared" si="151"/>
        <v>266587.70999999996</v>
      </c>
      <c r="M825" s="92">
        <f t="shared" si="151"/>
        <v>191732.07000000004</v>
      </c>
      <c r="N825" s="92">
        <f t="shared" si="151"/>
        <v>22731.03</v>
      </c>
      <c r="O825" s="92">
        <f t="shared" si="151"/>
        <v>0</v>
      </c>
      <c r="P825" s="93">
        <f t="shared" si="151"/>
        <v>0</v>
      </c>
    </row>
    <row r="826" spans="1:16" x14ac:dyDescent="0.3">
      <c r="A826" s="87">
        <v>42583</v>
      </c>
      <c r="B826" s="148"/>
      <c r="C826" s="92">
        <f t="shared" ref="C826:P826" si="152">C22+C124+C224+C324+C424+C726</f>
        <v>7697345.370000001</v>
      </c>
      <c r="D826" s="92">
        <f t="shared" si="152"/>
        <v>2806945.5400000005</v>
      </c>
      <c r="E826" s="92">
        <f t="shared" si="152"/>
        <v>790071.29999999993</v>
      </c>
      <c r="F826" s="92">
        <f t="shared" si="152"/>
        <v>896864.92999999993</v>
      </c>
      <c r="G826" s="92">
        <f t="shared" si="152"/>
        <v>214426.31</v>
      </c>
      <c r="H826" s="92">
        <f t="shared" si="152"/>
        <v>211497.58999999994</v>
      </c>
      <c r="I826" s="92">
        <f t="shared" si="152"/>
        <v>149771.09</v>
      </c>
      <c r="J826" s="92">
        <f t="shared" si="152"/>
        <v>1025769.13</v>
      </c>
      <c r="K826" s="92">
        <f t="shared" si="152"/>
        <v>1107366.1200000003</v>
      </c>
      <c r="L826" s="92">
        <f t="shared" si="152"/>
        <v>276591.39999999997</v>
      </c>
      <c r="M826" s="92">
        <f t="shared" si="152"/>
        <v>195310.93</v>
      </c>
      <c r="N826" s="92">
        <f t="shared" si="152"/>
        <v>22731.03</v>
      </c>
      <c r="O826" s="92">
        <f t="shared" si="152"/>
        <v>0</v>
      </c>
      <c r="P826" s="93">
        <f t="shared" si="152"/>
        <v>0</v>
      </c>
    </row>
    <row r="827" spans="1:16" x14ac:dyDescent="0.3">
      <c r="A827" s="87">
        <v>42614</v>
      </c>
      <c r="B827" s="148"/>
      <c r="C827" s="92">
        <f t="shared" ref="C827:P827" si="153">C23+C125+C225+C325+C425+C727</f>
        <v>7639508.6699999999</v>
      </c>
      <c r="D827" s="92">
        <f t="shared" si="153"/>
        <v>2842597.66</v>
      </c>
      <c r="E827" s="92">
        <f t="shared" si="153"/>
        <v>768322.65999999992</v>
      </c>
      <c r="F827" s="92">
        <f t="shared" si="153"/>
        <v>875950.18</v>
      </c>
      <c r="G827" s="92">
        <f t="shared" si="153"/>
        <v>213898.80000000002</v>
      </c>
      <c r="H827" s="92">
        <f t="shared" si="153"/>
        <v>195525.33</v>
      </c>
      <c r="I827" s="92">
        <f t="shared" si="153"/>
        <v>149410.89000000001</v>
      </c>
      <c r="J827" s="92">
        <f t="shared" si="153"/>
        <v>1000822.0999999999</v>
      </c>
      <c r="K827" s="92">
        <f t="shared" si="153"/>
        <v>1086394.0000000005</v>
      </c>
      <c r="L827" s="92">
        <f t="shared" si="153"/>
        <v>282054.06</v>
      </c>
      <c r="M827" s="92">
        <f t="shared" si="153"/>
        <v>199870.41999999998</v>
      </c>
      <c r="N827" s="92">
        <f t="shared" si="153"/>
        <v>24662.57</v>
      </c>
      <c r="O827" s="92">
        <f t="shared" si="153"/>
        <v>0</v>
      </c>
      <c r="P827" s="93">
        <f t="shared" si="153"/>
        <v>0</v>
      </c>
    </row>
    <row r="828" spans="1:16" x14ac:dyDescent="0.3">
      <c r="A828" s="87">
        <v>42644</v>
      </c>
      <c r="B828" s="148"/>
      <c r="C828" s="92">
        <f t="shared" ref="C828:P828" si="154">C24+C126+C226+C326+C426+C728</f>
        <v>7564932.0200000005</v>
      </c>
      <c r="D828" s="92">
        <f t="shared" si="154"/>
        <v>2851490.2100000004</v>
      </c>
      <c r="E828" s="92">
        <f t="shared" si="154"/>
        <v>739021.54</v>
      </c>
      <c r="F828" s="92">
        <f t="shared" si="154"/>
        <v>887709.72</v>
      </c>
      <c r="G828" s="92">
        <f t="shared" si="154"/>
        <v>203351.88</v>
      </c>
      <c r="H828" s="92">
        <f t="shared" si="154"/>
        <v>184969.19999999998</v>
      </c>
      <c r="I828" s="92">
        <f t="shared" si="154"/>
        <v>137373.16</v>
      </c>
      <c r="J828" s="92">
        <f t="shared" si="154"/>
        <v>987543.58</v>
      </c>
      <c r="K828" s="92">
        <f t="shared" si="154"/>
        <v>1072784.1300000001</v>
      </c>
      <c r="L828" s="92">
        <f t="shared" si="154"/>
        <v>264623.71000000002</v>
      </c>
      <c r="M828" s="92">
        <f t="shared" si="154"/>
        <v>206615.16</v>
      </c>
      <c r="N828" s="92">
        <f t="shared" si="154"/>
        <v>29449.73</v>
      </c>
      <c r="O828" s="92">
        <f t="shared" si="154"/>
        <v>0</v>
      </c>
      <c r="P828" s="93">
        <f t="shared" si="154"/>
        <v>0</v>
      </c>
    </row>
    <row r="829" spans="1:16" x14ac:dyDescent="0.3">
      <c r="A829" s="87">
        <v>42675</v>
      </c>
      <c r="B829" s="148"/>
      <c r="C829" s="92">
        <f t="shared" ref="C829:P829" si="155">C25+C127+C227+C327+C427+C729</f>
        <v>7560493.9700000016</v>
      </c>
      <c r="D829" s="92">
        <f t="shared" si="155"/>
        <v>2877293.1</v>
      </c>
      <c r="E829" s="92">
        <f t="shared" si="155"/>
        <v>717954.48</v>
      </c>
      <c r="F829" s="92">
        <f t="shared" si="155"/>
        <v>876210.93</v>
      </c>
      <c r="G829" s="92">
        <f t="shared" si="155"/>
        <v>208679.24000000002</v>
      </c>
      <c r="H829" s="92">
        <f t="shared" si="155"/>
        <v>191753.28</v>
      </c>
      <c r="I829" s="92">
        <f t="shared" si="155"/>
        <v>133470.16000000003</v>
      </c>
      <c r="J829" s="92">
        <f t="shared" si="155"/>
        <v>995308.32</v>
      </c>
      <c r="K829" s="92">
        <f t="shared" si="155"/>
        <v>1040443.6600000004</v>
      </c>
      <c r="L829" s="92">
        <f t="shared" si="155"/>
        <v>270798.83000000007</v>
      </c>
      <c r="M829" s="92">
        <f t="shared" si="155"/>
        <v>215137.69999999998</v>
      </c>
      <c r="N829" s="92">
        <f t="shared" si="155"/>
        <v>33444.269999999997</v>
      </c>
      <c r="O829" s="92">
        <f t="shared" si="155"/>
        <v>0</v>
      </c>
      <c r="P829" s="93">
        <f t="shared" si="155"/>
        <v>0</v>
      </c>
    </row>
    <row r="830" spans="1:16" x14ac:dyDescent="0.3">
      <c r="A830" s="87">
        <v>42705</v>
      </c>
      <c r="B830" s="148"/>
      <c r="C830" s="92">
        <f t="shared" ref="C830:P830" si="156">C26+C128+C228+C328+C428+C730</f>
        <v>7466361.3500000006</v>
      </c>
      <c r="D830" s="92">
        <f t="shared" si="156"/>
        <v>2844354.88</v>
      </c>
      <c r="E830" s="92">
        <f t="shared" si="156"/>
        <v>720262.52</v>
      </c>
      <c r="F830" s="92">
        <f t="shared" si="156"/>
        <v>854688.60000000009</v>
      </c>
      <c r="G830" s="92">
        <f t="shared" si="156"/>
        <v>203406.05000000002</v>
      </c>
      <c r="H830" s="92">
        <f t="shared" si="156"/>
        <v>201137.15</v>
      </c>
      <c r="I830" s="92">
        <f t="shared" si="156"/>
        <v>137875.56000000003</v>
      </c>
      <c r="J830" s="92">
        <f t="shared" si="156"/>
        <v>939984.14</v>
      </c>
      <c r="K830" s="92">
        <f t="shared" si="156"/>
        <v>1032930.04</v>
      </c>
      <c r="L830" s="92">
        <f t="shared" si="156"/>
        <v>257958.46</v>
      </c>
      <c r="M830" s="92">
        <f t="shared" si="156"/>
        <v>235361.97999999998</v>
      </c>
      <c r="N830" s="92">
        <f t="shared" si="156"/>
        <v>38401.97</v>
      </c>
      <c r="O830" s="92">
        <f t="shared" si="156"/>
        <v>0</v>
      </c>
      <c r="P830" s="93">
        <f t="shared" si="156"/>
        <v>0</v>
      </c>
    </row>
    <row r="831" spans="1:16" x14ac:dyDescent="0.3">
      <c r="A831" s="87">
        <v>42736</v>
      </c>
      <c r="B831" s="148"/>
      <c r="C831" s="92">
        <f t="shared" ref="C831:P831" si="157">C27+C129+C229+C329+C429+C731</f>
        <v>7440666.8100000015</v>
      </c>
      <c r="D831" s="92">
        <f t="shared" si="157"/>
        <v>2856294.1500000004</v>
      </c>
      <c r="E831" s="92">
        <f t="shared" si="157"/>
        <v>717261.82000000018</v>
      </c>
      <c r="F831" s="92">
        <f t="shared" si="157"/>
        <v>874634.96</v>
      </c>
      <c r="G831" s="92">
        <f t="shared" si="157"/>
        <v>201149.75999999998</v>
      </c>
      <c r="H831" s="92">
        <f t="shared" si="157"/>
        <v>208715.47</v>
      </c>
      <c r="I831" s="92">
        <f t="shared" si="157"/>
        <v>134504.79999999999</v>
      </c>
      <c r="J831" s="92">
        <f t="shared" si="157"/>
        <v>875862.52999999991</v>
      </c>
      <c r="K831" s="92">
        <f t="shared" si="157"/>
        <v>1022647.39</v>
      </c>
      <c r="L831" s="92">
        <f t="shared" si="157"/>
        <v>252842.03</v>
      </c>
      <c r="M831" s="92">
        <f t="shared" si="157"/>
        <v>246372.61999999997</v>
      </c>
      <c r="N831" s="92">
        <f t="shared" si="157"/>
        <v>50381.280000000006</v>
      </c>
      <c r="O831" s="92">
        <f t="shared" si="157"/>
        <v>0</v>
      </c>
      <c r="P831" s="93">
        <f t="shared" si="157"/>
        <v>0</v>
      </c>
    </row>
    <row r="832" spans="1:16" x14ac:dyDescent="0.3">
      <c r="A832" s="87">
        <v>42767</v>
      </c>
      <c r="B832" s="148"/>
      <c r="C832" s="92">
        <f t="shared" ref="C832:P832" si="158">C28+C130+C230+C330+C430+C732</f>
        <v>7423613.7700000005</v>
      </c>
      <c r="D832" s="92">
        <f t="shared" si="158"/>
        <v>2852431.49</v>
      </c>
      <c r="E832" s="92">
        <f t="shared" si="158"/>
        <v>714678.79999999993</v>
      </c>
      <c r="F832" s="92">
        <f t="shared" si="158"/>
        <v>858853.53999999992</v>
      </c>
      <c r="G832" s="92">
        <f t="shared" si="158"/>
        <v>199390.09</v>
      </c>
      <c r="H832" s="92">
        <f t="shared" si="158"/>
        <v>206296.86000000002</v>
      </c>
      <c r="I832" s="92">
        <f t="shared" si="158"/>
        <v>133529.37000000002</v>
      </c>
      <c r="J832" s="92">
        <f t="shared" si="158"/>
        <v>920375.64</v>
      </c>
      <c r="K832" s="92">
        <f t="shared" si="158"/>
        <v>992124.67000000016</v>
      </c>
      <c r="L832" s="92">
        <f t="shared" si="158"/>
        <v>250998.25000000006</v>
      </c>
      <c r="M832" s="92">
        <f t="shared" si="158"/>
        <v>249497.75000000003</v>
      </c>
      <c r="N832" s="92">
        <f t="shared" si="158"/>
        <v>45437.31</v>
      </c>
      <c r="O832" s="92">
        <f t="shared" si="158"/>
        <v>0</v>
      </c>
      <c r="P832" s="93">
        <f t="shared" si="158"/>
        <v>0</v>
      </c>
    </row>
    <row r="833" spans="1:16" x14ac:dyDescent="0.3">
      <c r="A833" s="87">
        <v>42795</v>
      </c>
      <c r="B833" s="148"/>
      <c r="C833" s="92">
        <f t="shared" ref="C833:P833" si="159">C29+C131+C231+C331+C431+C733</f>
        <v>7379276.6500000004</v>
      </c>
      <c r="D833" s="92">
        <f t="shared" si="159"/>
        <v>2903831.3600000003</v>
      </c>
      <c r="E833" s="92">
        <f t="shared" si="159"/>
        <v>696065.49</v>
      </c>
      <c r="F833" s="92">
        <f t="shared" si="159"/>
        <v>890946.38000000012</v>
      </c>
      <c r="G833" s="92">
        <f t="shared" si="159"/>
        <v>189296.81000000003</v>
      </c>
      <c r="H833" s="92">
        <f t="shared" si="159"/>
        <v>214960.41999999998</v>
      </c>
      <c r="I833" s="92">
        <f t="shared" si="159"/>
        <v>136782.76999999999</v>
      </c>
      <c r="J833" s="92">
        <f t="shared" si="159"/>
        <v>823674.69000000006</v>
      </c>
      <c r="K833" s="92">
        <f t="shared" si="159"/>
        <v>985906.52000000025</v>
      </c>
      <c r="L833" s="92">
        <f t="shared" si="159"/>
        <v>244180.66</v>
      </c>
      <c r="M833" s="92">
        <f t="shared" si="159"/>
        <v>246222.87999999998</v>
      </c>
      <c r="N833" s="92">
        <f t="shared" si="159"/>
        <v>47408.670000000006</v>
      </c>
      <c r="O833" s="92">
        <f t="shared" si="159"/>
        <v>0</v>
      </c>
      <c r="P833" s="93">
        <f t="shared" si="159"/>
        <v>0</v>
      </c>
    </row>
    <row r="834" spans="1:16" x14ac:dyDescent="0.3">
      <c r="A834" s="87">
        <v>42826</v>
      </c>
      <c r="B834" s="148"/>
      <c r="C834" s="92">
        <f t="shared" ref="C834:P834" si="160">C30+C132+C232+C332+C432+C734</f>
        <v>7288640.1600000001</v>
      </c>
      <c r="D834" s="92">
        <f t="shared" si="160"/>
        <v>2893226.89</v>
      </c>
      <c r="E834" s="92">
        <f t="shared" si="160"/>
        <v>678877.76</v>
      </c>
      <c r="F834" s="92">
        <f t="shared" si="160"/>
        <v>881263.35000000009</v>
      </c>
      <c r="G834" s="92">
        <f t="shared" si="160"/>
        <v>174113.87000000002</v>
      </c>
      <c r="H834" s="92">
        <f t="shared" si="160"/>
        <v>217532.13999999998</v>
      </c>
      <c r="I834" s="92">
        <f t="shared" si="160"/>
        <v>140829.97999999998</v>
      </c>
      <c r="J834" s="92">
        <f t="shared" si="160"/>
        <v>810077.32</v>
      </c>
      <c r="K834" s="92">
        <f t="shared" si="160"/>
        <v>971905.77999999991</v>
      </c>
      <c r="L834" s="92">
        <f t="shared" si="160"/>
        <v>229118.00000000006</v>
      </c>
      <c r="M834" s="92">
        <f t="shared" si="160"/>
        <v>246315.93000000002</v>
      </c>
      <c r="N834" s="92">
        <f t="shared" si="160"/>
        <v>45379.140000000007</v>
      </c>
      <c r="O834" s="92">
        <f t="shared" si="160"/>
        <v>0</v>
      </c>
      <c r="P834" s="93">
        <f t="shared" si="160"/>
        <v>0</v>
      </c>
    </row>
    <row r="835" spans="1:16" x14ac:dyDescent="0.3">
      <c r="A835" s="87">
        <v>42856</v>
      </c>
      <c r="B835" s="148"/>
      <c r="C835" s="92">
        <f t="shared" ref="C835:P835" si="161">C31+C133+C233+C333+C433+C735</f>
        <v>7292514.2400000002</v>
      </c>
      <c r="D835" s="92">
        <f t="shared" si="161"/>
        <v>2910919.48</v>
      </c>
      <c r="E835" s="92">
        <f t="shared" si="161"/>
        <v>669145.9800000001</v>
      </c>
      <c r="F835" s="92">
        <f t="shared" si="161"/>
        <v>865613.15000000014</v>
      </c>
      <c r="G835" s="92">
        <f t="shared" si="161"/>
        <v>159977.49</v>
      </c>
      <c r="H835" s="92">
        <f t="shared" si="161"/>
        <v>241532.86000000002</v>
      </c>
      <c r="I835" s="92">
        <f t="shared" si="161"/>
        <v>136024.37999999998</v>
      </c>
      <c r="J835" s="92">
        <f t="shared" si="161"/>
        <v>804196.58</v>
      </c>
      <c r="K835" s="92">
        <f t="shared" si="161"/>
        <v>982999.09</v>
      </c>
      <c r="L835" s="92">
        <f t="shared" si="161"/>
        <v>227452.92</v>
      </c>
      <c r="M835" s="92">
        <f t="shared" si="161"/>
        <v>245136.82000000004</v>
      </c>
      <c r="N835" s="92">
        <f t="shared" si="161"/>
        <v>49515.49</v>
      </c>
      <c r="O835" s="92">
        <f t="shared" si="161"/>
        <v>0</v>
      </c>
      <c r="P835" s="93">
        <f t="shared" si="161"/>
        <v>0</v>
      </c>
    </row>
    <row r="836" spans="1:16" x14ac:dyDescent="0.3">
      <c r="A836" s="87">
        <v>42887</v>
      </c>
      <c r="B836" s="148"/>
      <c r="C836" s="92">
        <f t="shared" ref="C836:P836" si="162">C32+C134+C234+C334+C434+C736</f>
        <v>7237838.6499999994</v>
      </c>
      <c r="D836" s="92">
        <f t="shared" si="162"/>
        <v>2919500.6900000004</v>
      </c>
      <c r="E836" s="92">
        <f t="shared" si="162"/>
        <v>645159.56000000006</v>
      </c>
      <c r="F836" s="92">
        <f t="shared" si="162"/>
        <v>838952.34000000008</v>
      </c>
      <c r="G836" s="92">
        <f t="shared" si="162"/>
        <v>149771.88999999998</v>
      </c>
      <c r="H836" s="92">
        <f t="shared" si="162"/>
        <v>235557.1</v>
      </c>
      <c r="I836" s="92">
        <f t="shared" si="162"/>
        <v>138449.97999999998</v>
      </c>
      <c r="J836" s="92">
        <f t="shared" si="162"/>
        <v>811670.99</v>
      </c>
      <c r="K836" s="92">
        <f t="shared" si="162"/>
        <v>987046.04999999993</v>
      </c>
      <c r="L836" s="92">
        <f t="shared" si="162"/>
        <v>220913.90000000002</v>
      </c>
      <c r="M836" s="92">
        <f t="shared" si="162"/>
        <v>240662.24</v>
      </c>
      <c r="N836" s="92">
        <f t="shared" si="162"/>
        <v>50153.91</v>
      </c>
      <c r="O836" s="92">
        <f t="shared" si="162"/>
        <v>0</v>
      </c>
      <c r="P836" s="93">
        <f t="shared" si="162"/>
        <v>0</v>
      </c>
    </row>
    <row r="837" spans="1:16" x14ac:dyDescent="0.3">
      <c r="A837" s="87">
        <v>42917</v>
      </c>
      <c r="B837" s="148"/>
      <c r="C837" s="92">
        <f t="shared" ref="C837:P837" si="163">C33+C135+C235+C335+C435+C737</f>
        <v>7214764.6500000004</v>
      </c>
      <c r="D837" s="92">
        <f t="shared" si="163"/>
        <v>2944825.8400000003</v>
      </c>
      <c r="E837" s="92">
        <f t="shared" si="163"/>
        <v>639716.69999999995</v>
      </c>
      <c r="F837" s="92">
        <f t="shared" si="163"/>
        <v>841052.77999999991</v>
      </c>
      <c r="G837" s="92">
        <f t="shared" si="163"/>
        <v>144724.09</v>
      </c>
      <c r="H837" s="92">
        <f t="shared" si="163"/>
        <v>234436.44999999998</v>
      </c>
      <c r="I837" s="92">
        <f t="shared" si="163"/>
        <v>131384.13</v>
      </c>
      <c r="J837" s="92">
        <f t="shared" si="163"/>
        <v>762132.21</v>
      </c>
      <c r="K837" s="92">
        <f t="shared" si="163"/>
        <v>1004723.5800000001</v>
      </c>
      <c r="L837" s="92">
        <f t="shared" si="163"/>
        <v>223297.34000000003</v>
      </c>
      <c r="M837" s="92">
        <f t="shared" si="163"/>
        <v>237718.24999999997</v>
      </c>
      <c r="N837" s="92">
        <f t="shared" si="163"/>
        <v>50753.279999999999</v>
      </c>
      <c r="O837" s="92">
        <f t="shared" si="163"/>
        <v>0</v>
      </c>
      <c r="P837" s="93">
        <f t="shared" si="163"/>
        <v>0</v>
      </c>
    </row>
    <row r="838" spans="1:16" x14ac:dyDescent="0.3">
      <c r="A838" s="87">
        <v>42948</v>
      </c>
      <c r="B838" s="148"/>
      <c r="C838" s="92">
        <f t="shared" ref="C838:P838" si="164">C34+C136+C236+C336+C436+C738</f>
        <v>7156196.7599999998</v>
      </c>
      <c r="D838" s="92">
        <f t="shared" si="164"/>
        <v>2998039.3699999996</v>
      </c>
      <c r="E838" s="92">
        <f t="shared" si="164"/>
        <v>612446.2699999999</v>
      </c>
      <c r="F838" s="92">
        <f t="shared" si="164"/>
        <v>827793.10000000009</v>
      </c>
      <c r="G838" s="92">
        <f t="shared" si="164"/>
        <v>144049.31999999998</v>
      </c>
      <c r="H838" s="92">
        <f t="shared" si="164"/>
        <v>234885.24</v>
      </c>
      <c r="I838" s="92">
        <f t="shared" si="164"/>
        <v>141632.96000000002</v>
      </c>
      <c r="J838" s="92">
        <f t="shared" si="164"/>
        <v>680204.36</v>
      </c>
      <c r="K838" s="92">
        <f t="shared" si="164"/>
        <v>1007812.8999999999</v>
      </c>
      <c r="L838" s="92">
        <f t="shared" si="164"/>
        <v>221823.27000000002</v>
      </c>
      <c r="M838" s="92">
        <f t="shared" si="164"/>
        <v>236320.54999999996</v>
      </c>
      <c r="N838" s="92">
        <f t="shared" si="164"/>
        <v>51189.42</v>
      </c>
      <c r="O838" s="92">
        <f t="shared" si="164"/>
        <v>0</v>
      </c>
      <c r="P838" s="93">
        <f t="shared" si="164"/>
        <v>0</v>
      </c>
    </row>
    <row r="839" spans="1:16" x14ac:dyDescent="0.3">
      <c r="A839" s="87">
        <v>42979</v>
      </c>
      <c r="B839" s="148"/>
      <c r="C839" s="92">
        <f t="shared" ref="C839:P839" si="165">C35+C137+C237+C337+C437+C739</f>
        <v>7146307.3899999997</v>
      </c>
      <c r="D839" s="92">
        <f t="shared" si="165"/>
        <v>3038535.9200000004</v>
      </c>
      <c r="E839" s="92">
        <f t="shared" si="165"/>
        <v>588858.69999999995</v>
      </c>
      <c r="F839" s="92">
        <f t="shared" si="165"/>
        <v>809547.45</v>
      </c>
      <c r="G839" s="92">
        <f t="shared" si="165"/>
        <v>140126.34</v>
      </c>
      <c r="H839" s="92">
        <f t="shared" si="165"/>
        <v>242605.38</v>
      </c>
      <c r="I839" s="92">
        <f t="shared" si="165"/>
        <v>142033.03</v>
      </c>
      <c r="J839" s="92">
        <f t="shared" si="165"/>
        <v>651600.65</v>
      </c>
      <c r="K839" s="92">
        <f t="shared" si="165"/>
        <v>1015843.8300000001</v>
      </c>
      <c r="L839" s="92">
        <f t="shared" si="165"/>
        <v>218622.19999999998</v>
      </c>
      <c r="M839" s="92">
        <f t="shared" si="165"/>
        <v>245789.47</v>
      </c>
      <c r="N839" s="92">
        <f t="shared" si="165"/>
        <v>52744.420000000013</v>
      </c>
      <c r="O839" s="92">
        <f t="shared" si="165"/>
        <v>0</v>
      </c>
      <c r="P839" s="93">
        <f t="shared" si="165"/>
        <v>0</v>
      </c>
    </row>
    <row r="840" spans="1:16" x14ac:dyDescent="0.3">
      <c r="A840" s="87">
        <v>43009</v>
      </c>
      <c r="B840" s="148"/>
      <c r="C840" s="92">
        <f t="shared" ref="C840:P840" si="166">C36+C138+C238+C338+C438+C740</f>
        <v>7261568.330000001</v>
      </c>
      <c r="D840" s="92">
        <f t="shared" si="166"/>
        <v>3077633.2100000004</v>
      </c>
      <c r="E840" s="92">
        <f t="shared" si="166"/>
        <v>597240.15</v>
      </c>
      <c r="F840" s="92">
        <f t="shared" si="166"/>
        <v>814316.8400000002</v>
      </c>
      <c r="G840" s="92">
        <f t="shared" si="166"/>
        <v>143905.88999999998</v>
      </c>
      <c r="H840" s="92">
        <f t="shared" si="166"/>
        <v>233720.03</v>
      </c>
      <c r="I840" s="92">
        <f t="shared" si="166"/>
        <v>160844.40999999997</v>
      </c>
      <c r="J840" s="92">
        <f t="shared" si="166"/>
        <v>683637.63</v>
      </c>
      <c r="K840" s="92">
        <f t="shared" si="166"/>
        <v>1026697.1500000001</v>
      </c>
      <c r="L840" s="92">
        <f t="shared" si="166"/>
        <v>225174.86000000004</v>
      </c>
      <c r="M840" s="92">
        <f t="shared" si="166"/>
        <v>246944.52999999997</v>
      </c>
      <c r="N840" s="92">
        <f t="shared" si="166"/>
        <v>51453.630000000005</v>
      </c>
      <c r="O840" s="92">
        <f t="shared" si="166"/>
        <v>0</v>
      </c>
      <c r="P840" s="93">
        <f t="shared" si="166"/>
        <v>0</v>
      </c>
    </row>
    <row r="841" spans="1:16" x14ac:dyDescent="0.3">
      <c r="A841" s="87">
        <v>43040</v>
      </c>
      <c r="B841" s="148"/>
      <c r="C841" s="92">
        <f t="shared" ref="C841:P841" si="167">C37+C139+C239+C339+C439+C741</f>
        <v>7395694.9399999995</v>
      </c>
      <c r="D841" s="92">
        <f t="shared" si="167"/>
        <v>3097058.88</v>
      </c>
      <c r="E841" s="92">
        <f t="shared" si="167"/>
        <v>587482.52</v>
      </c>
      <c r="F841" s="92">
        <f t="shared" si="167"/>
        <v>804008.89</v>
      </c>
      <c r="G841" s="92">
        <f t="shared" si="167"/>
        <v>150308.29</v>
      </c>
      <c r="H841" s="92">
        <f t="shared" si="167"/>
        <v>224963.86000000004</v>
      </c>
      <c r="I841" s="92">
        <f t="shared" si="167"/>
        <v>165097.94</v>
      </c>
      <c r="J841" s="92">
        <f t="shared" si="167"/>
        <v>820278.17999999993</v>
      </c>
      <c r="K841" s="92">
        <f t="shared" si="167"/>
        <v>1032011.77</v>
      </c>
      <c r="L841" s="92">
        <f t="shared" si="167"/>
        <v>215931.51</v>
      </c>
      <c r="M841" s="92">
        <f t="shared" si="167"/>
        <v>245575.72999999998</v>
      </c>
      <c r="N841" s="92">
        <f t="shared" si="167"/>
        <v>52977.37000000001</v>
      </c>
      <c r="O841" s="92">
        <f t="shared" si="167"/>
        <v>0</v>
      </c>
      <c r="P841" s="93">
        <f t="shared" si="167"/>
        <v>0</v>
      </c>
    </row>
    <row r="842" spans="1:16" x14ac:dyDescent="0.3">
      <c r="A842" s="87">
        <v>43070</v>
      </c>
      <c r="B842" s="148"/>
      <c r="C842" s="92">
        <f t="shared" ref="C842:P842" si="168">C38+C140+C240+C340+C440+C742</f>
        <v>7380543.3000000017</v>
      </c>
      <c r="D842" s="92">
        <f t="shared" si="168"/>
        <v>3071123.21</v>
      </c>
      <c r="E842" s="92">
        <f t="shared" si="168"/>
        <v>573526.1</v>
      </c>
      <c r="F842" s="92">
        <f t="shared" si="168"/>
        <v>829688.54</v>
      </c>
      <c r="G842" s="92">
        <f t="shared" si="168"/>
        <v>150841.44999999998</v>
      </c>
      <c r="H842" s="92">
        <f t="shared" si="168"/>
        <v>230332.86000000002</v>
      </c>
      <c r="I842" s="92">
        <f t="shared" si="168"/>
        <v>173063.16</v>
      </c>
      <c r="J842" s="92">
        <f t="shared" si="168"/>
        <v>813033.64999999991</v>
      </c>
      <c r="K842" s="92">
        <f t="shared" si="168"/>
        <v>1026415.2999999999</v>
      </c>
      <c r="L842" s="92">
        <f t="shared" si="168"/>
        <v>219296.73000000004</v>
      </c>
      <c r="M842" s="92">
        <f t="shared" si="168"/>
        <v>239947.88000000003</v>
      </c>
      <c r="N842" s="92">
        <f t="shared" si="168"/>
        <v>53274.420000000006</v>
      </c>
      <c r="O842" s="92">
        <f t="shared" si="168"/>
        <v>0</v>
      </c>
      <c r="P842" s="93">
        <f t="shared" si="168"/>
        <v>0</v>
      </c>
    </row>
    <row r="843" spans="1:16" x14ac:dyDescent="0.3">
      <c r="A843" s="87">
        <v>43101</v>
      </c>
      <c r="B843" s="148"/>
      <c r="C843" s="92">
        <f t="shared" ref="C843:P843" si="169">C39+C141+C241+C341+C441+C743</f>
        <v>7407573.9800000014</v>
      </c>
      <c r="D843" s="92">
        <f t="shared" si="169"/>
        <v>3085636.43</v>
      </c>
      <c r="E843" s="92">
        <f t="shared" si="169"/>
        <v>572220.23</v>
      </c>
      <c r="F843" s="92">
        <f t="shared" si="169"/>
        <v>815392.92999999993</v>
      </c>
      <c r="G843" s="92">
        <f t="shared" si="169"/>
        <v>150895.03000000003</v>
      </c>
      <c r="H843" s="92">
        <f t="shared" si="169"/>
        <v>239802.63</v>
      </c>
      <c r="I843" s="92">
        <f t="shared" si="169"/>
        <v>177317.78</v>
      </c>
      <c r="J843" s="92">
        <f t="shared" si="169"/>
        <v>806604.93</v>
      </c>
      <c r="K843" s="92">
        <f t="shared" si="169"/>
        <v>1055232.3999999999</v>
      </c>
      <c r="L843" s="92">
        <f t="shared" si="169"/>
        <v>226133.25000000003</v>
      </c>
      <c r="M843" s="92">
        <f t="shared" si="169"/>
        <v>230967.22000000003</v>
      </c>
      <c r="N843" s="92">
        <f t="shared" si="169"/>
        <v>44768.62</v>
      </c>
      <c r="O843" s="92">
        <f t="shared" si="169"/>
        <v>0</v>
      </c>
      <c r="P843" s="93">
        <f t="shared" si="169"/>
        <v>2602.5299999999997</v>
      </c>
    </row>
    <row r="844" spans="1:16" x14ac:dyDescent="0.3">
      <c r="A844" s="87">
        <v>43132</v>
      </c>
      <c r="B844" s="143"/>
      <c r="C844" s="92">
        <f t="shared" ref="C844:P844" si="170">C40+C142+C242+C342+C442+C744</f>
        <v>7367258.2000000002</v>
      </c>
      <c r="D844" s="92">
        <f t="shared" si="170"/>
        <v>3098261.6100000003</v>
      </c>
      <c r="E844" s="92">
        <f t="shared" si="170"/>
        <v>545502.92000000004</v>
      </c>
      <c r="F844" s="92">
        <f t="shared" si="170"/>
        <v>822936.58999999985</v>
      </c>
      <c r="G844" s="92">
        <f t="shared" si="170"/>
        <v>154927.66</v>
      </c>
      <c r="H844" s="92">
        <f t="shared" si="170"/>
        <v>258320.71</v>
      </c>
      <c r="I844" s="92">
        <f t="shared" si="170"/>
        <v>179481.12</v>
      </c>
      <c r="J844" s="92">
        <f t="shared" si="170"/>
        <v>748513.07000000007</v>
      </c>
      <c r="K844" s="92">
        <f t="shared" si="170"/>
        <v>1059063.02</v>
      </c>
      <c r="L844" s="92">
        <f t="shared" si="170"/>
        <v>222905.13999999998</v>
      </c>
      <c r="M844" s="92">
        <f t="shared" si="170"/>
        <v>222880.66000000003</v>
      </c>
      <c r="N844" s="92">
        <f t="shared" si="170"/>
        <v>46974.729999999996</v>
      </c>
      <c r="O844" s="92">
        <f t="shared" si="170"/>
        <v>0</v>
      </c>
      <c r="P844" s="93">
        <f t="shared" si="170"/>
        <v>7490.9699999999993</v>
      </c>
    </row>
    <row r="845" spans="1:16" x14ac:dyDescent="0.3">
      <c r="A845" s="87">
        <v>43160</v>
      </c>
      <c r="B845" s="143"/>
      <c r="C845" s="92">
        <f t="shared" ref="C845:P845" si="171">C41+C143+C243+C343+C443+C745</f>
        <v>7420514.5499999998</v>
      </c>
      <c r="D845" s="92">
        <f t="shared" si="171"/>
        <v>3085538.19</v>
      </c>
      <c r="E845" s="92">
        <f t="shared" si="171"/>
        <v>539796.51</v>
      </c>
      <c r="F845" s="92">
        <f t="shared" si="171"/>
        <v>800465.65</v>
      </c>
      <c r="G845" s="92">
        <f t="shared" si="171"/>
        <v>153988.74</v>
      </c>
      <c r="H845" s="92">
        <f t="shared" si="171"/>
        <v>275060.41999999993</v>
      </c>
      <c r="I845" s="92">
        <f t="shared" si="171"/>
        <v>169961.49</v>
      </c>
      <c r="J845" s="92">
        <f t="shared" si="171"/>
        <v>811352.72</v>
      </c>
      <c r="K845" s="92">
        <f t="shared" si="171"/>
        <v>1066587.43</v>
      </c>
      <c r="L845" s="92">
        <f t="shared" si="171"/>
        <v>230175.86000000002</v>
      </c>
      <c r="M845" s="92">
        <f t="shared" si="171"/>
        <v>220212.29</v>
      </c>
      <c r="N845" s="92">
        <f t="shared" si="171"/>
        <v>51991.81</v>
      </c>
      <c r="O845" s="92">
        <f t="shared" si="171"/>
        <v>0</v>
      </c>
      <c r="P845" s="93">
        <f t="shared" si="171"/>
        <v>15383.439999999999</v>
      </c>
    </row>
    <row r="846" spans="1:16" x14ac:dyDescent="0.3">
      <c r="A846" s="87">
        <v>43191</v>
      </c>
      <c r="B846" s="143"/>
      <c r="C846" s="92">
        <f t="shared" ref="C846:P846" si="172">C42+C144+C244+C344+C444+C746</f>
        <v>7511544.2300000004</v>
      </c>
      <c r="D846" s="92">
        <f t="shared" si="172"/>
        <v>3143644.8600000003</v>
      </c>
      <c r="E846" s="92">
        <f t="shared" si="172"/>
        <v>527542.90999999992</v>
      </c>
      <c r="F846" s="92">
        <f t="shared" si="172"/>
        <v>816757.54</v>
      </c>
      <c r="G846" s="92">
        <f t="shared" si="172"/>
        <v>164031.25999999998</v>
      </c>
      <c r="H846" s="92">
        <f t="shared" si="172"/>
        <v>279353.51999999996</v>
      </c>
      <c r="I846" s="92">
        <f t="shared" si="172"/>
        <v>170847.44</v>
      </c>
      <c r="J846" s="92">
        <f t="shared" si="172"/>
        <v>794340.72</v>
      </c>
      <c r="K846" s="92">
        <f t="shared" si="172"/>
        <v>1070749.5100000002</v>
      </c>
      <c r="L846" s="92">
        <f t="shared" si="172"/>
        <v>252074.98</v>
      </c>
      <c r="M846" s="92">
        <f t="shared" si="172"/>
        <v>218878.83000000002</v>
      </c>
      <c r="N846" s="92">
        <f t="shared" si="172"/>
        <v>52035.999999999993</v>
      </c>
      <c r="O846" s="92">
        <f t="shared" si="172"/>
        <v>0</v>
      </c>
      <c r="P846" s="93">
        <f t="shared" si="172"/>
        <v>21286.660000000003</v>
      </c>
    </row>
    <row r="847" spans="1:16" x14ac:dyDescent="0.3">
      <c r="A847" s="87">
        <v>43221</v>
      </c>
      <c r="B847" s="143"/>
      <c r="C847" s="92">
        <f t="shared" ref="C847:P847" si="173">C43+C145+C245+C345+C445+C747</f>
        <v>7465302.7999999998</v>
      </c>
      <c r="D847" s="92">
        <f t="shared" si="173"/>
        <v>3090340.1999999997</v>
      </c>
      <c r="E847" s="92">
        <f t="shared" si="173"/>
        <v>535531.24</v>
      </c>
      <c r="F847" s="92">
        <f t="shared" si="173"/>
        <v>814145.21</v>
      </c>
      <c r="G847" s="92">
        <f t="shared" si="173"/>
        <v>165568.5</v>
      </c>
      <c r="H847" s="92">
        <f t="shared" si="173"/>
        <v>272020.3</v>
      </c>
      <c r="I847" s="92">
        <f t="shared" si="173"/>
        <v>164928.61999999997</v>
      </c>
      <c r="J847" s="92">
        <f t="shared" si="173"/>
        <v>821086.46</v>
      </c>
      <c r="K847" s="92">
        <f t="shared" si="173"/>
        <v>1049771.76</v>
      </c>
      <c r="L847" s="92">
        <f t="shared" si="173"/>
        <v>262108.04</v>
      </c>
      <c r="M847" s="92">
        <f t="shared" si="173"/>
        <v>212811.52000000005</v>
      </c>
      <c r="N847" s="92">
        <f t="shared" si="173"/>
        <v>49797.119999999995</v>
      </c>
      <c r="O847" s="92">
        <f t="shared" si="173"/>
        <v>0</v>
      </c>
      <c r="P847" s="93">
        <f t="shared" si="173"/>
        <v>27193.829999999998</v>
      </c>
    </row>
    <row r="848" spans="1:16" x14ac:dyDescent="0.3">
      <c r="A848" s="87">
        <v>43252</v>
      </c>
      <c r="B848" s="143"/>
      <c r="C848" s="92">
        <f t="shared" ref="C848:P848" si="174">C44+C146+C246+C346+C446+C748</f>
        <v>7527745.0440000007</v>
      </c>
      <c r="D848" s="92">
        <f t="shared" si="174"/>
        <v>3122166.71</v>
      </c>
      <c r="E848" s="92">
        <f t="shared" si="174"/>
        <v>562301.1100000001</v>
      </c>
      <c r="F848" s="92">
        <f t="shared" si="174"/>
        <v>814745.0639999999</v>
      </c>
      <c r="G848" s="92">
        <f t="shared" si="174"/>
        <v>176687.44000000003</v>
      </c>
      <c r="H848" s="92">
        <f t="shared" si="174"/>
        <v>292174.52999999997</v>
      </c>
      <c r="I848" s="92">
        <f t="shared" si="174"/>
        <v>171522.61000000002</v>
      </c>
      <c r="J848" s="92">
        <f t="shared" si="174"/>
        <v>773124.53</v>
      </c>
      <c r="K848" s="92">
        <f t="shared" si="174"/>
        <v>1047087.42</v>
      </c>
      <c r="L848" s="92">
        <f t="shared" si="174"/>
        <v>269427.12</v>
      </c>
      <c r="M848" s="92">
        <f t="shared" si="174"/>
        <v>209668.17</v>
      </c>
      <c r="N848" s="92">
        <f t="shared" si="174"/>
        <v>54732.79</v>
      </c>
      <c r="O848" s="92">
        <f t="shared" si="174"/>
        <v>0</v>
      </c>
      <c r="P848" s="93">
        <f t="shared" si="174"/>
        <v>34107.550000000003</v>
      </c>
    </row>
    <row r="849" spans="1:16" x14ac:dyDescent="0.3">
      <c r="A849" s="87">
        <v>43282</v>
      </c>
      <c r="B849" s="143"/>
      <c r="C849" s="92">
        <f t="shared" ref="C849:P849" si="175">C45+C147+C247+C347+C447+C749</f>
        <v>7624486.5940000005</v>
      </c>
      <c r="D849" s="92">
        <f t="shared" si="175"/>
        <v>3136508.2199999997</v>
      </c>
      <c r="E849" s="92">
        <f t="shared" si="175"/>
        <v>539494.01</v>
      </c>
      <c r="F849" s="92">
        <f t="shared" si="175"/>
        <v>811928.924</v>
      </c>
      <c r="G849" s="92">
        <f t="shared" si="175"/>
        <v>184987.02</v>
      </c>
      <c r="H849" s="92">
        <f t="shared" si="175"/>
        <v>330901.44</v>
      </c>
      <c r="I849" s="92">
        <f t="shared" si="175"/>
        <v>174130.00999999998</v>
      </c>
      <c r="J849" s="92">
        <f t="shared" si="175"/>
        <v>795121.05</v>
      </c>
      <c r="K849" s="92">
        <f t="shared" si="175"/>
        <v>1057210.05</v>
      </c>
      <c r="L849" s="92">
        <f t="shared" si="175"/>
        <v>280247.67</v>
      </c>
      <c r="M849" s="92">
        <f t="shared" si="175"/>
        <v>202856.82</v>
      </c>
      <c r="N849" s="92">
        <f t="shared" si="175"/>
        <v>65530.64</v>
      </c>
      <c r="O849" s="92">
        <f t="shared" si="175"/>
        <v>0</v>
      </c>
      <c r="P849" s="93">
        <f t="shared" si="175"/>
        <v>45570.74</v>
      </c>
    </row>
    <row r="850" spans="1:16" x14ac:dyDescent="0.3">
      <c r="A850" s="87">
        <v>43313</v>
      </c>
      <c r="B850" s="143"/>
      <c r="C850" s="92">
        <f t="shared" ref="C850:P850" si="176">C46+C148+C248+C348+C448+C750</f>
        <v>7668196.1639999999</v>
      </c>
      <c r="D850" s="92">
        <f t="shared" si="176"/>
        <v>3093134.24</v>
      </c>
      <c r="E850" s="92">
        <f t="shared" si="176"/>
        <v>563069.11</v>
      </c>
      <c r="F850" s="92">
        <f t="shared" si="176"/>
        <v>812963.66399999999</v>
      </c>
      <c r="G850" s="92">
        <f t="shared" si="176"/>
        <v>188108.02</v>
      </c>
      <c r="H850" s="92">
        <f t="shared" si="176"/>
        <v>335326.31</v>
      </c>
      <c r="I850" s="92">
        <f t="shared" si="176"/>
        <v>170795.51</v>
      </c>
      <c r="J850" s="92">
        <f t="shared" si="176"/>
        <v>814874.31</v>
      </c>
      <c r="K850" s="92">
        <f t="shared" si="176"/>
        <v>1073220.1100000001</v>
      </c>
      <c r="L850" s="92">
        <f t="shared" si="176"/>
        <v>291498.58</v>
      </c>
      <c r="M850" s="92">
        <f t="shared" si="176"/>
        <v>208022.47</v>
      </c>
      <c r="N850" s="92">
        <f t="shared" si="176"/>
        <v>69010.34</v>
      </c>
      <c r="O850" s="92">
        <f t="shared" si="176"/>
        <v>0</v>
      </c>
      <c r="P850" s="93">
        <f t="shared" si="176"/>
        <v>48173.5</v>
      </c>
    </row>
    <row r="851" spans="1:16" x14ac:dyDescent="0.3">
      <c r="A851" s="87">
        <v>43344</v>
      </c>
      <c r="B851" s="143"/>
      <c r="C851" s="92">
        <f t="shared" ref="C851:P851" si="177">C47+C149+C249+C349+C449+C751</f>
        <v>7595368.9440000001</v>
      </c>
      <c r="D851" s="92">
        <f t="shared" si="177"/>
        <v>3011892.9800000009</v>
      </c>
      <c r="E851" s="92">
        <f t="shared" si="177"/>
        <v>561697.79</v>
      </c>
      <c r="F851" s="92">
        <f t="shared" si="177"/>
        <v>828251.48399999994</v>
      </c>
      <c r="G851" s="92">
        <f t="shared" si="177"/>
        <v>192183.3</v>
      </c>
      <c r="H851" s="92">
        <f t="shared" si="177"/>
        <v>344820.7</v>
      </c>
      <c r="I851" s="92">
        <f t="shared" si="177"/>
        <v>167870.74000000002</v>
      </c>
      <c r="J851" s="92">
        <f t="shared" si="177"/>
        <v>802469.48</v>
      </c>
      <c r="K851" s="92">
        <f t="shared" si="177"/>
        <v>1074734.58</v>
      </c>
      <c r="L851" s="92">
        <f t="shared" si="177"/>
        <v>290812.71000000002</v>
      </c>
      <c r="M851" s="92">
        <f t="shared" si="177"/>
        <v>197109.80000000002</v>
      </c>
      <c r="N851" s="92">
        <f t="shared" si="177"/>
        <v>71059.680000000008</v>
      </c>
      <c r="O851" s="92">
        <f t="shared" si="177"/>
        <v>0</v>
      </c>
      <c r="P851" s="93">
        <f t="shared" si="177"/>
        <v>52465.700000000004</v>
      </c>
    </row>
    <row r="852" spans="1:16" x14ac:dyDescent="0.3">
      <c r="A852" s="87">
        <v>43374</v>
      </c>
      <c r="B852" s="143"/>
      <c r="C852" s="92">
        <f t="shared" ref="C852:P852" si="178">C48+C150+C250+C350+C450+C752</f>
        <v>7580647.8640000001</v>
      </c>
      <c r="D852" s="92">
        <f t="shared" si="178"/>
        <v>2929878.5000000005</v>
      </c>
      <c r="E852" s="92">
        <f t="shared" si="178"/>
        <v>551334.61</v>
      </c>
      <c r="F852" s="92">
        <f t="shared" si="178"/>
        <v>814159.70400000003</v>
      </c>
      <c r="G852" s="92">
        <f t="shared" si="178"/>
        <v>194910.74000000002</v>
      </c>
      <c r="H852" s="92">
        <f t="shared" si="178"/>
        <v>372889.88999999996</v>
      </c>
      <c r="I852" s="92">
        <f t="shared" si="178"/>
        <v>171055.06</v>
      </c>
      <c r="J852" s="92">
        <f t="shared" si="178"/>
        <v>823455.2</v>
      </c>
      <c r="K852" s="92">
        <f t="shared" si="178"/>
        <v>1081178.9400000002</v>
      </c>
      <c r="L852" s="92">
        <f t="shared" si="178"/>
        <v>297936.21000000002</v>
      </c>
      <c r="M852" s="92">
        <f t="shared" si="178"/>
        <v>203643.09999999998</v>
      </c>
      <c r="N852" s="92">
        <f t="shared" si="178"/>
        <v>70374.27</v>
      </c>
      <c r="O852" s="92">
        <f t="shared" si="178"/>
        <v>0</v>
      </c>
      <c r="P852" s="93">
        <f t="shared" si="178"/>
        <v>69831.64</v>
      </c>
    </row>
    <row r="853" spans="1:16" x14ac:dyDescent="0.3">
      <c r="A853" s="94">
        <v>43405</v>
      </c>
      <c r="B853" s="143"/>
      <c r="C853" s="92">
        <f t="shared" ref="C853:P853" si="179">C49+C151+C251+C351+C451+C753</f>
        <v>7485787.034</v>
      </c>
      <c r="D853" s="92">
        <f t="shared" si="179"/>
        <v>2863142.5200000005</v>
      </c>
      <c r="E853" s="92">
        <f t="shared" si="179"/>
        <v>564663.29</v>
      </c>
      <c r="F853" s="92">
        <f t="shared" si="179"/>
        <v>799602.37400000019</v>
      </c>
      <c r="G853" s="92">
        <f t="shared" si="179"/>
        <v>175324.78000000003</v>
      </c>
      <c r="H853" s="92">
        <f t="shared" si="179"/>
        <v>376075.92999999993</v>
      </c>
      <c r="I853" s="92">
        <f t="shared" si="179"/>
        <v>242158.06000000003</v>
      </c>
      <c r="J853" s="92">
        <f t="shared" si="179"/>
        <v>673322.73</v>
      </c>
      <c r="K853" s="92">
        <f t="shared" si="179"/>
        <v>1108388.2600000002</v>
      </c>
      <c r="L853" s="92">
        <f t="shared" si="179"/>
        <v>324912.08</v>
      </c>
      <c r="M853" s="92">
        <f t="shared" si="179"/>
        <v>208316.71</v>
      </c>
      <c r="N853" s="92">
        <f t="shared" si="179"/>
        <v>71149.439999999988</v>
      </c>
      <c r="O853" s="92">
        <f t="shared" si="179"/>
        <v>0</v>
      </c>
      <c r="P853" s="93">
        <f t="shared" si="179"/>
        <v>78730.86</v>
      </c>
    </row>
    <row r="854" spans="1:16" x14ac:dyDescent="0.3">
      <c r="A854" s="94">
        <v>43435</v>
      </c>
      <c r="B854" s="143"/>
      <c r="C854" s="92">
        <f t="shared" ref="C854:P854" si="180">C50+C152+C252+C352+C452+C754</f>
        <v>7501302.0240000002</v>
      </c>
      <c r="D854" s="92">
        <f t="shared" si="180"/>
        <v>2876105.27</v>
      </c>
      <c r="E854" s="92">
        <f t="shared" si="180"/>
        <v>553769.21</v>
      </c>
      <c r="F854" s="92">
        <f t="shared" si="180"/>
        <v>761579.47400000005</v>
      </c>
      <c r="G854" s="92">
        <f t="shared" si="180"/>
        <v>180785.93999999997</v>
      </c>
      <c r="H854" s="92">
        <f t="shared" si="180"/>
        <v>368654.41999999993</v>
      </c>
      <c r="I854" s="92">
        <f t="shared" si="180"/>
        <v>233251.32000000004</v>
      </c>
      <c r="J854" s="92">
        <f t="shared" si="180"/>
        <v>696975.78</v>
      </c>
      <c r="K854" s="92">
        <f t="shared" si="180"/>
        <v>1106677.33</v>
      </c>
      <c r="L854" s="92">
        <f t="shared" si="180"/>
        <v>346598.85999999993</v>
      </c>
      <c r="M854" s="92">
        <f t="shared" si="180"/>
        <v>210033.48</v>
      </c>
      <c r="N854" s="92">
        <f t="shared" si="180"/>
        <v>69355.649999999994</v>
      </c>
      <c r="O854" s="92">
        <f t="shared" si="180"/>
        <v>0</v>
      </c>
      <c r="P854" s="93">
        <f t="shared" si="180"/>
        <v>97515.290000000008</v>
      </c>
    </row>
    <row r="855" spans="1:16" x14ac:dyDescent="0.3">
      <c r="A855" s="94">
        <v>43466</v>
      </c>
      <c r="B855" s="143"/>
      <c r="C855" s="92">
        <f t="shared" ref="C855:P855" si="181">C51+C153+C253+C353+C453+C755</f>
        <v>7506909.7640000004</v>
      </c>
      <c r="D855" s="92">
        <f t="shared" si="181"/>
        <v>2851296.48</v>
      </c>
      <c r="E855" s="92">
        <f t="shared" si="181"/>
        <v>557339.37</v>
      </c>
      <c r="F855" s="92">
        <f t="shared" si="181"/>
        <v>757446.08399999992</v>
      </c>
      <c r="G855" s="92">
        <f t="shared" si="181"/>
        <v>181196.62000000002</v>
      </c>
      <c r="H855" s="92">
        <f t="shared" si="181"/>
        <v>365496.87999999995</v>
      </c>
      <c r="I855" s="92">
        <f t="shared" si="181"/>
        <v>233037.82</v>
      </c>
      <c r="J855" s="92">
        <f t="shared" si="181"/>
        <v>716160.87</v>
      </c>
      <c r="K855" s="92">
        <f t="shared" si="181"/>
        <v>1098858</v>
      </c>
      <c r="L855" s="92">
        <f t="shared" si="181"/>
        <v>359959.98</v>
      </c>
      <c r="M855" s="92">
        <f t="shared" si="181"/>
        <v>214944.28999999995</v>
      </c>
      <c r="N855" s="92">
        <f t="shared" si="181"/>
        <v>70492.03</v>
      </c>
      <c r="O855" s="92">
        <f t="shared" si="181"/>
        <v>2129.2799999999997</v>
      </c>
      <c r="P855" s="93">
        <f t="shared" si="181"/>
        <v>98552.06</v>
      </c>
    </row>
    <row r="856" spans="1:16" x14ac:dyDescent="0.3">
      <c r="A856" s="94">
        <v>43497</v>
      </c>
      <c r="B856" s="143"/>
      <c r="C856" s="92">
        <f t="shared" ref="C856:P856" si="182">C52+C154+C254+C354+C454+C756</f>
        <v>7565046.3339999989</v>
      </c>
      <c r="D856" s="92">
        <f t="shared" si="182"/>
        <v>2884689.4899999998</v>
      </c>
      <c r="E856" s="92">
        <f t="shared" si="182"/>
        <v>555526.89999999991</v>
      </c>
      <c r="F856" s="92">
        <f t="shared" si="182"/>
        <v>756882.66399999999</v>
      </c>
      <c r="G856" s="92">
        <f t="shared" si="182"/>
        <v>174511.07</v>
      </c>
      <c r="H856" s="92">
        <f t="shared" si="182"/>
        <v>355781.62</v>
      </c>
      <c r="I856" s="92">
        <f t="shared" si="182"/>
        <v>234386.84000000003</v>
      </c>
      <c r="J856" s="92">
        <f t="shared" si="182"/>
        <v>709846.19</v>
      </c>
      <c r="K856" s="92">
        <f t="shared" si="182"/>
        <v>1122776.06</v>
      </c>
      <c r="L856" s="92">
        <f t="shared" si="182"/>
        <v>371506.29999999993</v>
      </c>
      <c r="M856" s="92">
        <f t="shared" si="182"/>
        <v>227017.44</v>
      </c>
      <c r="N856" s="92">
        <f t="shared" si="182"/>
        <v>69713.73000000001</v>
      </c>
      <c r="O856" s="92">
        <f t="shared" si="182"/>
        <v>5719.57</v>
      </c>
      <c r="P856" s="93">
        <f t="shared" si="182"/>
        <v>96688.459999999992</v>
      </c>
    </row>
    <row r="857" spans="1:16" x14ac:dyDescent="0.3">
      <c r="A857" s="94">
        <v>43525</v>
      </c>
      <c r="B857" s="143"/>
      <c r="C857" s="92">
        <f t="shared" ref="C857:P857" si="183">C53+C155+C255+C355+C455+C757</f>
        <v>7442348.074</v>
      </c>
      <c r="D857" s="92">
        <f t="shared" si="183"/>
        <v>2860060.6999999997</v>
      </c>
      <c r="E857" s="92">
        <f t="shared" si="183"/>
        <v>552637.87</v>
      </c>
      <c r="F857" s="92">
        <f t="shared" si="183"/>
        <v>738437.174</v>
      </c>
      <c r="G857" s="92">
        <f t="shared" si="183"/>
        <v>172845.26</v>
      </c>
      <c r="H857" s="92">
        <f t="shared" si="183"/>
        <v>335712.82999999996</v>
      </c>
      <c r="I857" s="92">
        <f t="shared" si="183"/>
        <v>227850.33</v>
      </c>
      <c r="J857" s="92">
        <f t="shared" si="183"/>
        <v>661754.3600000001</v>
      </c>
      <c r="K857" s="92">
        <f t="shared" si="183"/>
        <v>1120174.81</v>
      </c>
      <c r="L857" s="92">
        <f t="shared" si="183"/>
        <v>366212.25</v>
      </c>
      <c r="M857" s="92">
        <f t="shared" si="183"/>
        <v>232803.57999999996</v>
      </c>
      <c r="N857" s="92">
        <f t="shared" si="183"/>
        <v>65777.89</v>
      </c>
      <c r="O857" s="92">
        <f t="shared" si="183"/>
        <v>12191.480000000001</v>
      </c>
      <c r="P857" s="93">
        <f t="shared" si="183"/>
        <v>95889.54</v>
      </c>
    </row>
    <row r="858" spans="1:16" x14ac:dyDescent="0.3">
      <c r="A858" s="94">
        <v>43556</v>
      </c>
      <c r="B858" s="143"/>
      <c r="C858" s="92">
        <f t="shared" ref="C858:P858" si="184">C54+C156+C256+C356+C456+C758</f>
        <v>7388836.1639999999</v>
      </c>
      <c r="D858" s="92">
        <f t="shared" si="184"/>
        <v>2806530.5800000005</v>
      </c>
      <c r="E858" s="92">
        <f t="shared" si="184"/>
        <v>572046.65999999992</v>
      </c>
      <c r="F858" s="92">
        <f t="shared" si="184"/>
        <v>719008.32399999991</v>
      </c>
      <c r="G858" s="92">
        <f t="shared" si="184"/>
        <v>162691.54000000004</v>
      </c>
      <c r="H858" s="92">
        <f t="shared" si="184"/>
        <v>337945.61000000004</v>
      </c>
      <c r="I858" s="92">
        <f t="shared" si="184"/>
        <v>233547.56000000006</v>
      </c>
      <c r="J858" s="92">
        <f t="shared" si="184"/>
        <v>641534.05000000005</v>
      </c>
      <c r="K858" s="92">
        <f t="shared" si="184"/>
        <v>1134764.5599999998</v>
      </c>
      <c r="L858" s="92">
        <f t="shared" si="184"/>
        <v>359432.08</v>
      </c>
      <c r="M858" s="92">
        <f t="shared" si="184"/>
        <v>241182.71</v>
      </c>
      <c r="N858" s="92">
        <f t="shared" si="184"/>
        <v>66635.42</v>
      </c>
      <c r="O858" s="92">
        <f t="shared" si="184"/>
        <v>17906.120000000003</v>
      </c>
      <c r="P858" s="93">
        <f t="shared" si="184"/>
        <v>95610.95</v>
      </c>
    </row>
    <row r="859" spans="1:16" x14ac:dyDescent="0.3">
      <c r="A859" s="94">
        <v>43586</v>
      </c>
      <c r="B859" s="143"/>
      <c r="C859" s="92">
        <f t="shared" ref="C859:P859" si="185">C55+C157+C257+C357+C457+C759</f>
        <v>7386017.1840000004</v>
      </c>
      <c r="D859" s="92">
        <f t="shared" si="185"/>
        <v>2822155.79</v>
      </c>
      <c r="E859" s="92">
        <f t="shared" si="185"/>
        <v>545390.6399999999</v>
      </c>
      <c r="F859" s="92">
        <f t="shared" si="185"/>
        <v>697470.93400000001</v>
      </c>
      <c r="G859" s="92">
        <f t="shared" si="185"/>
        <v>156774.07</v>
      </c>
      <c r="H859" s="92">
        <f t="shared" si="185"/>
        <v>333843.86</v>
      </c>
      <c r="I859" s="92">
        <f t="shared" si="185"/>
        <v>247310.73</v>
      </c>
      <c r="J859" s="92">
        <f t="shared" si="185"/>
        <v>640602.52</v>
      </c>
      <c r="K859" s="92">
        <f t="shared" si="185"/>
        <v>1137105.3199999998</v>
      </c>
      <c r="L859" s="92">
        <f t="shared" si="185"/>
        <v>356967.04</v>
      </c>
      <c r="M859" s="92">
        <f t="shared" si="185"/>
        <v>255237.86</v>
      </c>
      <c r="N859" s="92">
        <f t="shared" si="185"/>
        <v>61946.39</v>
      </c>
      <c r="O859" s="92">
        <f t="shared" si="185"/>
        <v>28679.91</v>
      </c>
      <c r="P859" s="93">
        <f t="shared" si="185"/>
        <v>102532.12000000001</v>
      </c>
    </row>
    <row r="860" spans="1:16" x14ac:dyDescent="0.3">
      <c r="A860" s="94">
        <v>43617</v>
      </c>
      <c r="B860" s="143"/>
      <c r="C860" s="92">
        <f t="shared" ref="C860:P860" si="186">C56+C158+C258+C358+C458+C760</f>
        <v>7290835.6499999985</v>
      </c>
      <c r="D860" s="92">
        <f t="shared" si="186"/>
        <v>2758687.4700000007</v>
      </c>
      <c r="E860" s="92">
        <f t="shared" si="186"/>
        <v>500862.55000000005</v>
      </c>
      <c r="F860" s="92">
        <f t="shared" si="186"/>
        <v>695058.7899999998</v>
      </c>
      <c r="G860" s="92">
        <f t="shared" si="186"/>
        <v>141405.41999999998</v>
      </c>
      <c r="H860" s="92">
        <f t="shared" si="186"/>
        <v>319424.57000000007</v>
      </c>
      <c r="I860" s="92">
        <f t="shared" si="186"/>
        <v>245938.50000000006</v>
      </c>
      <c r="J860" s="92">
        <f t="shared" si="186"/>
        <v>661019.77</v>
      </c>
      <c r="K860" s="92">
        <f t="shared" si="186"/>
        <v>1143942.67</v>
      </c>
      <c r="L860" s="92">
        <f t="shared" si="186"/>
        <v>366214.47</v>
      </c>
      <c r="M860" s="92">
        <f t="shared" si="186"/>
        <v>268430.46999999991</v>
      </c>
      <c r="N860" s="92">
        <f t="shared" si="186"/>
        <v>54035.64</v>
      </c>
      <c r="O860" s="92">
        <f t="shared" si="186"/>
        <v>31224.530000000002</v>
      </c>
      <c r="P860" s="93">
        <f t="shared" si="186"/>
        <v>104590.8</v>
      </c>
    </row>
    <row r="861" spans="1:16" x14ac:dyDescent="0.3">
      <c r="A861" s="94">
        <v>43647</v>
      </c>
      <c r="B861" s="143"/>
      <c r="C861" s="92">
        <f t="shared" ref="C861:P861" si="187">C57+C159+C259+C359+C459+C761</f>
        <v>7220765.9399999995</v>
      </c>
      <c r="D861" s="92">
        <f t="shared" si="187"/>
        <v>2746908.2199999997</v>
      </c>
      <c r="E861" s="92">
        <f t="shared" si="187"/>
        <v>485587.89999999997</v>
      </c>
      <c r="F861" s="92">
        <f t="shared" si="187"/>
        <v>704039.58999999985</v>
      </c>
      <c r="G861" s="92">
        <f t="shared" si="187"/>
        <v>132931.32</v>
      </c>
      <c r="H861" s="92">
        <f t="shared" si="187"/>
        <v>302526.76999999996</v>
      </c>
      <c r="I861" s="92">
        <f t="shared" si="187"/>
        <v>239899.32</v>
      </c>
      <c r="J861" s="92">
        <f t="shared" si="187"/>
        <v>658590.42999999993</v>
      </c>
      <c r="K861" s="92">
        <f t="shared" si="187"/>
        <v>1136380.58</v>
      </c>
      <c r="L861" s="92">
        <f t="shared" si="187"/>
        <v>359988.97</v>
      </c>
      <c r="M861" s="92">
        <f t="shared" si="187"/>
        <v>278163.84999999998</v>
      </c>
      <c r="N861" s="92">
        <f t="shared" si="187"/>
        <v>45210.26999999999</v>
      </c>
      <c r="O861" s="92">
        <f t="shared" si="187"/>
        <v>34247.58</v>
      </c>
      <c r="P861" s="93">
        <f t="shared" si="187"/>
        <v>96291.14</v>
      </c>
    </row>
    <row r="862" spans="1:16" x14ac:dyDescent="0.3">
      <c r="A862" s="94">
        <v>43678</v>
      </c>
      <c r="B862" s="143"/>
      <c r="C862" s="92">
        <f t="shared" ref="C862:P862" si="188">C58+C160+C260+C360+C460+C762</f>
        <v>7233282.3800000008</v>
      </c>
      <c r="D862" s="92">
        <f t="shared" si="188"/>
        <v>2761749.9399999995</v>
      </c>
      <c r="E862" s="92">
        <f t="shared" si="188"/>
        <v>464244.74999999994</v>
      </c>
      <c r="F862" s="92">
        <f t="shared" si="188"/>
        <v>703600.33</v>
      </c>
      <c r="G862" s="92">
        <f t="shared" si="188"/>
        <v>125932.22</v>
      </c>
      <c r="H862" s="92">
        <f t="shared" si="188"/>
        <v>315998.37</v>
      </c>
      <c r="I862" s="92">
        <f t="shared" si="188"/>
        <v>248324.82</v>
      </c>
      <c r="J862" s="92">
        <f t="shared" si="188"/>
        <v>653733.44999999995</v>
      </c>
      <c r="K862" s="92">
        <f t="shared" si="188"/>
        <v>1123980.94</v>
      </c>
      <c r="L862" s="92">
        <f t="shared" si="188"/>
        <v>378024.84999999992</v>
      </c>
      <c r="M862" s="92">
        <f t="shared" si="188"/>
        <v>276194.11</v>
      </c>
      <c r="N862" s="92">
        <f t="shared" si="188"/>
        <v>42064.429999999993</v>
      </c>
      <c r="O862" s="92">
        <f t="shared" si="188"/>
        <v>42643.9</v>
      </c>
      <c r="P862" s="93">
        <f t="shared" si="188"/>
        <v>96790.26999999999</v>
      </c>
    </row>
    <row r="863" spans="1:16" x14ac:dyDescent="0.3">
      <c r="A863" s="94">
        <v>43709</v>
      </c>
      <c r="B863" s="143"/>
      <c r="C863" s="92">
        <f t="shared" ref="C863:P863" si="189">C59+C161+C261+C361+C461+C763</f>
        <v>7327187</v>
      </c>
      <c r="D863" s="92">
        <f t="shared" si="189"/>
        <v>2788862.91</v>
      </c>
      <c r="E863" s="92">
        <f t="shared" si="189"/>
        <v>460891.89</v>
      </c>
      <c r="F863" s="92">
        <f t="shared" si="189"/>
        <v>711164.62000000023</v>
      </c>
      <c r="G863" s="92">
        <f t="shared" si="189"/>
        <v>116097.77</v>
      </c>
      <c r="H863" s="92">
        <f t="shared" si="189"/>
        <v>325280.08999999997</v>
      </c>
      <c r="I863" s="92">
        <f t="shared" si="189"/>
        <v>252206.62999999998</v>
      </c>
      <c r="J863" s="92">
        <f t="shared" si="189"/>
        <v>663031.10000000009</v>
      </c>
      <c r="K863" s="92">
        <f t="shared" si="189"/>
        <v>1142210.79</v>
      </c>
      <c r="L863" s="92">
        <f t="shared" si="189"/>
        <v>402595.94999999995</v>
      </c>
      <c r="M863" s="92">
        <f t="shared" si="189"/>
        <v>280418.12999999995</v>
      </c>
      <c r="N863" s="92">
        <f t="shared" si="189"/>
        <v>37868.549999999996</v>
      </c>
      <c r="O863" s="92">
        <f t="shared" si="189"/>
        <v>48232.97</v>
      </c>
      <c r="P863" s="93">
        <f t="shared" si="189"/>
        <v>98325.599999999991</v>
      </c>
    </row>
    <row r="864" spans="1:16" x14ac:dyDescent="0.3">
      <c r="A864" s="94">
        <v>43739</v>
      </c>
      <c r="B864" s="143"/>
      <c r="C864" s="92">
        <f t="shared" ref="C864:P864" si="190">C60+C162+C262+C362+C462+C764</f>
        <v>7256477.6599999992</v>
      </c>
      <c r="D864" s="92">
        <f t="shared" si="190"/>
        <v>2813685.93</v>
      </c>
      <c r="E864" s="92">
        <f t="shared" si="190"/>
        <v>481019.88999999996</v>
      </c>
      <c r="F864" s="92">
        <f t="shared" si="190"/>
        <v>709202.94000000006</v>
      </c>
      <c r="G864" s="92">
        <f t="shared" si="190"/>
        <v>107737.67000000001</v>
      </c>
      <c r="H864" s="92">
        <f t="shared" si="190"/>
        <v>327608.27</v>
      </c>
      <c r="I864" s="92">
        <f t="shared" si="190"/>
        <v>231071.25000000003</v>
      </c>
      <c r="J864" s="92">
        <f t="shared" si="190"/>
        <v>620875.75</v>
      </c>
      <c r="K864" s="92">
        <f t="shared" si="190"/>
        <v>1117240.3899999999</v>
      </c>
      <c r="L864" s="92">
        <f t="shared" si="190"/>
        <v>402410</v>
      </c>
      <c r="M864" s="92">
        <f t="shared" si="190"/>
        <v>271566.22000000003</v>
      </c>
      <c r="N864" s="92">
        <f t="shared" si="190"/>
        <v>35447.589999999997</v>
      </c>
      <c r="O864" s="92">
        <f t="shared" si="190"/>
        <v>51199.1</v>
      </c>
      <c r="P864" s="93">
        <f t="shared" si="190"/>
        <v>87412.66</v>
      </c>
    </row>
    <row r="865" spans="1:16" x14ac:dyDescent="0.3">
      <c r="A865" s="94">
        <v>43770</v>
      </c>
      <c r="B865" s="143"/>
      <c r="C865" s="92">
        <f t="shared" ref="C865:P865" si="191">C61+C163+C263+C363+C463+C765</f>
        <v>7120037.7500000009</v>
      </c>
      <c r="D865" s="92">
        <f t="shared" si="191"/>
        <v>2791879.04</v>
      </c>
      <c r="E865" s="92">
        <f t="shared" si="191"/>
        <v>454757.32000000007</v>
      </c>
      <c r="F865" s="92">
        <f t="shared" si="191"/>
        <v>704575.98000000021</v>
      </c>
      <c r="G865" s="92">
        <f t="shared" si="191"/>
        <v>108930.18000000002</v>
      </c>
      <c r="H865" s="92">
        <f t="shared" si="191"/>
        <v>340297.28</v>
      </c>
      <c r="I865" s="92">
        <f t="shared" si="191"/>
        <v>161759.78</v>
      </c>
      <c r="J865" s="92">
        <f t="shared" si="191"/>
        <v>606980.05999999994</v>
      </c>
      <c r="K865" s="92">
        <f t="shared" si="191"/>
        <v>1092551.5999999999</v>
      </c>
      <c r="L865" s="92">
        <f t="shared" si="191"/>
        <v>400643.12</v>
      </c>
      <c r="M865" s="92">
        <f t="shared" si="191"/>
        <v>267402.94000000006</v>
      </c>
      <c r="N865" s="92">
        <f t="shared" si="191"/>
        <v>29372.449999999997</v>
      </c>
      <c r="O865" s="92">
        <f t="shared" si="191"/>
        <v>74705.260000000009</v>
      </c>
      <c r="P865" s="93">
        <f t="shared" si="191"/>
        <v>86182.739999999991</v>
      </c>
    </row>
    <row r="866" spans="1:16" x14ac:dyDescent="0.3">
      <c r="A866" s="94">
        <v>43800</v>
      </c>
      <c r="B866" s="143"/>
      <c r="C866" s="92">
        <f t="shared" ref="C866:P866" si="192">C62+C164+C264+C364+C464+C766</f>
        <v>7099705.4700000016</v>
      </c>
      <c r="D866" s="92">
        <f t="shared" si="192"/>
        <v>2796454.8899999997</v>
      </c>
      <c r="E866" s="92">
        <f t="shared" si="192"/>
        <v>494934.24</v>
      </c>
      <c r="F866" s="92">
        <f t="shared" si="192"/>
        <v>707355.6100000001</v>
      </c>
      <c r="G866" s="92">
        <f t="shared" si="192"/>
        <v>99755.039999999979</v>
      </c>
      <c r="H866" s="92">
        <f t="shared" si="192"/>
        <v>349564.88000000012</v>
      </c>
      <c r="I866" s="92">
        <f t="shared" si="192"/>
        <v>163025.78</v>
      </c>
      <c r="J866" s="92">
        <f t="shared" si="192"/>
        <v>556989.12</v>
      </c>
      <c r="K866" s="92">
        <f t="shared" si="192"/>
        <v>1094380.9300000002</v>
      </c>
      <c r="L866" s="92">
        <f t="shared" si="192"/>
        <v>384707.93</v>
      </c>
      <c r="M866" s="92">
        <f t="shared" si="192"/>
        <v>257723.74</v>
      </c>
      <c r="N866" s="92">
        <f t="shared" si="192"/>
        <v>27756.089999999997</v>
      </c>
      <c r="O866" s="92">
        <f t="shared" si="192"/>
        <v>88442.170000000013</v>
      </c>
      <c r="P866" s="93">
        <f t="shared" si="192"/>
        <v>78615.049999999988</v>
      </c>
    </row>
    <row r="867" spans="1:16" x14ac:dyDescent="0.3">
      <c r="A867" s="94">
        <v>43831</v>
      </c>
      <c r="B867" s="143"/>
      <c r="C867" s="92">
        <f t="shared" ref="C867:P867" si="193">C63+C165+C265+C365+C465+C767</f>
        <v>7059035.2200000007</v>
      </c>
      <c r="D867" s="92">
        <f t="shared" si="193"/>
        <v>2818264.61</v>
      </c>
      <c r="E867" s="92">
        <f t="shared" si="193"/>
        <v>467389.06</v>
      </c>
      <c r="F867" s="92">
        <f t="shared" si="193"/>
        <v>685061.6100000001</v>
      </c>
      <c r="G867" s="92">
        <f t="shared" si="193"/>
        <v>95216.51999999999</v>
      </c>
      <c r="H867" s="92">
        <f t="shared" si="193"/>
        <v>354164.35</v>
      </c>
      <c r="I867" s="92">
        <f t="shared" si="193"/>
        <v>160292.28000000003</v>
      </c>
      <c r="J867" s="92">
        <f t="shared" si="193"/>
        <v>556683.71</v>
      </c>
      <c r="K867" s="92">
        <f t="shared" si="193"/>
        <v>1064148.7400000002</v>
      </c>
      <c r="L867" s="92">
        <f t="shared" si="193"/>
        <v>407605.82999999996</v>
      </c>
      <c r="M867" s="92">
        <f t="shared" si="193"/>
        <v>250583.48</v>
      </c>
      <c r="N867" s="92">
        <f t="shared" si="193"/>
        <v>23508.269999999997</v>
      </c>
      <c r="O867" s="92">
        <f t="shared" si="193"/>
        <v>95410.87000000001</v>
      </c>
      <c r="P867" s="93">
        <f t="shared" si="193"/>
        <v>80705.89</v>
      </c>
    </row>
    <row r="868" spans="1:16" x14ac:dyDescent="0.3">
      <c r="A868" s="94">
        <v>43862</v>
      </c>
      <c r="B868" s="143"/>
      <c r="C868" s="92">
        <f t="shared" ref="C868:P868" si="194">C64+C166+C266+C366+C466+C768</f>
        <v>7052281.1599999992</v>
      </c>
      <c r="D868" s="92">
        <f t="shared" si="194"/>
        <v>2777734.2199999997</v>
      </c>
      <c r="E868" s="92">
        <f t="shared" si="194"/>
        <v>458555.66000000009</v>
      </c>
      <c r="F868" s="92">
        <f t="shared" si="194"/>
        <v>696935.14</v>
      </c>
      <c r="G868" s="92">
        <f t="shared" si="194"/>
        <v>91657.62</v>
      </c>
      <c r="H868" s="92">
        <f t="shared" si="194"/>
        <v>351621.42</v>
      </c>
      <c r="I868" s="92">
        <f t="shared" si="194"/>
        <v>155592.01999999999</v>
      </c>
      <c r="J868" s="92">
        <f t="shared" si="194"/>
        <v>576769.86</v>
      </c>
      <c r="K868" s="92">
        <f t="shared" si="194"/>
        <v>1060404.3800000001</v>
      </c>
      <c r="L868" s="92">
        <f t="shared" si="194"/>
        <v>401087.68</v>
      </c>
      <c r="M868" s="92">
        <f t="shared" si="194"/>
        <v>234756.39999999997</v>
      </c>
      <c r="N868" s="92">
        <f t="shared" si="194"/>
        <v>22198.63</v>
      </c>
      <c r="O868" s="92">
        <f t="shared" si="194"/>
        <v>141823.43000000002</v>
      </c>
      <c r="P868" s="93">
        <f t="shared" si="194"/>
        <v>83144.7</v>
      </c>
    </row>
    <row r="869" spans="1:16" x14ac:dyDescent="0.3">
      <c r="A869" s="94">
        <v>43891</v>
      </c>
      <c r="B869" s="143"/>
      <c r="C869" s="92">
        <f t="shared" ref="C869:P869" si="195">C65+C167+C267+C367+C467+C769</f>
        <v>6767235.2299999995</v>
      </c>
      <c r="D869" s="92">
        <f t="shared" si="195"/>
        <v>2699581.8</v>
      </c>
      <c r="E869" s="92">
        <f t="shared" si="195"/>
        <v>418570.06999999995</v>
      </c>
      <c r="F869" s="92">
        <f t="shared" si="195"/>
        <v>683368.9800000001</v>
      </c>
      <c r="G869" s="92">
        <f t="shared" si="195"/>
        <v>79215.739999999991</v>
      </c>
      <c r="H869" s="92">
        <f t="shared" si="195"/>
        <v>339149.33000000007</v>
      </c>
      <c r="I869" s="92">
        <f t="shared" si="195"/>
        <v>168280.88</v>
      </c>
      <c r="J869" s="92">
        <f t="shared" si="195"/>
        <v>532466.80000000005</v>
      </c>
      <c r="K869" s="92">
        <f t="shared" si="195"/>
        <v>994425.66999999993</v>
      </c>
      <c r="L869" s="92">
        <f t="shared" si="195"/>
        <v>393365.50999999989</v>
      </c>
      <c r="M869" s="92">
        <f t="shared" si="195"/>
        <v>216608.65</v>
      </c>
      <c r="N869" s="92">
        <f t="shared" si="195"/>
        <v>17100.060000000001</v>
      </c>
      <c r="O869" s="92">
        <f t="shared" si="195"/>
        <v>147676.84</v>
      </c>
      <c r="P869" s="93">
        <f t="shared" si="195"/>
        <v>77424.899999999994</v>
      </c>
    </row>
    <row r="870" spans="1:16" x14ac:dyDescent="0.3">
      <c r="A870" s="94">
        <v>43922</v>
      </c>
      <c r="B870" s="143"/>
      <c r="C870" s="92">
        <f t="shared" ref="C870:P870" si="196">C66+C168+C268+C368+C468+C770</f>
        <v>6356120.6799999988</v>
      </c>
      <c r="D870" s="92">
        <f t="shared" si="196"/>
        <v>2577611.63</v>
      </c>
      <c r="E870" s="92">
        <f t="shared" si="196"/>
        <v>367781.97</v>
      </c>
      <c r="F870" s="92">
        <f t="shared" si="196"/>
        <v>633139.26</v>
      </c>
      <c r="G870" s="92">
        <f t="shared" si="196"/>
        <v>70536.989999999991</v>
      </c>
      <c r="H870" s="92">
        <f t="shared" si="196"/>
        <v>322035.28999999998</v>
      </c>
      <c r="I870" s="92">
        <f t="shared" si="196"/>
        <v>173148.71000000002</v>
      </c>
      <c r="J870" s="92">
        <f t="shared" si="196"/>
        <v>522862.14999999997</v>
      </c>
      <c r="K870" s="92">
        <f t="shared" si="196"/>
        <v>905040.19000000018</v>
      </c>
      <c r="L870" s="92">
        <f t="shared" si="196"/>
        <v>368813.88</v>
      </c>
      <c r="M870" s="92">
        <f t="shared" si="196"/>
        <v>188750.75000000003</v>
      </c>
      <c r="N870" s="92">
        <f t="shared" si="196"/>
        <v>11947.24</v>
      </c>
      <c r="O870" s="92">
        <f t="shared" si="196"/>
        <v>142562.35</v>
      </c>
      <c r="P870" s="93">
        <f t="shared" si="196"/>
        <v>71890.27</v>
      </c>
    </row>
    <row r="871" spans="1:16" x14ac:dyDescent="0.3">
      <c r="A871" s="94">
        <v>43952</v>
      </c>
      <c r="B871" s="143"/>
      <c r="C871" s="92">
        <f t="shared" ref="C871:P871" si="197">C67+C169+C269+C369+C469+C771</f>
        <v>6033215.3999999994</v>
      </c>
      <c r="D871" s="92">
        <f t="shared" si="197"/>
        <v>2497904.5499999998</v>
      </c>
      <c r="E871" s="92">
        <f t="shared" si="197"/>
        <v>354779.77</v>
      </c>
      <c r="F871" s="92">
        <f t="shared" si="197"/>
        <v>601644.80000000005</v>
      </c>
      <c r="G871" s="92">
        <f t="shared" si="197"/>
        <v>66312.17</v>
      </c>
      <c r="H871" s="92">
        <f t="shared" si="197"/>
        <v>307822.34000000003</v>
      </c>
      <c r="I871" s="92">
        <f t="shared" si="197"/>
        <v>168336.69999999998</v>
      </c>
      <c r="J871" s="92">
        <f t="shared" si="197"/>
        <v>463133.81</v>
      </c>
      <c r="K871" s="92">
        <f t="shared" si="197"/>
        <v>854328.98</v>
      </c>
      <c r="L871" s="92">
        <f t="shared" si="197"/>
        <v>349799.57</v>
      </c>
      <c r="M871" s="92">
        <f t="shared" si="197"/>
        <v>163551.51000000004</v>
      </c>
      <c r="N871" s="92">
        <f t="shared" si="197"/>
        <v>10643.470000000001</v>
      </c>
      <c r="O871" s="92">
        <f t="shared" si="197"/>
        <v>134098.29999999999</v>
      </c>
      <c r="P871" s="93">
        <f t="shared" si="197"/>
        <v>60859.43</v>
      </c>
    </row>
    <row r="872" spans="1:16" x14ac:dyDescent="0.3">
      <c r="A872" s="94">
        <v>43983</v>
      </c>
      <c r="B872" s="143"/>
      <c r="C872" s="92">
        <f t="shared" ref="C872:P872" si="198">C68+C170+C270+C370+C470+C772</f>
        <v>5814447.370000001</v>
      </c>
      <c r="D872" s="92">
        <f t="shared" si="198"/>
        <v>2491215.2899999996</v>
      </c>
      <c r="E872" s="92">
        <f t="shared" si="198"/>
        <v>329565.55999999994</v>
      </c>
      <c r="F872" s="92">
        <f t="shared" si="198"/>
        <v>569599.86</v>
      </c>
      <c r="G872" s="92">
        <f t="shared" si="198"/>
        <v>58130.1</v>
      </c>
      <c r="H872" s="92">
        <f t="shared" si="198"/>
        <v>279498.01</v>
      </c>
      <c r="I872" s="92">
        <f t="shared" si="198"/>
        <v>194356.15000000002</v>
      </c>
      <c r="J872" s="92">
        <f t="shared" si="198"/>
        <v>410901.06</v>
      </c>
      <c r="K872" s="92">
        <f t="shared" si="198"/>
        <v>776339.14000000025</v>
      </c>
      <c r="L872" s="92">
        <f t="shared" si="198"/>
        <v>321862.7</v>
      </c>
      <c r="M872" s="92">
        <f t="shared" si="198"/>
        <v>141610.89000000004</v>
      </c>
      <c r="N872" s="92">
        <f t="shared" si="198"/>
        <v>53977.619999999995</v>
      </c>
      <c r="O872" s="92">
        <f t="shared" si="198"/>
        <v>132418.96</v>
      </c>
      <c r="P872" s="93">
        <f t="shared" si="198"/>
        <v>54972.03</v>
      </c>
    </row>
    <row r="873" spans="1:16" x14ac:dyDescent="0.3">
      <c r="A873" s="94">
        <v>44013</v>
      </c>
      <c r="B873" s="143"/>
      <c r="C873" s="92">
        <f t="shared" ref="C873:P873" si="199">C69+C171+C271+C371+C471+C773</f>
        <v>5706546.7899999991</v>
      </c>
      <c r="D873" s="92">
        <f t="shared" si="199"/>
        <v>2505204.71</v>
      </c>
      <c r="E873" s="92">
        <f t="shared" si="199"/>
        <v>317658.45</v>
      </c>
      <c r="F873" s="92">
        <f t="shared" si="199"/>
        <v>519059.4800000001</v>
      </c>
      <c r="G873" s="92">
        <f t="shared" si="199"/>
        <v>51838.7</v>
      </c>
      <c r="H873" s="92">
        <f t="shared" si="199"/>
        <v>268405.12000000005</v>
      </c>
      <c r="I873" s="92">
        <f t="shared" si="199"/>
        <v>221969.62</v>
      </c>
      <c r="J873" s="92">
        <f t="shared" si="199"/>
        <v>385528.82</v>
      </c>
      <c r="K873" s="92">
        <f t="shared" si="199"/>
        <v>729860.74</v>
      </c>
      <c r="L873" s="92">
        <f t="shared" si="199"/>
        <v>323319.74000000005</v>
      </c>
      <c r="M873" s="92">
        <f t="shared" si="199"/>
        <v>132142.93999999997</v>
      </c>
      <c r="N873" s="92">
        <f t="shared" si="199"/>
        <v>57303.67</v>
      </c>
      <c r="O873" s="92">
        <f t="shared" si="199"/>
        <v>135061.29999999999</v>
      </c>
      <c r="P873" s="93">
        <f t="shared" si="199"/>
        <v>59193.500000000007</v>
      </c>
    </row>
    <row r="874" spans="1:16" x14ac:dyDescent="0.3">
      <c r="A874" s="94">
        <v>44044</v>
      </c>
      <c r="B874" s="143"/>
      <c r="C874" s="92">
        <f t="shared" ref="C874:P874" si="200">C70+C172+C272+C372+C472+C774</f>
        <v>5584319.2699999996</v>
      </c>
      <c r="D874" s="92">
        <f t="shared" si="200"/>
        <v>2504120.6900000004</v>
      </c>
      <c r="E874" s="92">
        <f t="shared" si="200"/>
        <v>305384.99</v>
      </c>
      <c r="F874" s="92">
        <f t="shared" si="200"/>
        <v>499558.43000000005</v>
      </c>
      <c r="G874" s="92">
        <f t="shared" si="200"/>
        <v>49670.64</v>
      </c>
      <c r="H874" s="92">
        <f t="shared" si="200"/>
        <v>251787.5</v>
      </c>
      <c r="I874" s="92">
        <f t="shared" si="200"/>
        <v>223599.42999999996</v>
      </c>
      <c r="J874" s="92">
        <f t="shared" si="200"/>
        <v>369227.2</v>
      </c>
      <c r="K874" s="92">
        <f t="shared" si="200"/>
        <v>702126.29</v>
      </c>
      <c r="L874" s="92">
        <f t="shared" si="200"/>
        <v>291524.33000000007</v>
      </c>
      <c r="M874" s="92">
        <f t="shared" si="200"/>
        <v>135712.31999999998</v>
      </c>
      <c r="N874" s="92">
        <f t="shared" si="200"/>
        <v>56533.67</v>
      </c>
      <c r="O874" s="92">
        <f t="shared" si="200"/>
        <v>134564.66999999998</v>
      </c>
      <c r="P874" s="93">
        <f t="shared" si="200"/>
        <v>60509.110000000008</v>
      </c>
    </row>
    <row r="875" spans="1:16" x14ac:dyDescent="0.3">
      <c r="A875" s="94">
        <v>44075</v>
      </c>
      <c r="B875" s="143"/>
      <c r="C875" s="92">
        <f t="shared" ref="C875:P875" si="201">C71+C173+C273+C373+C473+C775</f>
        <v>5428432.21</v>
      </c>
      <c r="D875" s="92">
        <f t="shared" si="201"/>
        <v>2448906.5999999996</v>
      </c>
      <c r="E875" s="92">
        <f t="shared" si="201"/>
        <v>291043.62</v>
      </c>
      <c r="F875" s="92">
        <f t="shared" si="201"/>
        <v>489225.19999999995</v>
      </c>
      <c r="G875" s="92">
        <f t="shared" si="201"/>
        <v>52456.469999999994</v>
      </c>
      <c r="H875" s="92">
        <f t="shared" si="201"/>
        <v>243270.84</v>
      </c>
      <c r="I875" s="92">
        <f t="shared" si="201"/>
        <v>250528.36000000002</v>
      </c>
      <c r="J875" s="92">
        <f t="shared" si="201"/>
        <v>337112.27</v>
      </c>
      <c r="K875" s="92">
        <f t="shared" si="201"/>
        <v>674753.93</v>
      </c>
      <c r="L875" s="92">
        <f t="shared" si="201"/>
        <v>264726.62</v>
      </c>
      <c r="M875" s="92">
        <f t="shared" si="201"/>
        <v>130731.00999999998</v>
      </c>
      <c r="N875" s="92">
        <f t="shared" si="201"/>
        <v>55633.67</v>
      </c>
      <c r="O875" s="92">
        <f t="shared" si="201"/>
        <v>134107.54</v>
      </c>
      <c r="P875" s="93">
        <f t="shared" si="201"/>
        <v>55936.080000000009</v>
      </c>
    </row>
    <row r="876" spans="1:16" x14ac:dyDescent="0.3">
      <c r="A876" s="94">
        <v>44105</v>
      </c>
      <c r="B876" s="143"/>
      <c r="C876" s="92">
        <f t="shared" ref="C876:P876" si="202">C72+C174+C274+C374+C474+C776</f>
        <v>5218664.05</v>
      </c>
      <c r="D876" s="92">
        <f t="shared" si="202"/>
        <v>2360995.14</v>
      </c>
      <c r="E876" s="92">
        <f t="shared" si="202"/>
        <v>254601.63</v>
      </c>
      <c r="F876" s="92">
        <f t="shared" si="202"/>
        <v>471434.29</v>
      </c>
      <c r="G876" s="92">
        <f t="shared" si="202"/>
        <v>49351.950000000004</v>
      </c>
      <c r="H876" s="92">
        <f t="shared" si="202"/>
        <v>222126.52000000002</v>
      </c>
      <c r="I876" s="92">
        <f t="shared" si="202"/>
        <v>273094.77999999997</v>
      </c>
      <c r="J876" s="92">
        <f t="shared" si="202"/>
        <v>291156.56</v>
      </c>
      <c r="K876" s="92">
        <f t="shared" si="202"/>
        <v>656140.47</v>
      </c>
      <c r="L876" s="92">
        <f t="shared" si="202"/>
        <v>263207.63</v>
      </c>
      <c r="M876" s="92">
        <f t="shared" si="202"/>
        <v>125572.24999999999</v>
      </c>
      <c r="N876" s="92">
        <f t="shared" si="202"/>
        <v>58656.03</v>
      </c>
      <c r="O876" s="92">
        <f t="shared" si="202"/>
        <v>140507.72</v>
      </c>
      <c r="P876" s="93">
        <f t="shared" si="202"/>
        <v>51819.08</v>
      </c>
    </row>
    <row r="877" spans="1:16" x14ac:dyDescent="0.3">
      <c r="A877" s="94">
        <v>44136</v>
      </c>
      <c r="B877" s="143"/>
      <c r="C877" s="92">
        <f t="shared" ref="C877:P877" si="203">C73+C175+C275+C375+C475+C777</f>
        <v>5017579.9499999993</v>
      </c>
      <c r="D877" s="92">
        <f t="shared" si="203"/>
        <v>2245316.02</v>
      </c>
      <c r="E877" s="92">
        <f t="shared" si="203"/>
        <v>235744.17</v>
      </c>
      <c r="F877" s="92">
        <f t="shared" si="203"/>
        <v>468211.71000000008</v>
      </c>
      <c r="G877" s="92">
        <f t="shared" si="203"/>
        <v>43847.98</v>
      </c>
      <c r="H877" s="92">
        <f t="shared" si="203"/>
        <v>223369.65000000005</v>
      </c>
      <c r="I877" s="92">
        <f t="shared" si="203"/>
        <v>285083.19000000006</v>
      </c>
      <c r="J877" s="92">
        <f t="shared" si="203"/>
        <v>268207.7</v>
      </c>
      <c r="K877" s="92">
        <f t="shared" si="203"/>
        <v>641221.99</v>
      </c>
      <c r="L877" s="92">
        <f t="shared" si="203"/>
        <v>241434.82000000004</v>
      </c>
      <c r="M877" s="92">
        <f t="shared" si="203"/>
        <v>118184.44</v>
      </c>
      <c r="N877" s="92">
        <f t="shared" si="203"/>
        <v>57966.03</v>
      </c>
      <c r="O877" s="92">
        <f t="shared" si="203"/>
        <v>150043.5</v>
      </c>
      <c r="P877" s="93">
        <f t="shared" si="203"/>
        <v>38948.75</v>
      </c>
    </row>
    <row r="878" spans="1:16" x14ac:dyDescent="0.3">
      <c r="A878" s="94">
        <v>44166</v>
      </c>
      <c r="B878" s="143"/>
      <c r="C878" s="92">
        <f t="shared" ref="C878:P878" si="204">C74+C176+C276+C376+C476+C778</f>
        <v>4928919.4699999988</v>
      </c>
      <c r="D878" s="92">
        <f t="shared" si="204"/>
        <v>2196376.79</v>
      </c>
      <c r="E878" s="92">
        <f t="shared" si="204"/>
        <v>188581.2</v>
      </c>
      <c r="F878" s="92">
        <f t="shared" si="204"/>
        <v>457627.45</v>
      </c>
      <c r="G878" s="92">
        <f t="shared" si="204"/>
        <v>42015.37</v>
      </c>
      <c r="H878" s="92">
        <f t="shared" si="204"/>
        <v>208888.31</v>
      </c>
      <c r="I878" s="92">
        <f t="shared" si="204"/>
        <v>297099.79000000004</v>
      </c>
      <c r="J878" s="92">
        <f t="shared" si="204"/>
        <v>296553.57</v>
      </c>
      <c r="K878" s="92">
        <f t="shared" si="204"/>
        <v>650396.9</v>
      </c>
      <c r="L878" s="92">
        <f t="shared" si="204"/>
        <v>245472.6</v>
      </c>
      <c r="M878" s="92">
        <f t="shared" si="204"/>
        <v>110722.32</v>
      </c>
      <c r="N878" s="92">
        <f t="shared" si="204"/>
        <v>57200.170000000006</v>
      </c>
      <c r="O878" s="92">
        <f t="shared" si="204"/>
        <v>146320.92000000001</v>
      </c>
      <c r="P878" s="93">
        <f t="shared" si="204"/>
        <v>31664.080000000002</v>
      </c>
    </row>
    <row r="879" spans="1:16" x14ac:dyDescent="0.3">
      <c r="A879" s="94">
        <v>44197</v>
      </c>
      <c r="B879" s="143"/>
      <c r="C879" s="92">
        <f t="shared" ref="C879:P879" si="205">C75+C177+C277+C377+C477+C779</f>
        <v>4776400.22</v>
      </c>
      <c r="D879" s="92">
        <f t="shared" si="205"/>
        <v>2106307.1500000004</v>
      </c>
      <c r="E879" s="92">
        <f t="shared" si="205"/>
        <v>173291.93</v>
      </c>
      <c r="F879" s="92">
        <f t="shared" si="205"/>
        <v>460271.10000000003</v>
      </c>
      <c r="G879" s="92">
        <f t="shared" si="205"/>
        <v>40938.310000000005</v>
      </c>
      <c r="H879" s="92">
        <f t="shared" si="205"/>
        <v>214206.35</v>
      </c>
      <c r="I879" s="92">
        <f t="shared" si="205"/>
        <v>315855.18000000005</v>
      </c>
      <c r="J879" s="92">
        <f t="shared" si="205"/>
        <v>276158.90000000002</v>
      </c>
      <c r="K879" s="92">
        <f t="shared" si="205"/>
        <v>648572.85000000009</v>
      </c>
      <c r="L879" s="92">
        <f t="shared" si="205"/>
        <v>213863.09000000003</v>
      </c>
      <c r="M879" s="92">
        <f t="shared" si="205"/>
        <v>100535.02000000002</v>
      </c>
      <c r="N879" s="92">
        <f t="shared" si="205"/>
        <v>56945.200000000004</v>
      </c>
      <c r="O879" s="92">
        <f t="shared" si="205"/>
        <v>140680.03</v>
      </c>
      <c r="P879" s="93">
        <f t="shared" si="205"/>
        <v>28775.11</v>
      </c>
    </row>
    <row r="880" spans="1:16" x14ac:dyDescent="0.3">
      <c r="A880" s="94">
        <v>44228</v>
      </c>
      <c r="B880" s="143"/>
      <c r="C880" s="92">
        <f t="shared" ref="C880:P880" si="206">C76+C178+C278+C378+C478+C780</f>
        <v>4685299.18</v>
      </c>
      <c r="D880" s="92">
        <f t="shared" si="206"/>
        <v>2061807.88</v>
      </c>
      <c r="E880" s="92">
        <f t="shared" si="206"/>
        <v>164608.71</v>
      </c>
      <c r="F880" s="92">
        <f t="shared" si="206"/>
        <v>423142.82999999996</v>
      </c>
      <c r="G880" s="92">
        <f t="shared" si="206"/>
        <v>41870.060000000012</v>
      </c>
      <c r="H880" s="92">
        <f t="shared" si="206"/>
        <v>226478.55999999994</v>
      </c>
      <c r="I880" s="92">
        <f t="shared" si="206"/>
        <v>336833.45999999996</v>
      </c>
      <c r="J880" s="92">
        <f t="shared" si="206"/>
        <v>293244.90000000002</v>
      </c>
      <c r="K880" s="92">
        <f t="shared" si="206"/>
        <v>616068</v>
      </c>
      <c r="L880" s="92">
        <f t="shared" si="206"/>
        <v>224798.79000000004</v>
      </c>
      <c r="M880" s="92">
        <f t="shared" si="206"/>
        <v>101377.51000000001</v>
      </c>
      <c r="N880" s="92">
        <f t="shared" si="206"/>
        <v>58168.680000000008</v>
      </c>
      <c r="O880" s="92">
        <f t="shared" si="206"/>
        <v>108089.18000000001</v>
      </c>
      <c r="P880" s="93">
        <f t="shared" si="206"/>
        <v>28810.620000000003</v>
      </c>
    </row>
    <row r="881" spans="1:16" x14ac:dyDescent="0.3">
      <c r="A881" s="94">
        <v>44256</v>
      </c>
      <c r="B881" s="143"/>
      <c r="C881" s="92">
        <f t="shared" ref="C881:P881" si="207">C77+C179+C279+C379+C479+C781</f>
        <v>4839913.49</v>
      </c>
      <c r="D881" s="92">
        <f t="shared" si="207"/>
        <v>2055502.99</v>
      </c>
      <c r="E881" s="92">
        <f t="shared" si="207"/>
        <v>174492.89</v>
      </c>
      <c r="F881" s="92">
        <f t="shared" si="207"/>
        <v>446531.21999999991</v>
      </c>
      <c r="G881" s="92">
        <f t="shared" si="207"/>
        <v>45074.049999999996</v>
      </c>
      <c r="H881" s="92">
        <f t="shared" si="207"/>
        <v>229145.59999999998</v>
      </c>
      <c r="I881" s="92">
        <f t="shared" si="207"/>
        <v>347194.79</v>
      </c>
      <c r="J881" s="92">
        <f t="shared" si="207"/>
        <v>327082.40000000002</v>
      </c>
      <c r="K881" s="92">
        <f t="shared" si="207"/>
        <v>653908.38</v>
      </c>
      <c r="L881" s="92">
        <f t="shared" si="207"/>
        <v>237917.11000000002</v>
      </c>
      <c r="M881" s="92">
        <f t="shared" si="207"/>
        <v>120102.92000000003</v>
      </c>
      <c r="N881" s="92">
        <f t="shared" si="207"/>
        <v>60769.390000000007</v>
      </c>
      <c r="O881" s="92">
        <f t="shared" si="207"/>
        <v>112658.87000000001</v>
      </c>
      <c r="P881" s="93">
        <f t="shared" si="207"/>
        <v>29532.880000000001</v>
      </c>
    </row>
    <row r="882" spans="1:16" x14ac:dyDescent="0.3">
      <c r="A882" s="94">
        <v>44287</v>
      </c>
      <c r="B882" s="143"/>
      <c r="C882" s="92">
        <f t="shared" ref="C882:P882" si="208">C78+C180+C280+C380+C480+C782</f>
        <v>5138432.0599999996</v>
      </c>
      <c r="D882" s="92">
        <f t="shared" si="208"/>
        <v>2092673.7900000005</v>
      </c>
      <c r="E882" s="92">
        <f t="shared" si="208"/>
        <v>193676.09000000003</v>
      </c>
      <c r="F882" s="92">
        <f t="shared" si="208"/>
        <v>481260.49999999994</v>
      </c>
      <c r="G882" s="92">
        <f t="shared" si="208"/>
        <v>50267.17</v>
      </c>
      <c r="H882" s="92">
        <f t="shared" si="208"/>
        <v>237758.22</v>
      </c>
      <c r="I882" s="92">
        <f t="shared" si="208"/>
        <v>376100.68999999994</v>
      </c>
      <c r="J882" s="92">
        <f t="shared" si="208"/>
        <v>336022.4</v>
      </c>
      <c r="K882" s="92">
        <f t="shared" si="208"/>
        <v>727847.33</v>
      </c>
      <c r="L882" s="92">
        <f t="shared" si="208"/>
        <v>255576.99</v>
      </c>
      <c r="M882" s="92">
        <f t="shared" si="208"/>
        <v>161418.03</v>
      </c>
      <c r="N882" s="92">
        <f t="shared" si="208"/>
        <v>61325.460000000006</v>
      </c>
      <c r="O882" s="92">
        <f t="shared" si="208"/>
        <v>133430.52000000002</v>
      </c>
      <c r="P882" s="93">
        <f t="shared" si="208"/>
        <v>31074.870000000003</v>
      </c>
    </row>
    <row r="883" spans="1:16" x14ac:dyDescent="0.3">
      <c r="A883" s="94">
        <v>44317</v>
      </c>
      <c r="B883" s="143"/>
      <c r="C883" s="92">
        <f t="shared" ref="C883:P883" si="209">C79+C181+C281+C381+C481+C783</f>
        <v>5265249.1000000006</v>
      </c>
      <c r="D883" s="92">
        <f t="shared" si="209"/>
        <v>2064341.53</v>
      </c>
      <c r="E883" s="92">
        <f t="shared" si="209"/>
        <v>208201.18000000002</v>
      </c>
      <c r="F883" s="92">
        <f t="shared" si="209"/>
        <v>493307.90999999992</v>
      </c>
      <c r="G883" s="92">
        <f t="shared" si="209"/>
        <v>51711.319999999992</v>
      </c>
      <c r="H883" s="92">
        <f t="shared" si="209"/>
        <v>263286.12</v>
      </c>
      <c r="I883" s="92">
        <f t="shared" si="209"/>
        <v>389978.56</v>
      </c>
      <c r="J883" s="92">
        <f t="shared" si="209"/>
        <v>354910.70999999996</v>
      </c>
      <c r="K883" s="92">
        <f t="shared" si="209"/>
        <v>752227.35000000009</v>
      </c>
      <c r="L883" s="92">
        <f t="shared" si="209"/>
        <v>267512.64999999997</v>
      </c>
      <c r="M883" s="92">
        <f t="shared" si="209"/>
        <v>169508.94000000003</v>
      </c>
      <c r="N883" s="92">
        <f t="shared" si="209"/>
        <v>64437.200000000004</v>
      </c>
      <c r="O883" s="92">
        <f t="shared" si="209"/>
        <v>149071.35</v>
      </c>
      <c r="P883" s="93">
        <f t="shared" si="209"/>
        <v>36754.28</v>
      </c>
    </row>
    <row r="884" spans="1:16" x14ac:dyDescent="0.3">
      <c r="A884" s="94">
        <v>44348</v>
      </c>
      <c r="B884" s="143"/>
      <c r="C884" s="92">
        <f t="shared" ref="C884:P884" si="210">C80+C182+C282+C382+C482+C784</f>
        <v>5329657.4799999995</v>
      </c>
      <c r="D884" s="92">
        <f t="shared" si="210"/>
        <v>1986432.5899999999</v>
      </c>
      <c r="E884" s="92">
        <f t="shared" si="210"/>
        <v>223444.69</v>
      </c>
      <c r="F884" s="92">
        <f t="shared" si="210"/>
        <v>505734.29</v>
      </c>
      <c r="G884" s="92">
        <f t="shared" si="210"/>
        <v>56387.39</v>
      </c>
      <c r="H884" s="92">
        <f t="shared" si="210"/>
        <v>286657.48</v>
      </c>
      <c r="I884" s="92">
        <f t="shared" si="210"/>
        <v>384702.5</v>
      </c>
      <c r="J884" s="92">
        <f t="shared" si="210"/>
        <v>389030.02</v>
      </c>
      <c r="K884" s="92">
        <f t="shared" si="210"/>
        <v>806639.09</v>
      </c>
      <c r="L884" s="92">
        <f t="shared" si="210"/>
        <v>282483.40999999997</v>
      </c>
      <c r="M884" s="92">
        <f t="shared" si="210"/>
        <v>180315.82000000004</v>
      </c>
      <c r="N884" s="92">
        <f t="shared" si="210"/>
        <v>20634.72</v>
      </c>
      <c r="O884" s="92">
        <f t="shared" si="210"/>
        <v>171482.81</v>
      </c>
      <c r="P884" s="93">
        <f t="shared" si="210"/>
        <v>35712.67</v>
      </c>
    </row>
    <row r="885" spans="1:16" x14ac:dyDescent="0.3">
      <c r="A885" s="94">
        <v>44378</v>
      </c>
      <c r="B885" s="143"/>
      <c r="C885" s="92">
        <f t="shared" ref="C885:P885" si="211">C81+C183+C283+C383+C483+C785</f>
        <v>5310305.09</v>
      </c>
      <c r="D885" s="92">
        <f t="shared" si="211"/>
        <v>1902984.9500000002</v>
      </c>
      <c r="E885" s="92">
        <f t="shared" si="211"/>
        <v>225332.41999999998</v>
      </c>
      <c r="F885" s="92">
        <f t="shared" si="211"/>
        <v>526034.54999999993</v>
      </c>
      <c r="G885" s="92">
        <f t="shared" si="211"/>
        <v>60669.71</v>
      </c>
      <c r="H885" s="92">
        <f t="shared" si="211"/>
        <v>283022.36</v>
      </c>
      <c r="I885" s="92">
        <f t="shared" si="211"/>
        <v>365370.11</v>
      </c>
      <c r="J885" s="92">
        <f t="shared" si="211"/>
        <v>409299.22000000003</v>
      </c>
      <c r="K885" s="92">
        <f t="shared" si="211"/>
        <v>840937.58000000007</v>
      </c>
      <c r="L885" s="92">
        <f t="shared" si="211"/>
        <v>274383.44</v>
      </c>
      <c r="M885" s="92">
        <f t="shared" si="211"/>
        <v>192650.35</v>
      </c>
      <c r="N885" s="92">
        <f t="shared" si="211"/>
        <v>15188.53</v>
      </c>
      <c r="O885" s="92">
        <f t="shared" si="211"/>
        <v>183373.79</v>
      </c>
      <c r="P885" s="93">
        <f t="shared" si="211"/>
        <v>31058.080000000002</v>
      </c>
    </row>
    <row r="886" spans="1:16" x14ac:dyDescent="0.3">
      <c r="A886" s="94">
        <v>44409</v>
      </c>
      <c r="B886" s="143"/>
      <c r="C886" s="92">
        <f t="shared" ref="C886:P886" si="212">C82+C184+C284+C384+C484+C786</f>
        <v>5300045.9999999991</v>
      </c>
      <c r="D886" s="92">
        <f t="shared" si="212"/>
        <v>1849974.82</v>
      </c>
      <c r="E886" s="92">
        <f t="shared" si="212"/>
        <v>227755.58000000002</v>
      </c>
      <c r="F886" s="92">
        <f t="shared" si="212"/>
        <v>516761.87</v>
      </c>
      <c r="G886" s="92">
        <f t="shared" si="212"/>
        <v>85147.01999999999</v>
      </c>
      <c r="H886" s="92">
        <f t="shared" si="212"/>
        <v>302132.95999999996</v>
      </c>
      <c r="I886" s="92">
        <f t="shared" si="212"/>
        <v>373912.74</v>
      </c>
      <c r="J886" s="92">
        <f t="shared" si="212"/>
        <v>388513.22000000003</v>
      </c>
      <c r="K886" s="92">
        <f t="shared" si="212"/>
        <v>852226.33999999985</v>
      </c>
      <c r="L886" s="92">
        <f t="shared" si="212"/>
        <v>275416.14999999997</v>
      </c>
      <c r="M886" s="92">
        <f t="shared" si="212"/>
        <v>192758.93</v>
      </c>
      <c r="N886" s="92">
        <f t="shared" si="212"/>
        <v>16391.53</v>
      </c>
      <c r="O886" s="92">
        <f t="shared" si="212"/>
        <v>191125.59999999998</v>
      </c>
      <c r="P886" s="93">
        <f t="shared" si="212"/>
        <v>27929.24</v>
      </c>
    </row>
    <row r="887" spans="1:16" x14ac:dyDescent="0.3">
      <c r="A887" s="94">
        <v>44440</v>
      </c>
      <c r="B887" s="143"/>
      <c r="C887" s="92">
        <f t="shared" ref="C887:P887" si="213">C83+C185+C285+C385+C485+C787</f>
        <v>5292583.71</v>
      </c>
      <c r="D887" s="92">
        <f t="shared" si="213"/>
        <v>1811555.05</v>
      </c>
      <c r="E887" s="92">
        <f t="shared" si="213"/>
        <v>236520.28</v>
      </c>
      <c r="F887" s="92">
        <f t="shared" si="213"/>
        <v>503343.16000000003</v>
      </c>
      <c r="G887" s="92">
        <f t="shared" si="213"/>
        <v>90034.240000000005</v>
      </c>
      <c r="H887" s="92">
        <f t="shared" si="213"/>
        <v>299831.77999999997</v>
      </c>
      <c r="I887" s="92">
        <f t="shared" si="213"/>
        <v>369945.99000000005</v>
      </c>
      <c r="J887" s="92">
        <f t="shared" si="213"/>
        <v>406560.35</v>
      </c>
      <c r="K887" s="92">
        <f t="shared" si="213"/>
        <v>855956.95</v>
      </c>
      <c r="L887" s="92">
        <f t="shared" si="213"/>
        <v>274001.48</v>
      </c>
      <c r="M887" s="92">
        <f t="shared" si="213"/>
        <v>199466.34000000003</v>
      </c>
      <c r="N887" s="92">
        <f t="shared" si="213"/>
        <v>17469.050000000003</v>
      </c>
      <c r="O887" s="92">
        <f t="shared" si="213"/>
        <v>196100.44000000003</v>
      </c>
      <c r="P887" s="93">
        <f t="shared" si="213"/>
        <v>31798.600000000002</v>
      </c>
    </row>
    <row r="888" spans="1:16" x14ac:dyDescent="0.3">
      <c r="A888" s="94">
        <v>44470</v>
      </c>
      <c r="B888" s="143"/>
      <c r="C888" s="92">
        <f t="shared" ref="C888:P888" si="214">C84+C186+C286+C386+C486+C788</f>
        <v>5355183.8100000005</v>
      </c>
      <c r="D888" s="92">
        <f t="shared" si="214"/>
        <v>1799016.64</v>
      </c>
      <c r="E888" s="92">
        <f t="shared" si="214"/>
        <v>246338.93</v>
      </c>
      <c r="F888" s="92">
        <f t="shared" si="214"/>
        <v>508185.03</v>
      </c>
      <c r="G888" s="92">
        <f t="shared" si="214"/>
        <v>89780.04</v>
      </c>
      <c r="H888" s="92">
        <f t="shared" si="214"/>
        <v>347706.57999999996</v>
      </c>
      <c r="I888" s="92">
        <f t="shared" si="214"/>
        <v>361905.01999999996</v>
      </c>
      <c r="J888" s="92">
        <f t="shared" si="214"/>
        <v>401513.91000000003</v>
      </c>
      <c r="K888" s="92">
        <f t="shared" si="214"/>
        <v>883941.03</v>
      </c>
      <c r="L888" s="92">
        <f t="shared" si="214"/>
        <v>273887.82999999996</v>
      </c>
      <c r="M888" s="92">
        <f t="shared" si="214"/>
        <v>195976.24000000002</v>
      </c>
      <c r="N888" s="92">
        <f t="shared" si="214"/>
        <v>16986.93</v>
      </c>
      <c r="O888" s="92">
        <f t="shared" si="214"/>
        <v>195728.04000000004</v>
      </c>
      <c r="P888" s="93">
        <f t="shared" si="214"/>
        <v>34217.589999999997</v>
      </c>
    </row>
    <row r="889" spans="1:16" x14ac:dyDescent="0.3">
      <c r="A889" s="94">
        <v>44501</v>
      </c>
      <c r="B889" s="143"/>
      <c r="C889" s="92">
        <f t="shared" ref="C889:P889" si="215">C85+C187+C287+C387+C487+C789</f>
        <v>5377208.2299999995</v>
      </c>
      <c r="D889" s="92">
        <f t="shared" si="215"/>
        <v>1841141.26</v>
      </c>
      <c r="E889" s="92">
        <f t="shared" si="215"/>
        <v>264840.28000000003</v>
      </c>
      <c r="F889" s="92">
        <f t="shared" si="215"/>
        <v>501453.58</v>
      </c>
      <c r="G889" s="92">
        <f t="shared" si="215"/>
        <v>87250.01999999999</v>
      </c>
      <c r="H889" s="92">
        <f t="shared" si="215"/>
        <v>341153.24</v>
      </c>
      <c r="I889" s="92">
        <f t="shared" si="215"/>
        <v>359823.96999999991</v>
      </c>
      <c r="J889" s="92">
        <f t="shared" si="215"/>
        <v>404983.12</v>
      </c>
      <c r="K889" s="92">
        <f t="shared" si="215"/>
        <v>882314.10000000009</v>
      </c>
      <c r="L889" s="92">
        <f t="shared" si="215"/>
        <v>270553.74</v>
      </c>
      <c r="M889" s="92">
        <f t="shared" si="215"/>
        <v>196553.53</v>
      </c>
      <c r="N889" s="92">
        <f t="shared" si="215"/>
        <v>18662.14</v>
      </c>
      <c r="O889" s="92">
        <f t="shared" si="215"/>
        <v>165868.05000000002</v>
      </c>
      <c r="P889" s="93">
        <f t="shared" si="215"/>
        <v>42611.199999999997</v>
      </c>
    </row>
    <row r="890" spans="1:16" x14ac:dyDescent="0.3">
      <c r="A890" s="94">
        <v>44531</v>
      </c>
      <c r="B890" s="143"/>
      <c r="C890" s="92">
        <f t="shared" ref="C890:P890" si="216">C86+C188+C288+C388+C488+C790</f>
        <v>5423959.8699999992</v>
      </c>
      <c r="D890" s="92">
        <f t="shared" si="216"/>
        <v>1862846.4900000002</v>
      </c>
      <c r="E890" s="92">
        <f t="shared" si="216"/>
        <v>272166.92</v>
      </c>
      <c r="F890" s="92">
        <f t="shared" si="216"/>
        <v>492134.43</v>
      </c>
      <c r="G890" s="92">
        <f t="shared" si="216"/>
        <v>87110.85</v>
      </c>
      <c r="H890" s="92">
        <f t="shared" si="216"/>
        <v>346733.01999999996</v>
      </c>
      <c r="I890" s="92">
        <f t="shared" si="216"/>
        <v>379022.44</v>
      </c>
      <c r="J890" s="92">
        <f t="shared" si="216"/>
        <v>400558.44000000006</v>
      </c>
      <c r="K890" s="92">
        <f t="shared" si="216"/>
        <v>869294.62999999989</v>
      </c>
      <c r="L890" s="92">
        <f t="shared" si="216"/>
        <v>269938.8</v>
      </c>
      <c r="M890" s="92">
        <f t="shared" si="216"/>
        <v>211477.15000000002</v>
      </c>
      <c r="N890" s="92">
        <f t="shared" si="216"/>
        <v>17725.21</v>
      </c>
      <c r="O890" s="92">
        <f t="shared" si="216"/>
        <v>162038.87</v>
      </c>
      <c r="P890" s="93">
        <f t="shared" si="216"/>
        <v>52912.619999999995</v>
      </c>
    </row>
    <row r="891" spans="1:16" x14ac:dyDescent="0.3">
      <c r="A891" s="94">
        <v>44562</v>
      </c>
      <c r="B891" s="143"/>
      <c r="C891" s="92">
        <f t="shared" ref="C891:P891" si="217">C87+C189+C289+C389+C489+C791</f>
        <v>5469468.8800000008</v>
      </c>
      <c r="D891" s="92">
        <f t="shared" si="217"/>
        <v>1883936.28</v>
      </c>
      <c r="E891" s="92">
        <f t="shared" si="217"/>
        <v>280520.33999999997</v>
      </c>
      <c r="F891" s="92">
        <f t="shared" si="217"/>
        <v>484714.56000000006</v>
      </c>
      <c r="G891" s="92">
        <f t="shared" si="217"/>
        <v>86822.940000000017</v>
      </c>
      <c r="H891" s="92">
        <f t="shared" si="217"/>
        <v>341093.74000000005</v>
      </c>
      <c r="I891" s="92">
        <f t="shared" si="217"/>
        <v>388063.07</v>
      </c>
      <c r="J891" s="92">
        <f t="shared" si="217"/>
        <v>413863.65</v>
      </c>
      <c r="K891" s="92">
        <f t="shared" si="217"/>
        <v>867265.00999999989</v>
      </c>
      <c r="L891" s="92">
        <f t="shared" si="217"/>
        <v>265587</v>
      </c>
      <c r="M891" s="92">
        <f t="shared" si="217"/>
        <v>208520.28</v>
      </c>
      <c r="N891" s="92">
        <f t="shared" si="217"/>
        <v>17495.050000000003</v>
      </c>
      <c r="O891" s="92">
        <f t="shared" si="217"/>
        <v>178218.68000000002</v>
      </c>
      <c r="P891" s="93">
        <f t="shared" si="217"/>
        <v>53368.28</v>
      </c>
    </row>
    <row r="892" spans="1:16" x14ac:dyDescent="0.3">
      <c r="A892" s="94">
        <v>44593</v>
      </c>
      <c r="B892" s="143"/>
      <c r="C892" s="92">
        <f t="shared" ref="C892:P892" si="218">C88+C190+C290+C390+C490+C792</f>
        <v>5399108.54</v>
      </c>
      <c r="D892" s="92">
        <f t="shared" si="218"/>
        <v>1889352.56</v>
      </c>
      <c r="E892" s="92">
        <f t="shared" si="218"/>
        <v>278088.07999999996</v>
      </c>
      <c r="F892" s="92">
        <f t="shared" si="218"/>
        <v>480391.81</v>
      </c>
      <c r="G892" s="92">
        <f t="shared" si="218"/>
        <v>86046.190000000017</v>
      </c>
      <c r="H892" s="92">
        <f t="shared" si="218"/>
        <v>318288.17</v>
      </c>
      <c r="I892" s="92">
        <f t="shared" si="218"/>
        <v>394852.18000000005</v>
      </c>
      <c r="J892" s="92">
        <f t="shared" si="218"/>
        <v>379793.11</v>
      </c>
      <c r="K892" s="92">
        <f t="shared" si="218"/>
        <v>879192.3899999999</v>
      </c>
      <c r="L892" s="92">
        <f t="shared" si="218"/>
        <v>251005.70000000004</v>
      </c>
      <c r="M892" s="92">
        <f t="shared" si="218"/>
        <v>204937.85</v>
      </c>
      <c r="N892" s="92">
        <f t="shared" si="218"/>
        <v>16521.57</v>
      </c>
      <c r="O892" s="92">
        <f t="shared" si="218"/>
        <v>166559.73000000001</v>
      </c>
      <c r="P892" s="93">
        <f t="shared" si="218"/>
        <v>54079.199999999997</v>
      </c>
    </row>
    <row r="893" spans="1:16" x14ac:dyDescent="0.3">
      <c r="A893" s="94">
        <v>44621</v>
      </c>
      <c r="B893" s="143"/>
      <c r="C893" s="92">
        <f t="shared" ref="C893:P893" si="219">C89+C191+C291+C391+C491+C793</f>
        <v>5357399.76</v>
      </c>
      <c r="D893" s="92">
        <f t="shared" si="219"/>
        <v>1885551.2200000002</v>
      </c>
      <c r="E893" s="92">
        <f t="shared" si="219"/>
        <v>274553.40999999997</v>
      </c>
      <c r="F893" s="92">
        <f t="shared" si="219"/>
        <v>458416.84</v>
      </c>
      <c r="G893" s="92">
        <f t="shared" si="219"/>
        <v>84713.22</v>
      </c>
      <c r="H893" s="92">
        <f t="shared" si="219"/>
        <v>331626.14</v>
      </c>
      <c r="I893" s="92">
        <f t="shared" si="219"/>
        <v>392239.32</v>
      </c>
      <c r="J893" s="92">
        <f t="shared" si="219"/>
        <v>351669.13</v>
      </c>
      <c r="K893" s="92">
        <f t="shared" si="219"/>
        <v>897400.66999999993</v>
      </c>
      <c r="L893" s="92">
        <f t="shared" si="219"/>
        <v>249905.38</v>
      </c>
      <c r="M893" s="92">
        <f t="shared" si="219"/>
        <v>192905.34999999998</v>
      </c>
      <c r="N893" s="92">
        <f t="shared" si="219"/>
        <v>14215.859999999999</v>
      </c>
      <c r="O893" s="92">
        <f t="shared" si="219"/>
        <v>167952.03</v>
      </c>
      <c r="P893" s="93">
        <f t="shared" si="219"/>
        <v>56251.19</v>
      </c>
    </row>
    <row r="894" spans="1:16" x14ac:dyDescent="0.3">
      <c r="A894" s="94">
        <v>44652</v>
      </c>
      <c r="B894" s="143"/>
      <c r="C894" s="92">
        <f t="shared" ref="C894:P894" si="220">C90+C192+C292+C392+C492+C794</f>
        <v>5370756.4400000004</v>
      </c>
      <c r="D894" s="92">
        <f t="shared" si="220"/>
        <v>1927160.4800000002</v>
      </c>
      <c r="E894" s="92">
        <f t="shared" si="220"/>
        <v>265292.02</v>
      </c>
      <c r="F894" s="92">
        <f t="shared" si="220"/>
        <v>475461.56</v>
      </c>
      <c r="G894" s="92">
        <f t="shared" si="220"/>
        <v>83185.240000000005</v>
      </c>
      <c r="H894" s="92">
        <f t="shared" si="220"/>
        <v>335864.37000000005</v>
      </c>
      <c r="I894" s="92">
        <f t="shared" si="220"/>
        <v>381479.63</v>
      </c>
      <c r="J894" s="92">
        <f t="shared" si="220"/>
        <v>365371.01</v>
      </c>
      <c r="K894" s="92">
        <f t="shared" si="220"/>
        <v>893085.49</v>
      </c>
      <c r="L894" s="92">
        <f t="shared" si="220"/>
        <v>250516.25999999998</v>
      </c>
      <c r="M894" s="92">
        <f t="shared" si="220"/>
        <v>164292.19999999995</v>
      </c>
      <c r="N894" s="92">
        <f t="shared" si="220"/>
        <v>13440.039999999999</v>
      </c>
      <c r="O894" s="92">
        <f t="shared" si="220"/>
        <v>155922.39000000001</v>
      </c>
      <c r="P894" s="93">
        <f t="shared" si="220"/>
        <v>59685.75</v>
      </c>
    </row>
    <row r="895" spans="1:16" x14ac:dyDescent="0.3">
      <c r="A895" s="94">
        <v>44682</v>
      </c>
      <c r="B895" s="143"/>
      <c r="C895" s="92">
        <f t="shared" ref="C895:P895" si="221">C91+C193+C293+C393+C493+C795</f>
        <v>5446238.9700000007</v>
      </c>
      <c r="D895" s="92">
        <f t="shared" si="221"/>
        <v>1965857.5100000002</v>
      </c>
      <c r="E895" s="92">
        <f t="shared" si="221"/>
        <v>246860.07</v>
      </c>
      <c r="F895" s="92">
        <f t="shared" si="221"/>
        <v>496180.16000000003</v>
      </c>
      <c r="G895" s="92">
        <f t="shared" si="221"/>
        <v>82664.330000000016</v>
      </c>
      <c r="H895" s="92">
        <f t="shared" si="221"/>
        <v>332815.34000000008</v>
      </c>
      <c r="I895" s="92">
        <f t="shared" si="221"/>
        <v>386065.22</v>
      </c>
      <c r="J895" s="92">
        <f t="shared" si="221"/>
        <v>388997.19000000006</v>
      </c>
      <c r="K895" s="92">
        <f t="shared" si="221"/>
        <v>899575.76</v>
      </c>
      <c r="L895" s="92">
        <f t="shared" si="221"/>
        <v>257603.44</v>
      </c>
      <c r="M895" s="92">
        <f t="shared" si="221"/>
        <v>166145.74999999997</v>
      </c>
      <c r="N895" s="92">
        <f t="shared" si="221"/>
        <v>11444.3</v>
      </c>
      <c r="O895" s="92">
        <f t="shared" si="221"/>
        <v>156086.31</v>
      </c>
      <c r="P895" s="93">
        <f t="shared" si="221"/>
        <v>55943.590000000004</v>
      </c>
    </row>
    <row r="896" spans="1:16" x14ac:dyDescent="0.3">
      <c r="A896" s="94">
        <v>44713</v>
      </c>
      <c r="B896" s="143"/>
      <c r="C896" s="92">
        <f t="shared" ref="C896:P896" si="222">C92+C194+C294+C394+C494+C796</f>
        <v>5402850.8899999997</v>
      </c>
      <c r="D896" s="92">
        <f t="shared" si="222"/>
        <v>1988040.07</v>
      </c>
      <c r="E896" s="92">
        <f t="shared" si="222"/>
        <v>243766.14000000004</v>
      </c>
      <c r="F896" s="92">
        <f t="shared" si="222"/>
        <v>487968.82000000007</v>
      </c>
      <c r="G896" s="92">
        <f t="shared" si="222"/>
        <v>79951.41</v>
      </c>
      <c r="H896" s="92">
        <f t="shared" si="222"/>
        <v>341877.62000000005</v>
      </c>
      <c r="I896" s="92">
        <f t="shared" si="222"/>
        <v>356558.48</v>
      </c>
      <c r="J896" s="92">
        <f t="shared" si="222"/>
        <v>358040.43</v>
      </c>
      <c r="K896" s="92">
        <f t="shared" si="222"/>
        <v>895244.80000000005</v>
      </c>
      <c r="L896" s="92">
        <f t="shared" si="222"/>
        <v>255190.64999999994</v>
      </c>
      <c r="M896" s="92">
        <f t="shared" si="222"/>
        <v>165986.14999999997</v>
      </c>
      <c r="N896" s="92">
        <f t="shared" si="222"/>
        <v>12578.93</v>
      </c>
      <c r="O896" s="92">
        <f t="shared" si="222"/>
        <v>152265.46000000002</v>
      </c>
      <c r="P896" s="93">
        <f t="shared" si="222"/>
        <v>65381.93</v>
      </c>
    </row>
    <row r="897" spans="1:16" x14ac:dyDescent="0.3">
      <c r="A897" s="94">
        <v>44743</v>
      </c>
      <c r="B897" s="143"/>
      <c r="P897" s="93"/>
    </row>
    <row r="898" spans="1:16" x14ac:dyDescent="0.3">
      <c r="A898" s="94">
        <v>44774</v>
      </c>
      <c r="B898" s="143"/>
      <c r="P898" s="93"/>
    </row>
    <row r="899" spans="1:16" x14ac:dyDescent="0.3">
      <c r="A899" s="94">
        <v>44805</v>
      </c>
      <c r="B899" s="143"/>
      <c r="P899" s="93"/>
    </row>
    <row r="900" spans="1:16" x14ac:dyDescent="0.3">
      <c r="A900" s="94">
        <v>44835</v>
      </c>
      <c r="B900" s="143"/>
      <c r="P900" s="93"/>
    </row>
    <row r="901" spans="1:16" x14ac:dyDescent="0.3">
      <c r="A901" s="94">
        <v>44866</v>
      </c>
      <c r="B901" s="143"/>
      <c r="P901" s="93"/>
    </row>
    <row r="902" spans="1:16" x14ac:dyDescent="0.3">
      <c r="A902" s="94">
        <v>44896</v>
      </c>
      <c r="B902" s="143"/>
      <c r="P902" s="93"/>
    </row>
    <row r="903" spans="1:16" x14ac:dyDescent="0.3">
      <c r="A903" s="94"/>
      <c r="B903" s="143"/>
      <c r="P903" s="93"/>
    </row>
    <row r="904" spans="1:16" x14ac:dyDescent="0.3">
      <c r="A904" s="94"/>
      <c r="B904" s="143"/>
      <c r="P904" s="93"/>
    </row>
    <row r="905" spans="1:16" x14ac:dyDescent="0.3">
      <c r="A905" t="s">
        <v>23</v>
      </c>
      <c r="C905" s="92">
        <f>C886-C874</f>
        <v>-284273.27000000048</v>
      </c>
      <c r="D905" s="92">
        <f>D886-D874</f>
        <v>-654145.87000000034</v>
      </c>
      <c r="E905" s="92">
        <f t="shared" ref="E905:P905" si="223">E886-E874</f>
        <v>-77629.409999999974</v>
      </c>
      <c r="F905" s="92">
        <f t="shared" si="223"/>
        <v>17203.439999999944</v>
      </c>
      <c r="G905" s="92">
        <f t="shared" si="223"/>
        <v>35476.37999999999</v>
      </c>
      <c r="H905" s="92">
        <f t="shared" si="223"/>
        <v>50345.459999999963</v>
      </c>
      <c r="I905" s="92">
        <f t="shared" si="223"/>
        <v>150313.31000000003</v>
      </c>
      <c r="J905" s="92">
        <f t="shared" si="223"/>
        <v>19286.020000000019</v>
      </c>
      <c r="K905" s="92">
        <f t="shared" si="223"/>
        <v>150100.04999999981</v>
      </c>
      <c r="L905" s="92">
        <f t="shared" si="223"/>
        <v>-16108.180000000109</v>
      </c>
      <c r="M905" s="92">
        <f t="shared" si="223"/>
        <v>57046.610000000015</v>
      </c>
      <c r="N905" s="92">
        <f t="shared" si="223"/>
        <v>-40142.14</v>
      </c>
      <c r="O905" s="92">
        <f t="shared" si="223"/>
        <v>56560.929999999993</v>
      </c>
      <c r="P905" s="92">
        <f t="shared" si="223"/>
        <v>-32579.870000000006</v>
      </c>
    </row>
    <row r="906" spans="1:16" x14ac:dyDescent="0.3">
      <c r="A906" t="s">
        <v>24</v>
      </c>
      <c r="D906" s="144">
        <f>D874/$C874</f>
        <v>0.44842004350514159</v>
      </c>
      <c r="E906" s="144">
        <f t="shared" ref="E906:P906" si="224">E874/$C874</f>
        <v>5.4686162311776275E-2</v>
      </c>
      <c r="F906" s="144">
        <f t="shared" si="224"/>
        <v>8.9457354754718402E-2</v>
      </c>
      <c r="G906" s="144">
        <f t="shared" si="224"/>
        <v>8.8946633597473384E-3</v>
      </c>
      <c r="H906" s="144">
        <f t="shared" si="224"/>
        <v>4.5088306707793235E-2</v>
      </c>
      <c r="I906" s="144">
        <f t="shared" si="224"/>
        <v>4.0040588510262591E-2</v>
      </c>
      <c r="J906" s="144">
        <f t="shared" si="224"/>
        <v>6.6118569184172027E-2</v>
      </c>
      <c r="K906" s="144">
        <f t="shared" si="224"/>
        <v>0.12573175996078034</v>
      </c>
      <c r="L906" s="144">
        <f t="shared" si="224"/>
        <v>5.2204094340759295E-2</v>
      </c>
      <c r="M906" s="144">
        <f t="shared" si="224"/>
        <v>2.4302392724762673E-2</v>
      </c>
      <c r="N906" s="144">
        <f t="shared" si="224"/>
        <v>1.0123645742052998E-2</v>
      </c>
      <c r="O906" s="144">
        <f t="shared" si="224"/>
        <v>2.4096879761675946E-2</v>
      </c>
      <c r="P906" s="144">
        <f t="shared" si="224"/>
        <v>1.0835539136357441E-2</v>
      </c>
    </row>
    <row r="907" spans="1:16" x14ac:dyDescent="0.3">
      <c r="A907" t="s">
        <v>25</v>
      </c>
      <c r="D907" s="144">
        <f>D886/$C$783</f>
        <v>8.9690021732915284</v>
      </c>
      <c r="E907" s="144">
        <f t="shared" ref="E907:P907" si="225">E886/$C$783</f>
        <v>1.1041989706645157</v>
      </c>
      <c r="F907" s="144">
        <f t="shared" si="225"/>
        <v>2.5053521188489443</v>
      </c>
      <c r="G907" s="144">
        <f t="shared" si="225"/>
        <v>0.41280767671707935</v>
      </c>
      <c r="H907" s="144">
        <f t="shared" si="225"/>
        <v>1.4647935450618739</v>
      </c>
      <c r="I907" s="144">
        <f t="shared" si="225"/>
        <v>1.8127944993766942</v>
      </c>
      <c r="J907" s="144">
        <f>J886/$C$783</f>
        <v>1.8835801854494916</v>
      </c>
      <c r="K907" s="144">
        <f t="shared" si="225"/>
        <v>4.1317426664197967</v>
      </c>
      <c r="L907" s="144">
        <f t="shared" si="225"/>
        <v>1.3352657675143844</v>
      </c>
      <c r="M907" s="144">
        <f t="shared" si="225"/>
        <v>0.93452907758568815</v>
      </c>
      <c r="N907" s="144">
        <f t="shared" si="225"/>
        <v>7.94690103909486E-2</v>
      </c>
      <c r="O907" s="144">
        <f t="shared" si="225"/>
        <v>0.92661040747119305</v>
      </c>
      <c r="P907" s="144">
        <f t="shared" si="225"/>
        <v>0.13540585069064923</v>
      </c>
    </row>
    <row r="908" spans="1:16" x14ac:dyDescent="0.3">
      <c r="A908" t="s">
        <v>26</v>
      </c>
      <c r="D908" s="144">
        <f>D905/D874</f>
        <v>-0.26122777253200213</v>
      </c>
      <c r="E908" s="144">
        <f t="shared" ref="E908:P908" si="226">E905/E874</f>
        <v>-0.25420178640738034</v>
      </c>
      <c r="F908" s="144">
        <f t="shared" si="226"/>
        <v>3.4437292950896536E-2</v>
      </c>
      <c r="G908" s="144">
        <f t="shared" si="226"/>
        <v>0.71423239161001328</v>
      </c>
      <c r="H908" s="144">
        <f t="shared" si="226"/>
        <v>0.19995218189941902</v>
      </c>
      <c r="I908" s="144">
        <f t="shared" si="226"/>
        <v>0.67224370831356794</v>
      </c>
      <c r="J908" s="144">
        <f t="shared" si="226"/>
        <v>5.2233475756932365E-2</v>
      </c>
      <c r="K908" s="144">
        <f t="shared" si="226"/>
        <v>0.21377927609006039</v>
      </c>
      <c r="L908" s="144">
        <f t="shared" si="226"/>
        <v>-5.5255010791037937E-2</v>
      </c>
      <c r="M908" s="144">
        <f t="shared" si="226"/>
        <v>0.42034953053635826</v>
      </c>
      <c r="N908" s="144">
        <f t="shared" si="226"/>
        <v>-0.71005721015458578</v>
      </c>
      <c r="O908" s="144">
        <f t="shared" si="226"/>
        <v>0.42032526070921883</v>
      </c>
      <c r="P908" s="144">
        <f t="shared" si="226"/>
        <v>-0.53842917207012297</v>
      </c>
    </row>
    <row r="909" spans="1:16" x14ac:dyDescent="0.3">
      <c r="A909" t="s">
        <v>27</v>
      </c>
    </row>
    <row r="910" spans="1:16" x14ac:dyDescent="0.3">
      <c r="A910" t="s">
        <v>23</v>
      </c>
      <c r="C910" s="92">
        <f>C886-O886-C874</f>
        <v>-475398.87000000011</v>
      </c>
    </row>
    <row r="911" spans="1:16" x14ac:dyDescent="0.3">
      <c r="A911" t="s">
        <v>24</v>
      </c>
      <c r="D911" s="144">
        <f>D874/($C874-$O874)</f>
        <v>0.45949237604203325</v>
      </c>
      <c r="E911" s="144">
        <f t="shared" ref="E911:P911" si="227">E874/($C874-$O874)</f>
        <v>5.6036466302537738E-2</v>
      </c>
      <c r="F911" s="144">
        <f t="shared" si="227"/>
        <v>9.1666224750743833E-2</v>
      </c>
      <c r="G911" s="144">
        <f t="shared" si="227"/>
        <v>9.1142892929527517E-3</v>
      </c>
      <c r="H911" s="144">
        <f t="shared" si="227"/>
        <v>4.620162162898124E-2</v>
      </c>
      <c r="I911" s="144">
        <f t="shared" si="227"/>
        <v>4.1029265794830468E-2</v>
      </c>
      <c r="J911" s="144">
        <f t="shared" si="227"/>
        <v>6.7751160758688117E-2</v>
      </c>
      <c r="K911" s="144">
        <f t="shared" si="227"/>
        <v>0.12883631310664889</v>
      </c>
      <c r="L911" s="144">
        <f t="shared" si="227"/>
        <v>5.3493111414594723E-2</v>
      </c>
      <c r="M911" s="144">
        <f t="shared" si="227"/>
        <v>2.4902464415553681E-2</v>
      </c>
      <c r="N911" s="144">
        <f t="shared" si="227"/>
        <v>1.0373617557018072E-2</v>
      </c>
      <c r="O911" s="144">
        <f t="shared" si="227"/>
        <v>2.4691876951670445E-2</v>
      </c>
      <c r="P911" s="144">
        <f t="shared" si="227"/>
        <v>1.1103088935417388E-2</v>
      </c>
    </row>
    <row r="912" spans="1:16" x14ac:dyDescent="0.3">
      <c r="A912" t="s">
        <v>25</v>
      </c>
      <c r="D912" s="144">
        <f>D886/($C886-$O886)</f>
        <v>0.36210680048959076</v>
      </c>
      <c r="E912" s="144">
        <f t="shared" ref="E912:P912" si="228">E886/($C886-$O886)</f>
        <v>4.4579982103459675E-2</v>
      </c>
      <c r="F912" s="144">
        <f t="shared" si="228"/>
        <v>0.10114893745457457</v>
      </c>
      <c r="G912" s="144">
        <f t="shared" si="228"/>
        <v>1.6666343049697937E-2</v>
      </c>
      <c r="H912" s="144">
        <f t="shared" si="228"/>
        <v>5.913831814643266E-2</v>
      </c>
      <c r="I912" s="144">
        <f t="shared" si="228"/>
        <v>7.3188210174501847E-2</v>
      </c>
      <c r="J912" s="144">
        <f t="shared" si="228"/>
        <v>7.6046050746846644E-2</v>
      </c>
      <c r="K912" s="144">
        <f t="shared" si="228"/>
        <v>0.16681143436879539</v>
      </c>
      <c r="L912" s="144">
        <f t="shared" si="228"/>
        <v>5.390887475952845E-2</v>
      </c>
      <c r="M912" s="144">
        <f t="shared" si="228"/>
        <v>3.7729875376410253E-2</v>
      </c>
      <c r="N912" s="144">
        <f t="shared" si="228"/>
        <v>3.20841366015411E-3</v>
      </c>
      <c r="O912" s="144">
        <f t="shared" si="228"/>
        <v>3.7410173781529263E-2</v>
      </c>
      <c r="P912" s="144">
        <f t="shared" si="228"/>
        <v>5.4667596700077783E-3</v>
      </c>
    </row>
    <row r="914" spans="16:16" x14ac:dyDescent="0.3">
      <c r="P914" s="93"/>
    </row>
    <row r="915" spans="16:16" x14ac:dyDescent="0.3">
      <c r="P915" s="93"/>
    </row>
    <row r="916" spans="16:16" x14ac:dyDescent="0.3">
      <c r="P916" s="93"/>
    </row>
    <row r="917" spans="16:16" x14ac:dyDescent="0.3">
      <c r="P917" s="93"/>
    </row>
    <row r="918" spans="16:16" x14ac:dyDescent="0.3">
      <c r="P918" s="93"/>
    </row>
    <row r="919" spans="16:16" x14ac:dyDescent="0.3">
      <c r="P919" s="93"/>
    </row>
    <row r="920" spans="16:16" x14ac:dyDescent="0.3">
      <c r="P920" s="93"/>
    </row>
    <row r="921" spans="16:16" x14ac:dyDescent="0.3">
      <c r="P921" s="93"/>
    </row>
    <row r="922" spans="16:16" x14ac:dyDescent="0.3">
      <c r="P922" s="93"/>
    </row>
    <row r="923" spans="16:16" x14ac:dyDescent="0.3">
      <c r="P923" s="93"/>
    </row>
    <row r="924" spans="16:16" x14ac:dyDescent="0.3">
      <c r="P924" s="93"/>
    </row>
    <row r="925" spans="16:16" x14ac:dyDescent="0.3">
      <c r="P925" s="93"/>
    </row>
    <row r="926" spans="16:16" x14ac:dyDescent="0.3">
      <c r="P926" s="93"/>
    </row>
    <row r="927" spans="16:16" x14ac:dyDescent="0.3">
      <c r="P927" s="93"/>
    </row>
    <row r="928" spans="16:16" x14ac:dyDescent="0.3">
      <c r="P928" s="93"/>
    </row>
    <row r="929" spans="16:16" x14ac:dyDescent="0.3">
      <c r="P929" s="93"/>
    </row>
    <row r="930" spans="16:16" x14ac:dyDescent="0.3">
      <c r="P930" s="93"/>
    </row>
    <row r="931" spans="16:16" x14ac:dyDescent="0.3">
      <c r="P931" s="93"/>
    </row>
    <row r="932" spans="16:16" x14ac:dyDescent="0.3">
      <c r="P932" s="93"/>
    </row>
    <row r="933" spans="16:16" x14ac:dyDescent="0.3">
      <c r="P933" s="93"/>
    </row>
    <row r="934" spans="16:16" x14ac:dyDescent="0.3">
      <c r="P934" s="93"/>
    </row>
    <row r="935" spans="16:16" x14ac:dyDescent="0.3">
      <c r="P935" s="93"/>
    </row>
    <row r="936" spans="16:16" x14ac:dyDescent="0.3">
      <c r="P936" s="93"/>
    </row>
    <row r="937" spans="16:16" x14ac:dyDescent="0.3">
      <c r="P937" s="93"/>
    </row>
    <row r="938" spans="16:16" x14ac:dyDescent="0.3">
      <c r="P938" s="93"/>
    </row>
    <row r="939" spans="16:16" x14ac:dyDescent="0.3">
      <c r="P939" s="93"/>
    </row>
    <row r="940" spans="16:16" x14ac:dyDescent="0.3">
      <c r="P940" s="93"/>
    </row>
    <row r="941" spans="16:16" x14ac:dyDescent="0.3">
      <c r="P941" s="93"/>
    </row>
    <row r="942" spans="16:16" x14ac:dyDescent="0.3">
      <c r="P942" s="93"/>
    </row>
    <row r="943" spans="16:16" x14ac:dyDescent="0.3">
      <c r="P943" s="93"/>
    </row>
    <row r="944" spans="16:16" x14ac:dyDescent="0.3">
      <c r="P944" s="93"/>
    </row>
    <row r="945" spans="16:16" x14ac:dyDescent="0.3">
      <c r="P945" s="93"/>
    </row>
    <row r="946" spans="16:16" x14ac:dyDescent="0.3">
      <c r="P946" s="93"/>
    </row>
    <row r="947" spans="16:16" x14ac:dyDescent="0.3">
      <c r="P947" s="93"/>
    </row>
    <row r="948" spans="16:16" x14ac:dyDescent="0.3">
      <c r="P948" s="93"/>
    </row>
    <row r="949" spans="16:16" x14ac:dyDescent="0.3">
      <c r="P949" s="93"/>
    </row>
    <row r="950" spans="16:16" x14ac:dyDescent="0.3">
      <c r="P950" s="93"/>
    </row>
    <row r="951" spans="16:16" x14ac:dyDescent="0.3">
      <c r="P951" s="93"/>
    </row>
    <row r="952" spans="16:16" x14ac:dyDescent="0.3">
      <c r="P952" s="93"/>
    </row>
    <row r="953" spans="16:16" x14ac:dyDescent="0.3">
      <c r="P953" s="93"/>
    </row>
    <row r="954" spans="16:16" x14ac:dyDescent="0.3">
      <c r="P954" s="93"/>
    </row>
    <row r="955" spans="16:16" x14ac:dyDescent="0.3">
      <c r="P955" s="93"/>
    </row>
    <row r="956" spans="16:16" x14ac:dyDescent="0.3">
      <c r="P956" s="93"/>
    </row>
    <row r="957" spans="16:16" x14ac:dyDescent="0.3">
      <c r="P957" s="93"/>
    </row>
    <row r="958" spans="16:16" x14ac:dyDescent="0.3">
      <c r="P958" s="93"/>
    </row>
    <row r="959" spans="16:16" x14ac:dyDescent="0.3">
      <c r="P959" s="93"/>
    </row>
    <row r="960" spans="16:16" x14ac:dyDescent="0.3">
      <c r="P960" s="93"/>
    </row>
    <row r="961" spans="16:16" x14ac:dyDescent="0.3">
      <c r="P961" s="93"/>
    </row>
    <row r="962" spans="16:16" x14ac:dyDescent="0.3">
      <c r="P962" s="93"/>
    </row>
    <row r="963" spans="16:16" x14ac:dyDescent="0.3">
      <c r="P963" s="93"/>
    </row>
    <row r="964" spans="16:16" x14ac:dyDescent="0.3">
      <c r="P964" s="93"/>
    </row>
    <row r="965" spans="16:16" x14ac:dyDescent="0.3">
      <c r="P965" s="93"/>
    </row>
    <row r="966" spans="16:16" x14ac:dyDescent="0.3">
      <c r="P966" s="93"/>
    </row>
    <row r="967" spans="16:16" x14ac:dyDescent="0.3">
      <c r="P967" s="93"/>
    </row>
    <row r="968" spans="16:16" x14ac:dyDescent="0.3">
      <c r="P968" s="93"/>
    </row>
    <row r="969" spans="16:16" x14ac:dyDescent="0.3">
      <c r="P969" s="93"/>
    </row>
    <row r="970" spans="16:16" x14ac:dyDescent="0.3">
      <c r="P970" s="93"/>
    </row>
    <row r="971" spans="16:16" x14ac:dyDescent="0.3">
      <c r="P971" s="93"/>
    </row>
    <row r="972" spans="16:16" x14ac:dyDescent="0.3">
      <c r="P972" s="93"/>
    </row>
    <row r="973" spans="16:16" x14ac:dyDescent="0.3">
      <c r="P973" s="93"/>
    </row>
    <row r="974" spans="16:16" x14ac:dyDescent="0.3">
      <c r="P974" s="93"/>
    </row>
    <row r="975" spans="16:16" x14ac:dyDescent="0.3">
      <c r="P975" s="93"/>
    </row>
    <row r="976" spans="16:16" x14ac:dyDescent="0.3">
      <c r="P976" s="93"/>
    </row>
    <row r="977" spans="16:16" x14ac:dyDescent="0.3">
      <c r="P977" s="93"/>
    </row>
    <row r="978" spans="16:16" x14ac:dyDescent="0.3">
      <c r="P978" s="93"/>
    </row>
    <row r="979" spans="16:16" x14ac:dyDescent="0.3">
      <c r="P979" s="93"/>
    </row>
    <row r="980" spans="16:16" x14ac:dyDescent="0.3">
      <c r="P980" s="93"/>
    </row>
    <row r="981" spans="16:16" x14ac:dyDescent="0.3">
      <c r="P981" s="93"/>
    </row>
    <row r="982" spans="16:16" x14ac:dyDescent="0.3">
      <c r="P982" s="93"/>
    </row>
    <row r="983" spans="16:16" x14ac:dyDescent="0.3">
      <c r="P983" s="93"/>
    </row>
    <row r="984" spans="16:16" x14ac:dyDescent="0.3">
      <c r="P984" s="93"/>
    </row>
    <row r="985" spans="16:16" x14ac:dyDescent="0.3">
      <c r="P985" s="93"/>
    </row>
    <row r="986" spans="16:16" x14ac:dyDescent="0.3">
      <c r="P986" s="93"/>
    </row>
    <row r="987" spans="16:16" x14ac:dyDescent="0.3">
      <c r="P987" s="93"/>
    </row>
  </sheetData>
  <mergeCells count="9">
    <mergeCell ref="B304:B388"/>
    <mergeCell ref="B2:B86"/>
    <mergeCell ref="B104:B188"/>
    <mergeCell ref="B204:B288"/>
    <mergeCell ref="B806:B843"/>
    <mergeCell ref="B706:B805"/>
    <mergeCell ref="B605:B705"/>
    <mergeCell ref="B504:B604"/>
    <mergeCell ref="B404:B503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tabColor rgb="FF6699FF"/>
  </sheetPr>
  <dimension ref="A1:Q984"/>
  <sheetViews>
    <sheetView zoomScale="85" zoomScaleNormal="85" workbookViewId="0">
      <pane xSplit="3" ySplit="3" topLeftCell="D964" activePane="bottomRight" state="frozen"/>
      <selection pane="topRight" activeCell="D1" sqref="D1"/>
      <selection pane="bottomLeft" activeCell="A4" sqref="A4"/>
      <selection pane="bottomRight" activeCell="K990" sqref="K990"/>
    </sheetView>
  </sheetViews>
  <sheetFormatPr baseColWidth="10" defaultColWidth="11.5546875" defaultRowHeight="14.4" x14ac:dyDescent="0.3"/>
  <cols>
    <col min="1" max="2" width="9" customWidth="1"/>
    <col min="3" max="3" width="17.44140625" style="92" customWidth="1"/>
    <col min="4" max="4" width="17" style="92" bestFit="1" customWidth="1"/>
    <col min="5" max="5" width="12.5546875" style="92" bestFit="1" customWidth="1"/>
    <col min="6" max="6" width="18.6640625" style="92" bestFit="1" customWidth="1"/>
    <col min="7" max="7" width="13.6640625" style="92" bestFit="1" customWidth="1"/>
    <col min="8" max="8" width="11.5546875" style="92" bestFit="1" customWidth="1"/>
    <col min="9" max="9" width="17.33203125" style="92" bestFit="1" customWidth="1"/>
    <col min="10" max="10" width="18.44140625" style="92" bestFit="1" customWidth="1"/>
    <col min="11" max="11" width="12.5546875" style="92" bestFit="1" customWidth="1"/>
    <col min="12" max="13" width="11.5546875" style="92" bestFit="1" customWidth="1"/>
    <col min="14" max="14" width="16.5546875" style="92" bestFit="1" customWidth="1"/>
    <col min="15" max="15" width="23" style="92" bestFit="1" customWidth="1"/>
    <col min="16" max="16" width="19.33203125" style="117" customWidth="1"/>
    <col min="18" max="68" width="11.33203125" customWidth="1"/>
  </cols>
  <sheetData>
    <row r="1" spans="1:16" x14ac:dyDescent="0.3">
      <c r="A1" s="158" t="s">
        <v>1</v>
      </c>
      <c r="B1" s="155" t="s">
        <v>0</v>
      </c>
      <c r="C1" s="152" t="s">
        <v>2</v>
      </c>
      <c r="D1" s="152" t="s">
        <v>3</v>
      </c>
      <c r="E1" s="152" t="s">
        <v>4</v>
      </c>
      <c r="F1" s="152" t="s">
        <v>5</v>
      </c>
      <c r="G1" s="152" t="s">
        <v>6</v>
      </c>
      <c r="H1" s="152" t="s">
        <v>7</v>
      </c>
      <c r="I1" s="152" t="s">
        <v>8</v>
      </c>
      <c r="J1" s="152" t="s">
        <v>9</v>
      </c>
      <c r="K1" s="152" t="s">
        <v>10</v>
      </c>
      <c r="L1" s="152" t="s">
        <v>11</v>
      </c>
      <c r="M1" s="152" t="s">
        <v>12</v>
      </c>
      <c r="N1" s="152" t="s">
        <v>13</v>
      </c>
      <c r="O1" s="152" t="s">
        <v>14</v>
      </c>
      <c r="P1" s="150" t="s">
        <v>28</v>
      </c>
    </row>
    <row r="2" spans="1:16" ht="15.75" customHeight="1" thickBot="1" x14ac:dyDescent="0.35">
      <c r="A2" s="159"/>
      <c r="B2" s="156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4"/>
      <c r="P2" s="151"/>
    </row>
    <row r="3" spans="1:16" ht="5.7" customHeight="1" thickBot="1" x14ac:dyDescent="0.35">
      <c r="A3" s="98"/>
      <c r="B3" s="99"/>
      <c r="C3" s="100"/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15"/>
    </row>
    <row r="4" spans="1:16" ht="14.7" customHeight="1" x14ac:dyDescent="0.3">
      <c r="A4" s="145" t="s">
        <v>15</v>
      </c>
      <c r="B4" s="96">
        <v>41640</v>
      </c>
      <c r="C4" s="95">
        <f t="shared" ref="C4:C67" si="0">SUM(D4:P4)</f>
        <v>124177.93999999999</v>
      </c>
      <c r="D4" s="95">
        <v>55851.170000000006</v>
      </c>
      <c r="E4" s="95">
        <v>8124.5499999999975</v>
      </c>
      <c r="F4" s="95">
        <v>19417.319999999996</v>
      </c>
      <c r="G4" s="95">
        <v>6201.5</v>
      </c>
      <c r="H4" s="95">
        <v>1168.08</v>
      </c>
      <c r="I4" s="95">
        <v>1043.0599999999997</v>
      </c>
      <c r="J4" s="95">
        <v>4548.6399999999994</v>
      </c>
      <c r="K4" s="95">
        <v>17890.599999999995</v>
      </c>
      <c r="L4" s="95">
        <v>4676.7199999999993</v>
      </c>
      <c r="M4" s="95">
        <v>5256.2999999999993</v>
      </c>
      <c r="N4" s="95">
        <v>0</v>
      </c>
      <c r="O4" s="95"/>
      <c r="P4" s="116"/>
    </row>
    <row r="5" spans="1:16" x14ac:dyDescent="0.3">
      <c r="A5" s="146"/>
      <c r="B5" s="94">
        <v>41671</v>
      </c>
      <c r="C5" s="92">
        <f t="shared" si="0"/>
        <v>178223.12000000002</v>
      </c>
      <c r="D5" s="92">
        <v>53350.310000000005</v>
      </c>
      <c r="E5" s="92">
        <v>20032.380000000005</v>
      </c>
      <c r="F5" s="92">
        <v>30878.909999999996</v>
      </c>
      <c r="G5" s="92">
        <v>6224.2499999999982</v>
      </c>
      <c r="H5" s="92">
        <v>1442.3100000000002</v>
      </c>
      <c r="I5" s="92">
        <v>2334.8600000000006</v>
      </c>
      <c r="J5" s="92">
        <v>34318.559999999998</v>
      </c>
      <c r="K5" s="92">
        <v>17404.280000000002</v>
      </c>
      <c r="L5" s="92">
        <v>8213.6899999999987</v>
      </c>
      <c r="M5" s="92">
        <v>4023.5699999999993</v>
      </c>
      <c r="N5" s="92">
        <v>0</v>
      </c>
    </row>
    <row r="6" spans="1:16" x14ac:dyDescent="0.3">
      <c r="A6" s="146"/>
      <c r="B6" s="94">
        <v>41699</v>
      </c>
      <c r="C6" s="92">
        <f t="shared" si="0"/>
        <v>203186.9</v>
      </c>
      <c r="D6" s="92">
        <v>62003.250000000015</v>
      </c>
      <c r="E6" s="92">
        <v>14877.79</v>
      </c>
      <c r="F6" s="92">
        <v>33311.840000000004</v>
      </c>
      <c r="G6" s="92">
        <v>7654.7799999999979</v>
      </c>
      <c r="H6" s="92">
        <v>2875.7200000000003</v>
      </c>
      <c r="I6" s="92">
        <v>750.21000000000015</v>
      </c>
      <c r="J6" s="92">
        <v>27416.559999999998</v>
      </c>
      <c r="K6" s="92">
        <v>46569.359999999957</v>
      </c>
      <c r="L6" s="92">
        <v>4808.4799999999996</v>
      </c>
      <c r="M6" s="92">
        <v>2918.9100000000003</v>
      </c>
      <c r="N6" s="92">
        <v>0</v>
      </c>
    </row>
    <row r="7" spans="1:16" x14ac:dyDescent="0.3">
      <c r="A7" s="146"/>
      <c r="B7" s="94">
        <v>41730</v>
      </c>
      <c r="C7" s="92">
        <f t="shared" si="0"/>
        <v>179400.79000000004</v>
      </c>
      <c r="D7" s="92">
        <v>60323.030000000006</v>
      </c>
      <c r="E7" s="92">
        <v>8633.84</v>
      </c>
      <c r="F7" s="92">
        <v>35654.97</v>
      </c>
      <c r="G7" s="92">
        <v>5829.4300000000021</v>
      </c>
      <c r="H7" s="92">
        <v>2208.1999999999998</v>
      </c>
      <c r="I7" s="92">
        <v>8634.0500000000047</v>
      </c>
      <c r="J7" s="92">
        <v>32335.190000000002</v>
      </c>
      <c r="K7" s="92">
        <v>18780.160000000003</v>
      </c>
      <c r="L7" s="92">
        <v>1609.1299999999999</v>
      </c>
      <c r="M7" s="92">
        <v>5392.79</v>
      </c>
      <c r="N7" s="92">
        <v>0</v>
      </c>
    </row>
    <row r="8" spans="1:16" x14ac:dyDescent="0.3">
      <c r="A8" s="146"/>
      <c r="B8" s="94">
        <v>41760</v>
      </c>
      <c r="C8" s="92">
        <f t="shared" si="0"/>
        <v>152217.86000000002</v>
      </c>
      <c r="D8" s="92">
        <v>55349.329999999987</v>
      </c>
      <c r="E8" s="92">
        <v>9070.7599999999984</v>
      </c>
      <c r="F8" s="92">
        <v>14521.590000000002</v>
      </c>
      <c r="G8" s="92">
        <v>5198.1000000000013</v>
      </c>
      <c r="H8" s="92">
        <v>2201.5</v>
      </c>
      <c r="I8" s="92">
        <v>10844.97000000001</v>
      </c>
      <c r="J8" s="92">
        <v>17962.760000000002</v>
      </c>
      <c r="K8" s="92">
        <v>30863.679999999997</v>
      </c>
      <c r="L8" s="92">
        <v>2298.92</v>
      </c>
      <c r="M8" s="92">
        <v>3906.25</v>
      </c>
      <c r="N8" s="92">
        <v>0</v>
      </c>
    </row>
    <row r="9" spans="1:16" x14ac:dyDescent="0.3">
      <c r="A9" s="146"/>
      <c r="B9" s="94">
        <v>41791</v>
      </c>
      <c r="C9" s="92">
        <f t="shared" si="0"/>
        <v>163130.41999999998</v>
      </c>
      <c r="D9" s="92">
        <v>45812.33</v>
      </c>
      <c r="E9" s="92">
        <v>17062.02</v>
      </c>
      <c r="F9" s="92">
        <v>20736.590000000004</v>
      </c>
      <c r="G9" s="92">
        <v>6673.11</v>
      </c>
      <c r="H9" s="92">
        <v>2664.8</v>
      </c>
      <c r="I9" s="92">
        <v>8611.8400000000038</v>
      </c>
      <c r="J9" s="92">
        <v>32211.919999999998</v>
      </c>
      <c r="K9" s="92">
        <v>22926.97</v>
      </c>
      <c r="L9" s="92">
        <v>1534.54</v>
      </c>
      <c r="M9" s="92">
        <v>4896.3</v>
      </c>
      <c r="N9" s="92">
        <v>0</v>
      </c>
    </row>
    <row r="10" spans="1:16" x14ac:dyDescent="0.3">
      <c r="A10" s="146"/>
      <c r="B10" s="94">
        <v>41821</v>
      </c>
      <c r="C10" s="92">
        <f t="shared" si="0"/>
        <v>187759.05000000008</v>
      </c>
      <c r="D10" s="92">
        <v>68254.960000000036</v>
      </c>
      <c r="E10" s="92">
        <v>5810.3099999999995</v>
      </c>
      <c r="F10" s="92">
        <v>34670.920000000013</v>
      </c>
      <c r="G10" s="92">
        <v>3291.53</v>
      </c>
      <c r="H10" s="92">
        <v>1113.3599999999999</v>
      </c>
      <c r="I10" s="92">
        <v>826.5</v>
      </c>
      <c r="J10" s="92">
        <v>45857.55</v>
      </c>
      <c r="K10" s="92">
        <v>22204.749999999993</v>
      </c>
      <c r="L10" s="92">
        <v>1896.4699999999998</v>
      </c>
      <c r="M10" s="92">
        <v>3832.7</v>
      </c>
      <c r="N10" s="92">
        <v>0</v>
      </c>
    </row>
    <row r="11" spans="1:16" x14ac:dyDescent="0.3">
      <c r="A11" s="146"/>
      <c r="B11" s="94">
        <v>41852</v>
      </c>
      <c r="C11" s="92">
        <f t="shared" si="0"/>
        <v>155664.94000000003</v>
      </c>
      <c r="D11" s="92">
        <v>40337.220000000016</v>
      </c>
      <c r="E11" s="92">
        <v>11982.740000000005</v>
      </c>
      <c r="F11" s="92">
        <v>19826.579999999994</v>
      </c>
      <c r="G11" s="92">
        <v>8158.8499999999985</v>
      </c>
      <c r="H11" s="92">
        <v>904</v>
      </c>
      <c r="I11" s="92">
        <v>1491.0399999999995</v>
      </c>
      <c r="J11" s="92">
        <v>37027.56</v>
      </c>
      <c r="K11" s="92">
        <v>31891.220000000005</v>
      </c>
      <c r="L11" s="92">
        <v>1494.03</v>
      </c>
      <c r="M11" s="92">
        <v>2551.6999999999998</v>
      </c>
      <c r="N11" s="92">
        <v>0</v>
      </c>
    </row>
    <row r="12" spans="1:16" x14ac:dyDescent="0.3">
      <c r="A12" s="146"/>
      <c r="B12" s="94">
        <v>41883</v>
      </c>
      <c r="C12" s="92">
        <f t="shared" si="0"/>
        <v>193965.52000000008</v>
      </c>
      <c r="D12" s="92">
        <v>62274.91000000004</v>
      </c>
      <c r="E12" s="92">
        <v>14071.990000000007</v>
      </c>
      <c r="F12" s="92">
        <v>22042.140000000003</v>
      </c>
      <c r="G12" s="92">
        <v>4928.57</v>
      </c>
      <c r="H12" s="92">
        <v>2910.7499999999995</v>
      </c>
      <c r="I12" s="92">
        <v>-3540.2400000000002</v>
      </c>
      <c r="J12" s="92">
        <v>66713.760000000009</v>
      </c>
      <c r="K12" s="92">
        <v>18048.589999999993</v>
      </c>
      <c r="L12" s="92">
        <v>1738.9099999999996</v>
      </c>
      <c r="M12" s="92">
        <v>4776.1399999999994</v>
      </c>
      <c r="N12" s="92">
        <v>0</v>
      </c>
    </row>
    <row r="13" spans="1:16" x14ac:dyDescent="0.3">
      <c r="A13" s="146"/>
      <c r="B13" s="94">
        <v>41913</v>
      </c>
      <c r="C13" s="92">
        <f t="shared" si="0"/>
        <v>205600.31999999995</v>
      </c>
      <c r="D13" s="92">
        <v>52187.339999999953</v>
      </c>
      <c r="E13" s="92">
        <v>16591.28</v>
      </c>
      <c r="F13" s="92">
        <v>32026.450000000004</v>
      </c>
      <c r="G13" s="92">
        <v>6822.0400000000009</v>
      </c>
      <c r="H13" s="92">
        <v>1936.0800000000002</v>
      </c>
      <c r="I13" s="92">
        <v>2766.4800000000005</v>
      </c>
      <c r="J13" s="92">
        <v>61633.310000000005</v>
      </c>
      <c r="K13" s="92">
        <v>18957.559999999998</v>
      </c>
      <c r="L13" s="92">
        <v>8222.09</v>
      </c>
      <c r="M13" s="92">
        <v>4457.6900000000005</v>
      </c>
      <c r="N13" s="92">
        <v>0</v>
      </c>
    </row>
    <row r="14" spans="1:16" x14ac:dyDescent="0.3">
      <c r="A14" s="146"/>
      <c r="B14" s="94">
        <v>41944</v>
      </c>
      <c r="C14" s="92">
        <f t="shared" si="0"/>
        <v>157284.93000000002</v>
      </c>
      <c r="D14" s="92">
        <v>50744.980000000025</v>
      </c>
      <c r="E14" s="92">
        <v>8801.9</v>
      </c>
      <c r="F14" s="92">
        <v>18960.97</v>
      </c>
      <c r="G14" s="92">
        <v>4363.5200000000004</v>
      </c>
      <c r="H14" s="92">
        <v>2792.1499999999996</v>
      </c>
      <c r="I14" s="92">
        <v>1358.3899999999999</v>
      </c>
      <c r="J14" s="92">
        <v>36662.67</v>
      </c>
      <c r="K14" s="92">
        <v>25431.289999999994</v>
      </c>
      <c r="L14" s="92">
        <v>3643.7599999999998</v>
      </c>
      <c r="M14" s="92">
        <v>4525.3</v>
      </c>
      <c r="N14" s="92">
        <v>0</v>
      </c>
    </row>
    <row r="15" spans="1:16" x14ac:dyDescent="0.3">
      <c r="A15" s="146"/>
      <c r="B15" s="94">
        <v>41974</v>
      </c>
      <c r="C15" s="92">
        <f t="shared" si="0"/>
        <v>198600.33000000002</v>
      </c>
      <c r="D15" s="92">
        <v>51620.280000000064</v>
      </c>
      <c r="E15" s="92">
        <v>14434.900000000001</v>
      </c>
      <c r="F15" s="92">
        <v>28932.44</v>
      </c>
      <c r="G15" s="92">
        <v>5919.3099999999995</v>
      </c>
      <c r="H15" s="92">
        <v>1740.3</v>
      </c>
      <c r="I15" s="92">
        <v>443.61999999999978</v>
      </c>
      <c r="J15" s="92">
        <v>65005.52</v>
      </c>
      <c r="K15" s="92">
        <v>20244.589999999978</v>
      </c>
      <c r="L15" s="92">
        <v>3250.08</v>
      </c>
      <c r="M15" s="92">
        <v>7009.29</v>
      </c>
      <c r="N15" s="92">
        <v>0</v>
      </c>
    </row>
    <row r="16" spans="1:16" x14ac:dyDescent="0.3">
      <c r="A16" s="146"/>
      <c r="B16" s="94">
        <v>42005</v>
      </c>
      <c r="C16" s="92">
        <f t="shared" si="0"/>
        <v>149587.02999999997</v>
      </c>
      <c r="D16" s="92">
        <v>48945.359999999964</v>
      </c>
      <c r="E16" s="92">
        <v>9821.0000000000018</v>
      </c>
      <c r="F16" s="92">
        <v>18869.23</v>
      </c>
      <c r="G16" s="92">
        <v>4922.0200000000013</v>
      </c>
      <c r="H16" s="92">
        <v>3808.8600000000006</v>
      </c>
      <c r="I16" s="92">
        <v>1292.9700000000003</v>
      </c>
      <c r="J16" s="92">
        <v>37766.149999999994</v>
      </c>
      <c r="K16" s="92">
        <v>18443.860000000004</v>
      </c>
      <c r="L16" s="92">
        <v>1365.27</v>
      </c>
      <c r="M16" s="92">
        <v>4352.3099999999995</v>
      </c>
      <c r="N16" s="92">
        <v>0</v>
      </c>
    </row>
    <row r="17" spans="1:16" x14ac:dyDescent="0.3">
      <c r="A17" s="146"/>
      <c r="B17" s="94">
        <v>42036</v>
      </c>
      <c r="C17" s="92">
        <f t="shared" si="0"/>
        <v>191139.22999999998</v>
      </c>
      <c r="D17" s="92">
        <v>59784.680000000008</v>
      </c>
      <c r="E17" s="92">
        <v>13202.769999999997</v>
      </c>
      <c r="F17" s="92">
        <v>27690.489999999998</v>
      </c>
      <c r="G17" s="92">
        <v>5672.02</v>
      </c>
      <c r="H17" s="92">
        <v>2542.56</v>
      </c>
      <c r="I17" s="92">
        <v>2695.9299999999994</v>
      </c>
      <c r="J17" s="92">
        <v>52328.91</v>
      </c>
      <c r="K17" s="92">
        <v>19074.999999999993</v>
      </c>
      <c r="L17" s="92">
        <v>2016.4899999999998</v>
      </c>
      <c r="M17" s="92">
        <v>6130.380000000001</v>
      </c>
      <c r="N17" s="92">
        <v>0</v>
      </c>
    </row>
    <row r="18" spans="1:16" x14ac:dyDescent="0.3">
      <c r="A18" s="146"/>
      <c r="B18" s="94">
        <v>42064</v>
      </c>
      <c r="C18" s="92">
        <f t="shared" si="0"/>
        <v>184819.93999999994</v>
      </c>
      <c r="D18" s="92">
        <v>53697.540000000008</v>
      </c>
      <c r="E18" s="92">
        <v>13966.109999999995</v>
      </c>
      <c r="F18" s="92">
        <v>28367.960000000003</v>
      </c>
      <c r="G18" s="92">
        <v>5594.79</v>
      </c>
      <c r="H18" s="92">
        <v>4306.18</v>
      </c>
      <c r="I18" s="92">
        <v>2510.4200000000005</v>
      </c>
      <c r="J18" s="92">
        <v>50769.749999999993</v>
      </c>
      <c r="K18" s="92">
        <v>19890.619999999977</v>
      </c>
      <c r="L18" s="92">
        <v>2646.58</v>
      </c>
      <c r="M18" s="92">
        <v>3069.9900000000002</v>
      </c>
      <c r="N18" s="92">
        <v>0</v>
      </c>
    </row>
    <row r="19" spans="1:16" x14ac:dyDescent="0.3">
      <c r="A19" s="146"/>
      <c r="B19" s="94">
        <v>42095</v>
      </c>
      <c r="C19" s="92">
        <f t="shared" si="0"/>
        <v>188470.99</v>
      </c>
      <c r="D19" s="92">
        <v>56142.060000000027</v>
      </c>
      <c r="E19" s="92">
        <v>21091.489999999994</v>
      </c>
      <c r="F19" s="92">
        <v>22817.999999999996</v>
      </c>
      <c r="G19" s="92">
        <v>6945.630000000001</v>
      </c>
      <c r="H19" s="92">
        <v>4783.8900000000003</v>
      </c>
      <c r="I19" s="92">
        <v>1891.6199999999997</v>
      </c>
      <c r="J19" s="92">
        <v>50061.81</v>
      </c>
      <c r="K19" s="92">
        <v>19257.109999999982</v>
      </c>
      <c r="L19" s="92">
        <v>2070.7799999999997</v>
      </c>
      <c r="M19" s="92">
        <v>3408.6000000000004</v>
      </c>
      <c r="N19" s="92">
        <v>0</v>
      </c>
    </row>
    <row r="20" spans="1:16" x14ac:dyDescent="0.3">
      <c r="A20" s="146"/>
      <c r="B20" s="94">
        <v>42125</v>
      </c>
      <c r="C20" s="92">
        <f t="shared" si="0"/>
        <v>132349.11999999997</v>
      </c>
      <c r="D20" s="92">
        <v>58634.319999999985</v>
      </c>
      <c r="E20" s="92">
        <v>6917.3200000000024</v>
      </c>
      <c r="F20" s="92">
        <v>15032.509999999997</v>
      </c>
      <c r="G20" s="92">
        <v>3025.7700000000004</v>
      </c>
      <c r="H20" s="92">
        <v>3136.95</v>
      </c>
      <c r="I20" s="92">
        <v>891.11000000000013</v>
      </c>
      <c r="J20" s="92">
        <v>32194.78</v>
      </c>
      <c r="K20" s="92">
        <v>13606.800000000001</v>
      </c>
      <c r="L20" s="92">
        <v>1395.1100000000004</v>
      </c>
      <c r="M20" s="92">
        <v>-2485.5500000000002</v>
      </c>
      <c r="N20" s="92">
        <v>0</v>
      </c>
    </row>
    <row r="21" spans="1:16" x14ac:dyDescent="0.3">
      <c r="A21" s="146"/>
      <c r="B21" s="94">
        <v>42156</v>
      </c>
      <c r="C21" s="92">
        <f t="shared" si="0"/>
        <v>220994.6699999999</v>
      </c>
      <c r="D21" s="92">
        <v>72195.64999999998</v>
      </c>
      <c r="E21" s="92">
        <v>12728.929999999998</v>
      </c>
      <c r="F21" s="92">
        <v>31775.22</v>
      </c>
      <c r="G21" s="92">
        <v>7891.4599999999982</v>
      </c>
      <c r="H21" s="92">
        <v>4607.1100000000006</v>
      </c>
      <c r="I21" s="92">
        <v>1896.9399999999991</v>
      </c>
      <c r="J21" s="92">
        <v>61336.87999999999</v>
      </c>
      <c r="K21" s="92">
        <v>22367.209999999977</v>
      </c>
      <c r="L21" s="92">
        <v>2986.7999999999997</v>
      </c>
      <c r="M21" s="92">
        <v>3208.47</v>
      </c>
      <c r="N21" s="92">
        <v>0</v>
      </c>
    </row>
    <row r="22" spans="1:16" x14ac:dyDescent="0.3">
      <c r="A22" s="146"/>
      <c r="B22" s="94">
        <v>42186</v>
      </c>
      <c r="C22" s="92">
        <f t="shared" si="0"/>
        <v>212172.52</v>
      </c>
      <c r="D22" s="92">
        <v>84420.390000000014</v>
      </c>
      <c r="E22" s="92">
        <v>21304.87</v>
      </c>
      <c r="F22" s="92">
        <v>33717.489999999983</v>
      </c>
      <c r="G22" s="92">
        <v>6012.5099999999957</v>
      </c>
      <c r="H22" s="92">
        <v>4232.1799999999994</v>
      </c>
      <c r="I22" s="92">
        <v>3498.6700000000005</v>
      </c>
      <c r="J22" s="92">
        <v>23310.989999999998</v>
      </c>
      <c r="K22" s="92">
        <v>23783.919999999976</v>
      </c>
      <c r="L22" s="92">
        <v>5575.5199999999995</v>
      </c>
      <c r="M22" s="92">
        <v>6315.9800000000005</v>
      </c>
      <c r="N22" s="92">
        <v>0</v>
      </c>
    </row>
    <row r="23" spans="1:16" x14ac:dyDescent="0.3">
      <c r="A23" s="146"/>
      <c r="B23" s="94">
        <v>42217</v>
      </c>
      <c r="C23" s="92">
        <f t="shared" si="0"/>
        <v>138685.54999999999</v>
      </c>
      <c r="D23" s="92">
        <v>57819.689999999981</v>
      </c>
      <c r="E23" s="92">
        <v>3249.69</v>
      </c>
      <c r="F23" s="92">
        <v>31264.79</v>
      </c>
      <c r="G23" s="92">
        <v>1071.0400000000002</v>
      </c>
      <c r="H23" s="92">
        <v>2623.13</v>
      </c>
      <c r="I23" s="92">
        <v>2470.9100000000003</v>
      </c>
      <c r="J23" s="92">
        <v>22590.929999999997</v>
      </c>
      <c r="K23" s="92">
        <v>14391.010000000002</v>
      </c>
      <c r="L23" s="92">
        <v>2113.48</v>
      </c>
      <c r="M23" s="92">
        <v>1090.8800000000006</v>
      </c>
      <c r="N23" s="92">
        <v>0</v>
      </c>
    </row>
    <row r="24" spans="1:16" x14ac:dyDescent="0.3">
      <c r="A24" s="146"/>
      <c r="B24" s="94">
        <v>42248</v>
      </c>
      <c r="C24" s="92">
        <f t="shared" si="0"/>
        <v>211037.63000000006</v>
      </c>
      <c r="D24" s="92">
        <v>79133.210000000065</v>
      </c>
      <c r="E24" s="92">
        <v>13842.480000000001</v>
      </c>
      <c r="F24" s="92">
        <v>32577.370000000003</v>
      </c>
      <c r="G24" s="92">
        <v>2589.650000000001</v>
      </c>
      <c r="H24" s="92">
        <v>3970.3199999999997</v>
      </c>
      <c r="I24" s="92">
        <v>3122.91</v>
      </c>
      <c r="J24" s="92">
        <v>52291.619999999995</v>
      </c>
      <c r="K24" s="92">
        <v>17149.100000000009</v>
      </c>
      <c r="L24" s="92">
        <v>3178.69</v>
      </c>
      <c r="M24" s="92">
        <v>3182.2799999999993</v>
      </c>
      <c r="N24" s="92">
        <v>0</v>
      </c>
    </row>
    <row r="25" spans="1:16" x14ac:dyDescent="0.3">
      <c r="A25" s="146"/>
      <c r="B25" s="94">
        <v>42278</v>
      </c>
      <c r="C25" s="92">
        <f t="shared" si="0"/>
        <v>204842.18000000002</v>
      </c>
      <c r="D25" s="92">
        <v>83805.750000000015</v>
      </c>
      <c r="E25" s="92">
        <v>21452.18</v>
      </c>
      <c r="F25" s="92">
        <v>16105.03</v>
      </c>
      <c r="G25" s="92">
        <v>5567.13</v>
      </c>
      <c r="H25" s="92">
        <v>3194.4500000000003</v>
      </c>
      <c r="I25" s="92">
        <v>8593.3999999999978</v>
      </c>
      <c r="J25" s="92">
        <v>37853.12999999999</v>
      </c>
      <c r="K25" s="92">
        <v>21916.899999999998</v>
      </c>
      <c r="L25" s="92">
        <v>2620.5699999999997</v>
      </c>
      <c r="M25" s="92">
        <v>3733.6400000000003</v>
      </c>
      <c r="N25" s="92">
        <v>0</v>
      </c>
    </row>
    <row r="26" spans="1:16" x14ac:dyDescent="0.3">
      <c r="A26" s="146"/>
      <c r="B26" s="94">
        <v>42309</v>
      </c>
      <c r="C26" s="92">
        <f t="shared" si="0"/>
        <v>152165.57000000007</v>
      </c>
      <c r="D26" s="92">
        <v>68288.740000000063</v>
      </c>
      <c r="E26" s="92">
        <v>12563.919999999998</v>
      </c>
      <c r="F26" s="92">
        <v>23922.830000000005</v>
      </c>
      <c r="G26" s="92">
        <v>4688.6100000000015</v>
      </c>
      <c r="H26" s="92">
        <v>3152.81</v>
      </c>
      <c r="I26" s="92">
        <v>-3075.0199999999977</v>
      </c>
      <c r="J26" s="92">
        <v>20415.940000000002</v>
      </c>
      <c r="K26" s="92">
        <v>16546.020000000004</v>
      </c>
      <c r="L26" s="92">
        <v>3417.1600000000003</v>
      </c>
      <c r="M26" s="92">
        <v>2040.9800000000002</v>
      </c>
      <c r="N26" s="103">
        <v>203.58</v>
      </c>
      <c r="O26" s="103"/>
      <c r="P26" s="118"/>
    </row>
    <row r="27" spans="1:16" x14ac:dyDescent="0.3">
      <c r="A27" s="146"/>
      <c r="B27" s="94">
        <v>42339</v>
      </c>
      <c r="C27" s="92">
        <f t="shared" si="0"/>
        <v>212851.46000000002</v>
      </c>
      <c r="D27" s="92">
        <v>58500.340000000033</v>
      </c>
      <c r="E27" s="92">
        <v>13874.1</v>
      </c>
      <c r="F27" s="92">
        <v>35961.57</v>
      </c>
      <c r="G27" s="92">
        <v>3785.3799999999987</v>
      </c>
      <c r="H27" s="92">
        <v>81.730000000000132</v>
      </c>
      <c r="I27" s="92">
        <v>1272.7599999999998</v>
      </c>
      <c r="J27" s="92">
        <v>70678.319999999992</v>
      </c>
      <c r="K27" s="92">
        <v>17537.580000000005</v>
      </c>
      <c r="L27" s="92">
        <v>7352.97</v>
      </c>
      <c r="M27" s="92">
        <v>3806.7100000000009</v>
      </c>
      <c r="N27" s="92">
        <v>0</v>
      </c>
    </row>
    <row r="28" spans="1:16" x14ac:dyDescent="0.3">
      <c r="A28" s="146"/>
      <c r="B28" s="94">
        <v>42370</v>
      </c>
      <c r="C28" s="92">
        <f t="shared" si="0"/>
        <v>118045.79999999994</v>
      </c>
      <c r="D28" s="92">
        <v>49534.449999999968</v>
      </c>
      <c r="E28" s="92">
        <v>11121.930000000002</v>
      </c>
      <c r="F28" s="92">
        <v>18817.169999999995</v>
      </c>
      <c r="G28" s="92">
        <v>2491.8299999999986</v>
      </c>
      <c r="H28" s="92">
        <v>1786.5000000000002</v>
      </c>
      <c r="I28" s="92">
        <v>2202.7099999999996</v>
      </c>
      <c r="J28" s="92">
        <v>6832.3600000000015</v>
      </c>
      <c r="K28" s="92">
        <v>21495.719999999987</v>
      </c>
      <c r="L28" s="92">
        <v>-80.569999999999823</v>
      </c>
      <c r="M28" s="92">
        <v>3843.7</v>
      </c>
      <c r="N28" s="92">
        <v>0</v>
      </c>
    </row>
    <row r="29" spans="1:16" x14ac:dyDescent="0.3">
      <c r="A29" s="146"/>
      <c r="B29" s="94">
        <v>42401</v>
      </c>
      <c r="C29" s="92">
        <f t="shared" si="0"/>
        <v>180247.09999999998</v>
      </c>
      <c r="D29" s="92">
        <v>64993.679999999986</v>
      </c>
      <c r="E29" s="92">
        <v>20935.120000000003</v>
      </c>
      <c r="F29" s="92">
        <v>32636.269999999993</v>
      </c>
      <c r="G29" s="92">
        <v>3399.61</v>
      </c>
      <c r="H29" s="92">
        <v>3178.58</v>
      </c>
      <c r="I29" s="92">
        <v>2066.96</v>
      </c>
      <c r="J29" s="92">
        <v>15947.259999999998</v>
      </c>
      <c r="K29" s="92">
        <v>19659.760000000002</v>
      </c>
      <c r="L29" s="92">
        <v>7417.829999999999</v>
      </c>
      <c r="M29" s="92">
        <v>6302.7300000000005</v>
      </c>
      <c r="N29" s="92">
        <v>3709.2999999999997</v>
      </c>
    </row>
    <row r="30" spans="1:16" x14ac:dyDescent="0.3">
      <c r="A30" s="146"/>
      <c r="B30" s="94">
        <v>42430</v>
      </c>
      <c r="C30" s="92">
        <f t="shared" si="0"/>
        <v>193714.71999999991</v>
      </c>
      <c r="D30" s="92">
        <v>86799.449999999968</v>
      </c>
      <c r="E30" s="92">
        <v>11828.979999999998</v>
      </c>
      <c r="F30" s="92">
        <v>23477.009999999987</v>
      </c>
      <c r="G30" s="92">
        <v>4020.6999999999989</v>
      </c>
      <c r="H30" s="92">
        <v>549.92999999999995</v>
      </c>
      <c r="I30" s="92">
        <v>6352.6500000000015</v>
      </c>
      <c r="J30" s="92">
        <v>17560.22</v>
      </c>
      <c r="K30" s="92">
        <v>26466.969999999972</v>
      </c>
      <c r="L30" s="92">
        <v>6572.840000000002</v>
      </c>
      <c r="M30" s="92">
        <v>9319.8300000000017</v>
      </c>
      <c r="N30" s="92">
        <v>766.14</v>
      </c>
    </row>
    <row r="31" spans="1:16" x14ac:dyDescent="0.3">
      <c r="A31" s="146"/>
      <c r="B31" s="94">
        <v>42461</v>
      </c>
      <c r="C31" s="92">
        <f t="shared" si="0"/>
        <v>162428.9</v>
      </c>
      <c r="D31" s="92">
        <v>59805.989999999983</v>
      </c>
      <c r="E31" s="92">
        <v>12562.97</v>
      </c>
      <c r="F31" s="92">
        <v>26078.389999999996</v>
      </c>
      <c r="G31" s="92">
        <v>3048.31</v>
      </c>
      <c r="H31" s="92">
        <v>3420.4100000000003</v>
      </c>
      <c r="I31" s="92">
        <v>2886.92</v>
      </c>
      <c r="J31" s="92">
        <v>19701.95</v>
      </c>
      <c r="K31" s="92">
        <v>19236.800000000017</v>
      </c>
      <c r="L31" s="92">
        <v>5484.21</v>
      </c>
      <c r="M31" s="92">
        <v>5961.6900000000005</v>
      </c>
      <c r="N31" s="92">
        <v>4241.2599999999993</v>
      </c>
    </row>
    <row r="32" spans="1:16" x14ac:dyDescent="0.3">
      <c r="A32" s="146"/>
      <c r="B32" s="94">
        <v>42491</v>
      </c>
      <c r="C32" s="92">
        <f t="shared" si="0"/>
        <v>187478.82</v>
      </c>
      <c r="D32" s="92">
        <v>75214.160000000047</v>
      </c>
      <c r="E32" s="92">
        <v>14853.860000000004</v>
      </c>
      <c r="F32" s="92">
        <v>28652.149999999998</v>
      </c>
      <c r="G32" s="92">
        <v>13497.33</v>
      </c>
      <c r="H32" s="92">
        <v>3309.71</v>
      </c>
      <c r="I32" s="92">
        <v>2380.610000000001</v>
      </c>
      <c r="J32" s="92">
        <v>15261.96</v>
      </c>
      <c r="K32" s="92">
        <v>22702.959999999999</v>
      </c>
      <c r="L32" s="92">
        <v>4415.7499999999991</v>
      </c>
      <c r="M32" s="92">
        <v>3095.0000000000005</v>
      </c>
      <c r="N32" s="92">
        <v>4095.33</v>
      </c>
    </row>
    <row r="33" spans="1:16" x14ac:dyDescent="0.3">
      <c r="A33" s="146"/>
      <c r="B33" s="94">
        <v>42522</v>
      </c>
      <c r="C33" s="92">
        <f t="shared" si="0"/>
        <v>207171.89000000004</v>
      </c>
      <c r="D33" s="92">
        <v>72478.700000000041</v>
      </c>
      <c r="E33" s="92">
        <v>13796.350000000006</v>
      </c>
      <c r="F33" s="92">
        <v>35961.82</v>
      </c>
      <c r="G33" s="92">
        <v>6555.5600000000049</v>
      </c>
      <c r="H33" s="92">
        <v>3356.25</v>
      </c>
      <c r="I33" s="92">
        <v>2299.2699999999995</v>
      </c>
      <c r="J33" s="92">
        <v>39487.629999999997</v>
      </c>
      <c r="K33" s="92">
        <v>21494.629999999997</v>
      </c>
      <c r="L33" s="92">
        <v>4197.5199999999995</v>
      </c>
      <c r="M33" s="92">
        <v>7327.56</v>
      </c>
      <c r="N33" s="92">
        <v>216.6</v>
      </c>
    </row>
    <row r="34" spans="1:16" x14ac:dyDescent="0.3">
      <c r="A34" s="146"/>
      <c r="B34" s="94">
        <v>42552</v>
      </c>
      <c r="C34" s="92">
        <f t="shared" si="0"/>
        <v>194122.94</v>
      </c>
      <c r="D34" s="92">
        <v>47765.320000000022</v>
      </c>
      <c r="E34" s="92">
        <v>36301.290000000008</v>
      </c>
      <c r="F34" s="92">
        <v>45119.500000000022</v>
      </c>
      <c r="G34" s="92">
        <v>4102.8300000000008</v>
      </c>
      <c r="H34" s="92">
        <v>1373.31</v>
      </c>
      <c r="I34" s="92">
        <v>3147.3500000000008</v>
      </c>
      <c r="J34" s="92">
        <v>19501.5</v>
      </c>
      <c r="K34" s="92">
        <v>26331.769999999971</v>
      </c>
      <c r="L34" s="92">
        <v>3024.9500000000007</v>
      </c>
      <c r="M34" s="92">
        <v>7455.119999999999</v>
      </c>
      <c r="N34" s="92">
        <v>0</v>
      </c>
    </row>
    <row r="35" spans="1:16" x14ac:dyDescent="0.3">
      <c r="A35" s="146"/>
      <c r="B35" s="94">
        <v>42583</v>
      </c>
      <c r="C35" s="105">
        <f t="shared" si="0"/>
        <v>136733.84000000003</v>
      </c>
      <c r="D35" s="105">
        <v>46819.94000000001</v>
      </c>
      <c r="E35" s="105">
        <v>30007.630000000005</v>
      </c>
      <c r="F35" s="105">
        <v>27122.550000000003</v>
      </c>
      <c r="G35" s="105">
        <v>2544.8499999999995</v>
      </c>
      <c r="H35" s="105">
        <v>1740.0700000000002</v>
      </c>
      <c r="I35" s="105">
        <v>751.65999999999985</v>
      </c>
      <c r="J35" s="105">
        <v>2015.79</v>
      </c>
      <c r="K35" s="105">
        <v>19774.71</v>
      </c>
      <c r="L35" s="105">
        <v>2527.3800000000006</v>
      </c>
      <c r="M35" s="105">
        <v>3429.26</v>
      </c>
      <c r="N35" s="105">
        <v>0</v>
      </c>
      <c r="O35" s="105"/>
      <c r="P35" s="119"/>
    </row>
    <row r="36" spans="1:16" x14ac:dyDescent="0.3">
      <c r="A36" s="146"/>
      <c r="B36" s="94">
        <v>42614</v>
      </c>
      <c r="C36" s="105">
        <f t="shared" si="0"/>
        <v>229298.87999999998</v>
      </c>
      <c r="D36" s="105">
        <v>86664.969999999987</v>
      </c>
      <c r="E36" s="105">
        <v>16584.099999999999</v>
      </c>
      <c r="F36" s="105">
        <v>27482.59</v>
      </c>
      <c r="G36" s="105">
        <v>3717.3499999999995</v>
      </c>
      <c r="H36" s="105">
        <v>5306.39</v>
      </c>
      <c r="I36" s="105">
        <v>1114.73</v>
      </c>
      <c r="J36" s="105">
        <v>36434.36</v>
      </c>
      <c r="K36" s="105">
        <v>27376.69999999999</v>
      </c>
      <c r="L36" s="105">
        <v>17253.629999999997</v>
      </c>
      <c r="M36" s="105">
        <v>6780.0000000000009</v>
      </c>
      <c r="N36" s="105">
        <v>584.06000000000006</v>
      </c>
      <c r="O36" s="105"/>
      <c r="P36" s="119"/>
    </row>
    <row r="37" spans="1:16" x14ac:dyDescent="0.3">
      <c r="A37" s="146"/>
      <c r="B37" s="94">
        <v>42644</v>
      </c>
      <c r="C37" s="105">
        <f t="shared" si="0"/>
        <v>176165.97000000003</v>
      </c>
      <c r="D37" s="105">
        <v>75020.550000000061</v>
      </c>
      <c r="E37" s="105">
        <v>11987.470000000001</v>
      </c>
      <c r="F37" s="105">
        <v>35948.999999999993</v>
      </c>
      <c r="G37" s="105">
        <v>1954.23</v>
      </c>
      <c r="H37" s="105">
        <v>2536.21</v>
      </c>
      <c r="I37" s="105">
        <v>1717.7999999999997</v>
      </c>
      <c r="J37" s="105">
        <v>8166.42</v>
      </c>
      <c r="K37" s="105">
        <v>29705.729999999981</v>
      </c>
      <c r="L37" s="105">
        <v>2612.9599999999996</v>
      </c>
      <c r="M37" s="105">
        <v>4837.8900000000003</v>
      </c>
      <c r="N37" s="105">
        <v>1677.71</v>
      </c>
      <c r="O37" s="105"/>
      <c r="P37" s="119"/>
    </row>
    <row r="38" spans="1:16" x14ac:dyDescent="0.3">
      <c r="A38" s="146"/>
      <c r="B38" s="94">
        <v>42675</v>
      </c>
      <c r="C38" s="105">
        <f t="shared" si="0"/>
        <v>181157.68999999997</v>
      </c>
      <c r="D38" s="105">
        <v>74026.880000000019</v>
      </c>
      <c r="E38" s="105">
        <v>4146.29</v>
      </c>
      <c r="F38" s="105">
        <v>41309.360000000001</v>
      </c>
      <c r="G38" s="105">
        <v>13404.800000000001</v>
      </c>
      <c r="H38" s="105">
        <v>3917.4900000000002</v>
      </c>
      <c r="I38" s="105">
        <v>3598.6099999999992</v>
      </c>
      <c r="J38" s="105">
        <v>8821.84</v>
      </c>
      <c r="K38" s="105">
        <v>21133.200000000004</v>
      </c>
      <c r="L38" s="105">
        <v>5486.7399999999989</v>
      </c>
      <c r="M38" s="105">
        <v>4823.96</v>
      </c>
      <c r="N38" s="105">
        <v>488.52</v>
      </c>
      <c r="O38" s="105"/>
      <c r="P38" s="119"/>
    </row>
    <row r="39" spans="1:16" x14ac:dyDescent="0.3">
      <c r="A39" s="146"/>
      <c r="B39" s="94">
        <v>42705</v>
      </c>
      <c r="C39" s="105">
        <f t="shared" si="0"/>
        <v>166060.80000000002</v>
      </c>
      <c r="D39" s="105">
        <v>58350.43</v>
      </c>
      <c r="E39" s="105">
        <v>9702.86</v>
      </c>
      <c r="F39" s="105">
        <v>32940.22</v>
      </c>
      <c r="G39" s="105">
        <v>3936.17</v>
      </c>
      <c r="H39" s="105">
        <v>9758.1</v>
      </c>
      <c r="I39" s="105">
        <v>794.69</v>
      </c>
      <c r="J39" s="105">
        <v>7808.1</v>
      </c>
      <c r="K39" s="105">
        <v>25787.06</v>
      </c>
      <c r="L39" s="105">
        <v>3831.21</v>
      </c>
      <c r="M39" s="105">
        <v>8752.7999999999993</v>
      </c>
      <c r="N39" s="105">
        <v>4399.16</v>
      </c>
      <c r="O39" s="105"/>
      <c r="P39" s="119"/>
    </row>
    <row r="40" spans="1:16" x14ac:dyDescent="0.3">
      <c r="A40" s="146"/>
      <c r="B40" s="94">
        <v>42736</v>
      </c>
      <c r="C40" s="105">
        <f t="shared" si="0"/>
        <v>139478.05000000005</v>
      </c>
      <c r="D40" s="105">
        <v>52199.93</v>
      </c>
      <c r="E40" s="105">
        <v>11046.06</v>
      </c>
      <c r="F40" s="105">
        <v>32181.09</v>
      </c>
      <c r="G40" s="105">
        <v>1771.85</v>
      </c>
      <c r="H40" s="105">
        <v>3427.71</v>
      </c>
      <c r="I40" s="105">
        <v>4353.6400000000003</v>
      </c>
      <c r="J40" s="105">
        <v>1425</v>
      </c>
      <c r="K40" s="105">
        <v>14814.05</v>
      </c>
      <c r="L40" s="105">
        <v>3432.57</v>
      </c>
      <c r="M40" s="105">
        <v>9048.98</v>
      </c>
      <c r="N40" s="105">
        <v>5777.17</v>
      </c>
      <c r="O40" s="105"/>
      <c r="P40" s="119"/>
    </row>
    <row r="41" spans="1:16" x14ac:dyDescent="0.3">
      <c r="A41" s="146"/>
      <c r="B41" s="94">
        <v>42767</v>
      </c>
      <c r="C41" s="105">
        <f t="shared" si="0"/>
        <v>152254.21999999994</v>
      </c>
      <c r="D41" s="105">
        <v>61881.06</v>
      </c>
      <c r="E41" s="105">
        <v>8681.51</v>
      </c>
      <c r="F41" s="105">
        <v>23680.67</v>
      </c>
      <c r="G41" s="105">
        <v>2121.2800000000002</v>
      </c>
      <c r="H41" s="105">
        <v>5411.29</v>
      </c>
      <c r="I41" s="105">
        <v>4957.59</v>
      </c>
      <c r="J41" s="105">
        <v>22072.9</v>
      </c>
      <c r="K41" s="105">
        <v>16082.33</v>
      </c>
      <c r="L41" s="105">
        <v>3339.86</v>
      </c>
      <c r="M41" s="105">
        <v>3788.9</v>
      </c>
      <c r="N41" s="105">
        <v>236.83</v>
      </c>
      <c r="O41" s="105"/>
      <c r="P41" s="119"/>
    </row>
    <row r="42" spans="1:16" x14ac:dyDescent="0.3">
      <c r="A42" s="146"/>
      <c r="B42" s="94">
        <v>42795</v>
      </c>
      <c r="C42" s="105">
        <f t="shared" si="0"/>
        <v>237681.09999999995</v>
      </c>
      <c r="D42" s="105">
        <v>107436.7</v>
      </c>
      <c r="E42" s="105">
        <v>9895.7900000000009</v>
      </c>
      <c r="F42" s="105">
        <v>48448.52</v>
      </c>
      <c r="G42" s="105">
        <v>5614.33</v>
      </c>
      <c r="H42" s="105">
        <v>6239.07</v>
      </c>
      <c r="I42" s="105">
        <v>17716.66</v>
      </c>
      <c r="J42" s="105">
        <v>4412.8</v>
      </c>
      <c r="K42" s="105">
        <v>24821.47</v>
      </c>
      <c r="L42" s="105">
        <v>5265.06</v>
      </c>
      <c r="M42" s="105">
        <v>5714.96</v>
      </c>
      <c r="N42" s="105">
        <v>2115.7399999999998</v>
      </c>
      <c r="O42" s="105"/>
      <c r="P42" s="119"/>
    </row>
    <row r="43" spans="1:16" x14ac:dyDescent="0.3">
      <c r="A43" s="146"/>
      <c r="B43" s="94">
        <v>42826</v>
      </c>
      <c r="C43" s="105">
        <f t="shared" si="0"/>
        <v>151034.79999999999</v>
      </c>
      <c r="D43" s="105">
        <v>63055.13</v>
      </c>
      <c r="E43" s="105">
        <v>10089.67</v>
      </c>
      <c r="F43" s="105">
        <v>29701.8</v>
      </c>
      <c r="G43" s="105">
        <v>2932.04</v>
      </c>
      <c r="H43" s="105">
        <v>6343.34</v>
      </c>
      <c r="I43" s="105">
        <v>1140.3800000000001</v>
      </c>
      <c r="J43" s="105">
        <v>7341</v>
      </c>
      <c r="K43" s="105">
        <v>17058.439999999999</v>
      </c>
      <c r="L43" s="105">
        <v>3747.78</v>
      </c>
      <c r="M43" s="105">
        <v>7538.63</v>
      </c>
      <c r="N43" s="105">
        <v>2086.59</v>
      </c>
      <c r="O43" s="105"/>
      <c r="P43" s="119"/>
    </row>
    <row r="44" spans="1:16" x14ac:dyDescent="0.3">
      <c r="A44" s="146"/>
      <c r="B44" s="94">
        <v>42856</v>
      </c>
      <c r="C44" s="105">
        <f t="shared" si="0"/>
        <v>190818.56999999995</v>
      </c>
      <c r="D44" s="105">
        <v>80075.48</v>
      </c>
      <c r="E44" s="105">
        <v>14155.08</v>
      </c>
      <c r="F44" s="105">
        <v>34482.78</v>
      </c>
      <c r="G44" s="105">
        <v>3835.78</v>
      </c>
      <c r="H44" s="105">
        <v>6795.8</v>
      </c>
      <c r="I44" s="105">
        <v>3386.43</v>
      </c>
      <c r="J44" s="105">
        <v>7425.8</v>
      </c>
      <c r="K44" s="105">
        <v>27198.560000000001</v>
      </c>
      <c r="L44" s="105">
        <v>4680.53</v>
      </c>
      <c r="M44" s="105">
        <v>7010.43</v>
      </c>
      <c r="N44" s="105">
        <v>1771.9</v>
      </c>
      <c r="O44" s="105"/>
      <c r="P44" s="119"/>
    </row>
    <row r="45" spans="1:16" x14ac:dyDescent="0.3">
      <c r="A45" s="146"/>
      <c r="B45" s="94">
        <v>42887</v>
      </c>
      <c r="C45" s="105">
        <f t="shared" si="0"/>
        <v>237441.92000000001</v>
      </c>
      <c r="D45" s="105">
        <v>88970.83</v>
      </c>
      <c r="E45" s="105">
        <v>19970.38</v>
      </c>
      <c r="F45" s="105">
        <v>35048.6</v>
      </c>
      <c r="G45" s="105">
        <v>4289.55</v>
      </c>
      <c r="H45" s="105">
        <v>6572.79</v>
      </c>
      <c r="I45" s="105">
        <v>3113.01</v>
      </c>
      <c r="J45" s="105">
        <v>31982.28</v>
      </c>
      <c r="K45" s="105">
        <v>35517.370000000003</v>
      </c>
      <c r="L45" s="105">
        <v>6801.41</v>
      </c>
      <c r="M45" s="105">
        <v>2834.64</v>
      </c>
      <c r="N45" s="105">
        <v>2341.06</v>
      </c>
      <c r="O45" s="105"/>
      <c r="P45" s="119"/>
    </row>
    <row r="46" spans="1:16" x14ac:dyDescent="0.3">
      <c r="A46" s="146"/>
      <c r="B46" s="94">
        <v>42917</v>
      </c>
      <c r="C46" s="105">
        <f t="shared" si="0"/>
        <v>203922.71</v>
      </c>
      <c r="D46" s="105">
        <v>59084.61</v>
      </c>
      <c r="E46" s="105">
        <v>37458.800000000003</v>
      </c>
      <c r="F46" s="105">
        <v>49199.27</v>
      </c>
      <c r="G46" s="105">
        <v>4733.54</v>
      </c>
      <c r="H46" s="105">
        <v>1307.8</v>
      </c>
      <c r="I46" s="105">
        <v>3496.91</v>
      </c>
      <c r="J46" s="105">
        <v>2082</v>
      </c>
      <c r="K46" s="105">
        <v>35378.53</v>
      </c>
      <c r="L46" s="105">
        <v>4700.0600000000004</v>
      </c>
      <c r="M46" s="105">
        <v>6202.72</v>
      </c>
      <c r="N46" s="105">
        <v>278.47000000000003</v>
      </c>
      <c r="O46" s="105"/>
      <c r="P46" s="119"/>
    </row>
    <row r="47" spans="1:16" x14ac:dyDescent="0.3">
      <c r="A47" s="146"/>
      <c r="B47" s="94">
        <v>42948</v>
      </c>
      <c r="C47" s="105">
        <f t="shared" si="0"/>
        <v>165509.99000000005</v>
      </c>
      <c r="D47" s="105">
        <v>102059.13</v>
      </c>
      <c r="E47" s="105">
        <v>4532.05</v>
      </c>
      <c r="F47" s="105">
        <v>17520.95</v>
      </c>
      <c r="G47" s="105">
        <v>1093.3900000000001</v>
      </c>
      <c r="H47" s="105">
        <v>3519.27</v>
      </c>
      <c r="I47" s="105">
        <v>6347.04</v>
      </c>
      <c r="J47" s="105">
        <v>4528.1400000000003</v>
      </c>
      <c r="K47" s="105">
        <v>19560.72</v>
      </c>
      <c r="L47" s="105">
        <v>2143.06</v>
      </c>
      <c r="M47" s="105">
        <v>3770.1</v>
      </c>
      <c r="N47" s="105">
        <v>436.14</v>
      </c>
      <c r="O47" s="105"/>
      <c r="P47" s="119"/>
    </row>
    <row r="48" spans="1:16" x14ac:dyDescent="0.3">
      <c r="A48" s="146"/>
      <c r="B48" s="94">
        <v>42979</v>
      </c>
      <c r="C48" s="105">
        <f t="shared" si="0"/>
        <v>202337</v>
      </c>
      <c r="D48" s="105">
        <v>103531.91</v>
      </c>
      <c r="E48" s="105">
        <v>9178.1</v>
      </c>
      <c r="F48" s="105">
        <v>14027.38</v>
      </c>
      <c r="G48" s="105">
        <v>2214.14</v>
      </c>
      <c r="H48" s="105">
        <v>4762.3</v>
      </c>
      <c r="I48" s="105">
        <v>769.36</v>
      </c>
      <c r="J48" s="105">
        <v>12163.14</v>
      </c>
      <c r="K48" s="105">
        <v>30298.49</v>
      </c>
      <c r="L48" s="105">
        <v>16137.83</v>
      </c>
      <c r="M48" s="105">
        <v>8259.1200000000008</v>
      </c>
      <c r="N48" s="105">
        <v>995.23</v>
      </c>
      <c r="O48" s="105"/>
      <c r="P48" s="119"/>
    </row>
    <row r="49" spans="1:16" x14ac:dyDescent="0.3">
      <c r="A49" s="146"/>
      <c r="B49" s="94">
        <v>43009</v>
      </c>
      <c r="C49" s="105">
        <f t="shared" si="0"/>
        <v>183502.83999999997</v>
      </c>
      <c r="D49" s="105">
        <v>68110.67</v>
      </c>
      <c r="E49" s="105">
        <v>5396.79</v>
      </c>
      <c r="F49" s="105">
        <v>39601.360000000001</v>
      </c>
      <c r="G49" s="105">
        <v>3034.75</v>
      </c>
      <c r="H49" s="105">
        <v>5654.22</v>
      </c>
      <c r="I49" s="105">
        <v>8990</v>
      </c>
      <c r="J49" s="105">
        <v>15440.8</v>
      </c>
      <c r="K49" s="105">
        <v>21404.27</v>
      </c>
      <c r="L49" s="105">
        <v>5896.93</v>
      </c>
      <c r="M49" s="105">
        <v>7736.28</v>
      </c>
      <c r="N49" s="105">
        <v>2236.77</v>
      </c>
      <c r="O49" s="105"/>
      <c r="P49" s="119"/>
    </row>
    <row r="50" spans="1:16" x14ac:dyDescent="0.3">
      <c r="A50" s="146"/>
      <c r="B50" s="94">
        <v>43040</v>
      </c>
      <c r="C50" s="105">
        <f t="shared" si="0"/>
        <v>232012.55999999997</v>
      </c>
      <c r="D50" s="105">
        <v>91954.99</v>
      </c>
      <c r="E50" s="105">
        <v>11549.57</v>
      </c>
      <c r="F50" s="105">
        <v>29648.27</v>
      </c>
      <c r="G50" s="105">
        <v>18918.39</v>
      </c>
      <c r="H50" s="105">
        <v>3620.84</v>
      </c>
      <c r="I50" s="105">
        <v>2616.0300000000002</v>
      </c>
      <c r="J50" s="105">
        <v>33453.07</v>
      </c>
      <c r="K50" s="105">
        <v>25552.53</v>
      </c>
      <c r="L50" s="105">
        <v>4559.12</v>
      </c>
      <c r="M50" s="105">
        <v>5891.91</v>
      </c>
      <c r="N50" s="105">
        <v>4247.84</v>
      </c>
      <c r="O50" s="105"/>
      <c r="P50" s="119"/>
    </row>
    <row r="51" spans="1:16" x14ac:dyDescent="0.3">
      <c r="A51" s="146"/>
      <c r="B51" s="94">
        <v>43070</v>
      </c>
      <c r="C51" s="105">
        <f t="shared" si="0"/>
        <v>195114.41</v>
      </c>
      <c r="D51" s="105">
        <v>51478.27</v>
      </c>
      <c r="E51" s="105">
        <v>6501.52</v>
      </c>
      <c r="F51" s="105">
        <v>63499.78</v>
      </c>
      <c r="G51" s="105">
        <v>4091.37</v>
      </c>
      <c r="H51" s="105">
        <v>6174.25</v>
      </c>
      <c r="I51" s="105">
        <v>5670.54</v>
      </c>
      <c r="J51" s="105">
        <v>13254.02</v>
      </c>
      <c r="K51" s="105">
        <v>24807.57</v>
      </c>
      <c r="L51" s="105">
        <v>4660.08</v>
      </c>
      <c r="M51" s="105">
        <v>10233.59</v>
      </c>
      <c r="N51" s="105">
        <v>4743.42</v>
      </c>
      <c r="O51" s="105"/>
      <c r="P51" s="119"/>
    </row>
    <row r="52" spans="1:16" x14ac:dyDescent="0.3">
      <c r="A52" s="146"/>
      <c r="B52" s="94">
        <v>43101</v>
      </c>
      <c r="C52" s="105">
        <f t="shared" si="0"/>
        <v>155728.82</v>
      </c>
      <c r="D52" s="92">
        <v>70381.45</v>
      </c>
      <c r="E52" s="92">
        <v>10393.92</v>
      </c>
      <c r="F52" s="92">
        <v>22029.54</v>
      </c>
      <c r="G52" s="92">
        <v>1422.78</v>
      </c>
      <c r="H52" s="92">
        <v>5500.07</v>
      </c>
      <c r="I52" s="92">
        <v>3085.11</v>
      </c>
      <c r="J52" s="92">
        <v>1275</v>
      </c>
      <c r="K52" s="92">
        <v>32975.86</v>
      </c>
      <c r="L52" s="92">
        <v>2656.37</v>
      </c>
      <c r="M52" s="92">
        <v>5995.1</v>
      </c>
      <c r="N52" s="92">
        <v>2258.62</v>
      </c>
      <c r="P52" s="117">
        <v>-2245</v>
      </c>
    </row>
    <row r="53" spans="1:16" x14ac:dyDescent="0.3">
      <c r="A53" s="146"/>
      <c r="B53" s="94">
        <v>43132</v>
      </c>
      <c r="C53" s="105">
        <f t="shared" si="0"/>
        <v>170452.55000000002</v>
      </c>
      <c r="D53" s="92">
        <v>85265.08</v>
      </c>
      <c r="E53" s="92">
        <v>4913</v>
      </c>
      <c r="F53" s="92">
        <v>33440.03</v>
      </c>
      <c r="G53" s="92">
        <v>2627.54</v>
      </c>
      <c r="H53" s="92">
        <v>3398.28</v>
      </c>
      <c r="I53" s="92">
        <v>4122.9799999999996</v>
      </c>
      <c r="J53" s="92">
        <v>3369.13</v>
      </c>
      <c r="K53" s="92">
        <v>22504.58</v>
      </c>
      <c r="L53" s="92">
        <v>4576.07</v>
      </c>
      <c r="M53" s="92">
        <v>6312.17</v>
      </c>
      <c r="N53" s="92">
        <v>-406.31</v>
      </c>
      <c r="P53" s="117">
        <v>330</v>
      </c>
    </row>
    <row r="54" spans="1:16" x14ac:dyDescent="0.3">
      <c r="A54" s="146"/>
      <c r="B54" s="94">
        <v>43160</v>
      </c>
      <c r="C54" s="105">
        <f t="shared" si="0"/>
        <v>206043.62000000002</v>
      </c>
      <c r="D54" s="92">
        <v>82716.570000000007</v>
      </c>
      <c r="E54" s="92">
        <v>7234.75</v>
      </c>
      <c r="F54" s="92">
        <v>35590.75</v>
      </c>
      <c r="G54" s="92">
        <v>3620.62</v>
      </c>
      <c r="H54" s="92">
        <v>12766.88</v>
      </c>
      <c r="I54" s="92">
        <v>4295.47</v>
      </c>
      <c r="J54" s="92">
        <v>3111.68</v>
      </c>
      <c r="K54" s="92">
        <v>29879.54</v>
      </c>
      <c r="L54" s="92">
        <v>10352.92</v>
      </c>
      <c r="M54" s="92">
        <v>7203.54</v>
      </c>
      <c r="N54" s="92">
        <v>7474.9</v>
      </c>
      <c r="P54" s="117">
        <v>1796</v>
      </c>
    </row>
    <row r="55" spans="1:16" x14ac:dyDescent="0.3">
      <c r="A55" s="146"/>
      <c r="B55" s="94">
        <v>43191</v>
      </c>
      <c r="C55" s="105">
        <f t="shared" si="0"/>
        <v>167388.14999999997</v>
      </c>
      <c r="D55" s="92">
        <v>65172.9</v>
      </c>
      <c r="E55" s="92">
        <v>3364.86</v>
      </c>
      <c r="F55" s="92">
        <v>41446.879999999997</v>
      </c>
      <c r="G55" s="92">
        <v>2830.26</v>
      </c>
      <c r="H55" s="92">
        <v>6773.4</v>
      </c>
      <c r="I55" s="92">
        <v>4160.3599999999997</v>
      </c>
      <c r="J55" s="92">
        <v>7435.7</v>
      </c>
      <c r="K55" s="92">
        <v>21048.61</v>
      </c>
      <c r="L55" s="92">
        <v>6378.13</v>
      </c>
      <c r="M55" s="92">
        <v>5645.61</v>
      </c>
      <c r="N55" s="92">
        <v>2781.44</v>
      </c>
      <c r="P55" s="117">
        <v>350</v>
      </c>
    </row>
    <row r="56" spans="1:16" x14ac:dyDescent="0.3">
      <c r="A56" s="146"/>
      <c r="B56" s="94">
        <v>43221</v>
      </c>
      <c r="C56" s="105">
        <f t="shared" si="0"/>
        <v>222761.37000000002</v>
      </c>
      <c r="D56" s="92">
        <v>69494.42</v>
      </c>
      <c r="E56" s="92">
        <v>22299.35</v>
      </c>
      <c r="F56" s="92">
        <v>38757.040000000001</v>
      </c>
      <c r="G56" s="92">
        <v>2750.23</v>
      </c>
      <c r="H56" s="92">
        <v>2473.98</v>
      </c>
      <c r="I56" s="92">
        <v>1269.93</v>
      </c>
      <c r="J56" s="92">
        <v>35933</v>
      </c>
      <c r="K56" s="92">
        <v>26673.78</v>
      </c>
      <c r="L56" s="92">
        <v>16601.98</v>
      </c>
      <c r="M56" s="92">
        <v>5303.16</v>
      </c>
      <c r="N56" s="92">
        <v>469.5</v>
      </c>
      <c r="P56" s="117">
        <v>735</v>
      </c>
    </row>
    <row r="57" spans="1:16" x14ac:dyDescent="0.3">
      <c r="A57" s="146"/>
      <c r="B57" s="94">
        <v>43252</v>
      </c>
      <c r="C57" s="105">
        <f t="shared" si="0"/>
        <v>255582.07000000004</v>
      </c>
      <c r="D57" s="92">
        <v>122000.52</v>
      </c>
      <c r="E57" s="92">
        <v>20139.54</v>
      </c>
      <c r="F57" s="92">
        <v>35334.559999999998</v>
      </c>
      <c r="G57" s="92">
        <v>3465.94</v>
      </c>
      <c r="H57" s="92">
        <v>10266.200000000001</v>
      </c>
      <c r="I57" s="92">
        <v>5335.56</v>
      </c>
      <c r="J57" s="92">
        <v>9300.35</v>
      </c>
      <c r="K57" s="92">
        <v>35978.230000000003</v>
      </c>
      <c r="L57" s="92">
        <v>9138.65</v>
      </c>
      <c r="M57" s="92">
        <v>3232.85</v>
      </c>
      <c r="N57" s="92">
        <v>264.67</v>
      </c>
      <c r="P57" s="117">
        <v>1125</v>
      </c>
    </row>
    <row r="58" spans="1:16" x14ac:dyDescent="0.3">
      <c r="A58" s="146"/>
      <c r="B58" s="94">
        <v>43282</v>
      </c>
      <c r="C58" s="105">
        <f t="shared" si="0"/>
        <v>254249.66</v>
      </c>
      <c r="D58" s="92">
        <v>79583.570000000007</v>
      </c>
      <c r="E58" s="92">
        <v>6248.86</v>
      </c>
      <c r="F58" s="92">
        <v>44112.22</v>
      </c>
      <c r="G58" s="92">
        <v>4750.41</v>
      </c>
      <c r="H58" s="92">
        <v>37922.35</v>
      </c>
      <c r="I58" s="92">
        <v>3419.03</v>
      </c>
      <c r="J58" s="92">
        <v>12785.42</v>
      </c>
      <c r="K58" s="92">
        <v>40509.83</v>
      </c>
      <c r="L58" s="92">
        <v>11989.44</v>
      </c>
      <c r="M58" s="92">
        <v>5276.29</v>
      </c>
      <c r="N58" s="92">
        <v>7622.43</v>
      </c>
      <c r="P58" s="117">
        <v>29.81</v>
      </c>
    </row>
    <row r="59" spans="1:16" x14ac:dyDescent="0.3">
      <c r="A59" s="146"/>
      <c r="B59" s="94">
        <v>43313</v>
      </c>
      <c r="C59" s="105">
        <f t="shared" si="0"/>
        <v>145222.71</v>
      </c>
      <c r="D59" s="92">
        <v>44341.52</v>
      </c>
      <c r="E59" s="92">
        <v>17754.57</v>
      </c>
      <c r="F59" s="92">
        <v>18897.28</v>
      </c>
      <c r="G59" s="92">
        <v>2608.36</v>
      </c>
      <c r="H59" s="92">
        <v>2959.93</v>
      </c>
      <c r="I59" s="92">
        <v>6086.05</v>
      </c>
      <c r="J59" s="92">
        <v>14784</v>
      </c>
      <c r="K59" s="92">
        <v>17756.810000000001</v>
      </c>
      <c r="L59" s="92">
        <v>12345.63</v>
      </c>
      <c r="M59" s="92">
        <v>7103.56</v>
      </c>
      <c r="P59" s="117">
        <v>585</v>
      </c>
    </row>
    <row r="60" spans="1:16" x14ac:dyDescent="0.3">
      <c r="A60" s="146"/>
      <c r="B60" s="94">
        <v>43344</v>
      </c>
      <c r="C60" s="105">
        <f t="shared" si="0"/>
        <v>154019.43</v>
      </c>
      <c r="D60" s="92">
        <v>54222.62</v>
      </c>
      <c r="E60" s="92">
        <v>12986.06</v>
      </c>
      <c r="F60" s="92">
        <v>22047.93</v>
      </c>
      <c r="G60" s="92">
        <v>2764.73</v>
      </c>
      <c r="H60" s="92">
        <v>5220.2299999999996</v>
      </c>
      <c r="I60" s="92">
        <v>3350.9</v>
      </c>
      <c r="J60" s="92">
        <v>11622.5</v>
      </c>
      <c r="K60" s="92">
        <v>20487.59</v>
      </c>
      <c r="L60" s="92">
        <v>10376.73</v>
      </c>
      <c r="M60" s="92">
        <v>8360.77</v>
      </c>
      <c r="N60" s="92">
        <v>2484.37</v>
      </c>
      <c r="P60" s="117">
        <v>95</v>
      </c>
    </row>
    <row r="61" spans="1:16" x14ac:dyDescent="0.3">
      <c r="A61" s="146"/>
      <c r="B61" s="94">
        <v>43374</v>
      </c>
      <c r="C61" s="105">
        <f t="shared" si="0"/>
        <v>219285.68000000002</v>
      </c>
      <c r="D61" s="92">
        <v>61144.84</v>
      </c>
      <c r="E61" s="92">
        <v>4375.62</v>
      </c>
      <c r="F61" s="92">
        <v>33494.83</v>
      </c>
      <c r="G61" s="92">
        <v>2797.58</v>
      </c>
      <c r="H61" s="92">
        <v>8119.92</v>
      </c>
      <c r="I61" s="92">
        <v>19719.45</v>
      </c>
      <c r="J61" s="92">
        <v>35558.42</v>
      </c>
      <c r="K61" s="92">
        <v>28446.09</v>
      </c>
      <c r="L61" s="92">
        <v>5327.41</v>
      </c>
      <c r="M61" s="92">
        <v>10099.450000000001</v>
      </c>
      <c r="N61" s="92">
        <v>311.07</v>
      </c>
      <c r="P61" s="117">
        <v>9891</v>
      </c>
    </row>
    <row r="62" spans="1:16" x14ac:dyDescent="0.3">
      <c r="A62" s="146"/>
      <c r="B62" s="94">
        <v>43405</v>
      </c>
      <c r="C62" s="105">
        <f t="shared" si="0"/>
        <v>269668.53000000003</v>
      </c>
      <c r="D62" s="92">
        <v>61128.26</v>
      </c>
      <c r="E62" s="92">
        <v>18651.41</v>
      </c>
      <c r="F62" s="92">
        <v>22269.89</v>
      </c>
      <c r="G62" s="92">
        <v>3787.42</v>
      </c>
      <c r="H62" s="92">
        <v>4428.3599999999997</v>
      </c>
      <c r="I62" s="92">
        <v>68940.740000000005</v>
      </c>
      <c r="J62" s="92">
        <v>1365</v>
      </c>
      <c r="K62" s="92">
        <v>50470.91</v>
      </c>
      <c r="L62" s="92">
        <v>24369</v>
      </c>
      <c r="M62" s="92">
        <v>8525.08</v>
      </c>
      <c r="N62" s="92">
        <v>4972.46</v>
      </c>
      <c r="P62" s="117">
        <v>760</v>
      </c>
    </row>
    <row r="63" spans="1:16" x14ac:dyDescent="0.3">
      <c r="A63" s="146"/>
      <c r="B63" s="94">
        <v>43435</v>
      </c>
      <c r="C63" s="105">
        <f t="shared" si="0"/>
        <v>181483.18</v>
      </c>
      <c r="D63" s="105">
        <v>55731.71</v>
      </c>
      <c r="E63" s="105">
        <v>3292.53</v>
      </c>
      <c r="F63" s="105">
        <v>43318.2</v>
      </c>
      <c r="G63" s="105">
        <v>3018.47</v>
      </c>
      <c r="H63" s="105">
        <v>4171.75</v>
      </c>
      <c r="I63" s="105">
        <v>1635.3</v>
      </c>
      <c r="J63" s="105">
        <v>2569.29</v>
      </c>
      <c r="K63" s="105">
        <v>22922.42</v>
      </c>
      <c r="L63" s="105">
        <v>17883.7</v>
      </c>
      <c r="M63" s="105">
        <v>12351.78</v>
      </c>
      <c r="N63" s="105">
        <v>1341.93</v>
      </c>
      <c r="O63" s="105"/>
      <c r="P63" s="119">
        <v>13246.1</v>
      </c>
    </row>
    <row r="64" spans="1:16" x14ac:dyDescent="0.3">
      <c r="A64" s="146"/>
      <c r="B64" s="94">
        <v>43466</v>
      </c>
      <c r="C64" s="105">
        <f t="shared" si="0"/>
        <v>204965.56999999998</v>
      </c>
      <c r="D64" s="105">
        <v>62931.86</v>
      </c>
      <c r="E64" s="105">
        <v>21945.5</v>
      </c>
      <c r="F64" s="105">
        <v>21895.54</v>
      </c>
      <c r="G64" s="105">
        <v>3720.92</v>
      </c>
      <c r="H64" s="105">
        <v>6476.41</v>
      </c>
      <c r="I64" s="105">
        <v>4254.92</v>
      </c>
      <c r="J64" s="105">
        <v>7140.95</v>
      </c>
      <c r="K64" s="105">
        <v>45085.54</v>
      </c>
      <c r="L64" s="105">
        <v>19862.810000000001</v>
      </c>
      <c r="M64" s="105">
        <v>10817.94</v>
      </c>
      <c r="N64" s="105">
        <v>263.83</v>
      </c>
      <c r="O64" s="105"/>
      <c r="P64" s="119">
        <v>569.35</v>
      </c>
    </row>
    <row r="65" spans="1:16" x14ac:dyDescent="0.3">
      <c r="A65" s="146"/>
      <c r="B65" s="94">
        <v>43497</v>
      </c>
      <c r="C65" s="105">
        <f t="shared" si="0"/>
        <v>248112.50000000003</v>
      </c>
      <c r="D65" s="105">
        <v>94250.36</v>
      </c>
      <c r="E65" s="105">
        <v>12193.18</v>
      </c>
      <c r="F65" s="105">
        <v>40770.51</v>
      </c>
      <c r="G65" s="105">
        <v>3718.84</v>
      </c>
      <c r="H65" s="105">
        <v>6032.64</v>
      </c>
      <c r="I65" s="105">
        <v>6416.14</v>
      </c>
      <c r="J65" s="105">
        <v>10849</v>
      </c>
      <c r="K65" s="105">
        <v>41820.15</v>
      </c>
      <c r="L65" s="105">
        <v>17571.18</v>
      </c>
      <c r="M65" s="105">
        <v>13744.29</v>
      </c>
      <c r="N65" s="105">
        <v>229.96</v>
      </c>
      <c r="O65" s="105"/>
      <c r="P65" s="119">
        <v>516.25</v>
      </c>
    </row>
    <row r="66" spans="1:16" x14ac:dyDescent="0.3">
      <c r="A66" s="146"/>
      <c r="B66" s="94">
        <v>43525</v>
      </c>
      <c r="C66" s="105">
        <f t="shared" si="0"/>
        <v>231713.3</v>
      </c>
      <c r="D66" s="105">
        <v>106115.9</v>
      </c>
      <c r="E66" s="105">
        <v>10771.78</v>
      </c>
      <c r="F66" s="105">
        <v>26796.82</v>
      </c>
      <c r="G66" s="105">
        <v>11135.7</v>
      </c>
      <c r="H66" s="105">
        <v>4780.3</v>
      </c>
      <c r="I66" s="105">
        <v>3310.3</v>
      </c>
      <c r="J66" s="105">
        <v>3721.26</v>
      </c>
      <c r="K66" s="105">
        <v>35154.559999999998</v>
      </c>
      <c r="L66" s="105">
        <v>14974.46</v>
      </c>
      <c r="M66" s="105">
        <v>11314.17</v>
      </c>
      <c r="N66" s="105">
        <v>2009.05</v>
      </c>
      <c r="O66" s="105"/>
      <c r="P66" s="119">
        <v>1629</v>
      </c>
    </row>
    <row r="67" spans="1:16" x14ac:dyDescent="0.3">
      <c r="A67" s="146"/>
      <c r="B67" s="94">
        <v>43556</v>
      </c>
      <c r="C67" s="105">
        <f t="shared" si="0"/>
        <v>201716.19</v>
      </c>
      <c r="D67" s="105">
        <v>63704.800000000003</v>
      </c>
      <c r="E67" s="105">
        <v>20819.27</v>
      </c>
      <c r="F67" s="105">
        <v>28722.77</v>
      </c>
      <c r="G67" s="105">
        <v>4154.4399999999996</v>
      </c>
      <c r="H67" s="105">
        <v>7972.57</v>
      </c>
      <c r="I67" s="105">
        <v>13032.92</v>
      </c>
      <c r="J67" s="105">
        <v>2547.15</v>
      </c>
      <c r="K67" s="105">
        <v>24448.04</v>
      </c>
      <c r="L67" s="105">
        <v>16907.59</v>
      </c>
      <c r="M67" s="105">
        <v>14826.83</v>
      </c>
      <c r="N67" s="105">
        <v>2809.81</v>
      </c>
      <c r="O67" s="105"/>
      <c r="P67" s="119">
        <v>1770</v>
      </c>
    </row>
    <row r="68" spans="1:16" x14ac:dyDescent="0.3">
      <c r="A68" s="146"/>
      <c r="B68" s="94">
        <v>43586</v>
      </c>
      <c r="C68" s="105">
        <f t="shared" ref="C68:C154" si="1">SUM(D68:P68)</f>
        <v>185725.99999999997</v>
      </c>
      <c r="D68" s="105">
        <v>63229.59</v>
      </c>
      <c r="E68" s="105">
        <v>5624.58</v>
      </c>
      <c r="F68" s="105">
        <v>20916.22</v>
      </c>
      <c r="G68" s="105">
        <v>2226.9</v>
      </c>
      <c r="H68" s="105">
        <v>6474.57</v>
      </c>
      <c r="I68" s="105">
        <v>1961.65</v>
      </c>
      <c r="J68" s="105">
        <v>32095.93</v>
      </c>
      <c r="K68" s="105">
        <v>22981.16</v>
      </c>
      <c r="L68" s="105">
        <v>13420.78</v>
      </c>
      <c r="M68" s="105">
        <v>11507.21</v>
      </c>
      <c r="N68" s="105">
        <v>242.41</v>
      </c>
      <c r="O68" s="105"/>
      <c r="P68" s="119">
        <v>5045</v>
      </c>
    </row>
    <row r="69" spans="1:16" x14ac:dyDescent="0.3">
      <c r="A69" s="146"/>
      <c r="B69" s="94">
        <v>43617</v>
      </c>
      <c r="C69" s="105">
        <f t="shared" si="1"/>
        <v>241582.13999999998</v>
      </c>
      <c r="D69" s="105">
        <v>58140.7</v>
      </c>
      <c r="E69" s="105">
        <v>5915.95</v>
      </c>
      <c r="F69" s="105">
        <v>36949.29</v>
      </c>
      <c r="G69" s="105">
        <v>6127.05</v>
      </c>
      <c r="H69" s="105">
        <v>9059.75</v>
      </c>
      <c r="I69" s="105">
        <v>16789.66</v>
      </c>
      <c r="J69" s="105">
        <v>31669.05</v>
      </c>
      <c r="K69" s="105">
        <v>42200.53</v>
      </c>
      <c r="L69" s="105">
        <v>20768.03</v>
      </c>
      <c r="M69" s="105">
        <v>13417.25</v>
      </c>
      <c r="N69" s="105">
        <v>254.38</v>
      </c>
      <c r="O69" s="105"/>
      <c r="P69" s="119">
        <v>290.5</v>
      </c>
    </row>
    <row r="70" spans="1:16" x14ac:dyDescent="0.3">
      <c r="A70" s="146"/>
      <c r="B70" s="94">
        <v>43647</v>
      </c>
      <c r="C70" s="105">
        <f t="shared" si="1"/>
        <v>230529.04999999996</v>
      </c>
      <c r="D70" s="105">
        <v>54397.5</v>
      </c>
      <c r="E70" s="105">
        <v>5020.47</v>
      </c>
      <c r="F70" s="105">
        <v>66805.64</v>
      </c>
      <c r="G70" s="105">
        <v>7763.82</v>
      </c>
      <c r="H70" s="105">
        <v>20356.169999999998</v>
      </c>
      <c r="I70" s="105">
        <v>1922.93</v>
      </c>
      <c r="J70" s="105">
        <v>18287.78</v>
      </c>
      <c r="K70" s="105">
        <v>29016.55</v>
      </c>
      <c r="L70" s="105">
        <v>13056.91</v>
      </c>
      <c r="M70" s="105">
        <v>11635.58</v>
      </c>
      <c r="N70" s="105">
        <v>933</v>
      </c>
      <c r="O70" s="105"/>
      <c r="P70" s="119">
        <v>1332.7</v>
      </c>
    </row>
    <row r="71" spans="1:16" x14ac:dyDescent="0.3">
      <c r="A71" s="146"/>
      <c r="B71" s="94">
        <v>43678</v>
      </c>
      <c r="C71" s="105">
        <f t="shared" si="1"/>
        <v>148352.90999999997</v>
      </c>
      <c r="D71" s="105">
        <v>34984.18</v>
      </c>
      <c r="E71" s="105">
        <v>6323.19</v>
      </c>
      <c r="F71" s="105">
        <v>20032.759999999998</v>
      </c>
      <c r="G71" s="105">
        <v>1376.59</v>
      </c>
      <c r="H71" s="105">
        <v>3259.52</v>
      </c>
      <c r="I71" s="105">
        <v>13150.34</v>
      </c>
      <c r="J71" s="105">
        <v>12604.23</v>
      </c>
      <c r="K71" s="105">
        <v>12534.17</v>
      </c>
      <c r="L71" s="105">
        <v>37448.31</v>
      </c>
      <c r="M71" s="105">
        <v>4632.22</v>
      </c>
      <c r="N71" s="105"/>
      <c r="O71" s="105"/>
      <c r="P71" s="119">
        <v>2007.4</v>
      </c>
    </row>
    <row r="72" spans="1:16" x14ac:dyDescent="0.3">
      <c r="A72" s="146"/>
      <c r="B72" s="94">
        <v>43709</v>
      </c>
      <c r="C72" s="105">
        <f t="shared" si="1"/>
        <v>245864.65000000002</v>
      </c>
      <c r="D72" s="105">
        <v>101139.98</v>
      </c>
      <c r="E72" s="105">
        <v>14003.96</v>
      </c>
      <c r="F72" s="105">
        <v>34532.46</v>
      </c>
      <c r="G72" s="105">
        <v>-1571.54</v>
      </c>
      <c r="H72" s="105">
        <v>7842.82</v>
      </c>
      <c r="I72" s="105">
        <v>5768.48</v>
      </c>
      <c r="J72" s="105">
        <v>17095.95</v>
      </c>
      <c r="K72" s="105">
        <v>36016.92</v>
      </c>
      <c r="L72" s="105">
        <v>22341.65</v>
      </c>
      <c r="M72" s="105">
        <v>7683.97</v>
      </c>
      <c r="N72" s="105"/>
      <c r="O72" s="105"/>
      <c r="P72" s="119">
        <v>1010</v>
      </c>
    </row>
    <row r="73" spans="1:16" x14ac:dyDescent="0.3">
      <c r="A73" s="146"/>
      <c r="B73" s="94">
        <v>43739</v>
      </c>
      <c r="C73" s="105">
        <f t="shared" si="1"/>
        <v>206820.23</v>
      </c>
      <c r="D73" s="105">
        <v>79955.350000000006</v>
      </c>
      <c r="E73" s="105">
        <v>33374.080000000002</v>
      </c>
      <c r="F73" s="105">
        <v>37751.71</v>
      </c>
      <c r="G73" s="105">
        <v>3691.62</v>
      </c>
      <c r="H73" s="105">
        <v>6405.47</v>
      </c>
      <c r="I73" s="105">
        <v>2231.3200000000002</v>
      </c>
      <c r="J73" s="105">
        <v>2772.1</v>
      </c>
      <c r="K73" s="105">
        <v>21644.84</v>
      </c>
      <c r="L73" s="105">
        <v>7958.31</v>
      </c>
      <c r="M73" s="105">
        <v>9899.43</v>
      </c>
      <c r="N73" s="105"/>
      <c r="O73" s="105"/>
      <c r="P73" s="119">
        <v>1136</v>
      </c>
    </row>
    <row r="74" spans="1:16" x14ac:dyDescent="0.3">
      <c r="A74" s="146"/>
      <c r="B74" s="94">
        <v>43770</v>
      </c>
      <c r="C74" s="105">
        <f t="shared" si="1"/>
        <v>211884.40999999997</v>
      </c>
      <c r="D74" s="105">
        <v>73916.3</v>
      </c>
      <c r="E74" s="105">
        <v>6023.88</v>
      </c>
      <c r="F74" s="105">
        <v>22328.03</v>
      </c>
      <c r="G74" s="105">
        <v>5800.18</v>
      </c>
      <c r="H74" s="105">
        <v>5666.79</v>
      </c>
      <c r="I74" s="105">
        <v>11898.87</v>
      </c>
      <c r="J74" s="105">
        <v>415</v>
      </c>
      <c r="K74" s="105">
        <v>26084.73</v>
      </c>
      <c r="L74" s="105">
        <v>30468.33</v>
      </c>
      <c r="M74" s="105">
        <v>13452.97</v>
      </c>
      <c r="N74" s="105">
        <v>120</v>
      </c>
      <c r="O74" s="105">
        <v>14194.33</v>
      </c>
      <c r="P74" s="119">
        <v>1515</v>
      </c>
    </row>
    <row r="75" spans="1:16" x14ac:dyDescent="0.3">
      <c r="A75" s="146"/>
      <c r="B75" s="94">
        <v>43800</v>
      </c>
      <c r="C75" s="105">
        <f t="shared" si="1"/>
        <v>158525.9</v>
      </c>
      <c r="D75" s="105">
        <v>47788.51</v>
      </c>
      <c r="E75" s="105">
        <v>12260.93</v>
      </c>
      <c r="F75" s="105">
        <v>28745.9</v>
      </c>
      <c r="G75" s="105">
        <v>2316.31</v>
      </c>
      <c r="H75" s="105">
        <v>7243.42</v>
      </c>
      <c r="I75" s="105">
        <v>7449.6</v>
      </c>
      <c r="J75" s="105">
        <v>2073.2199999999998</v>
      </c>
      <c r="K75" s="105">
        <v>22717.47</v>
      </c>
      <c r="L75" s="105">
        <v>10259.209999999999</v>
      </c>
      <c r="M75" s="105">
        <v>9191.56</v>
      </c>
      <c r="N75" s="105">
        <v>1380.27</v>
      </c>
      <c r="O75" s="105"/>
      <c r="P75" s="119">
        <v>7099.5</v>
      </c>
    </row>
    <row r="76" spans="1:16" x14ac:dyDescent="0.3">
      <c r="A76" s="146"/>
      <c r="B76" s="94">
        <v>43831</v>
      </c>
      <c r="C76" s="105">
        <f t="shared" si="1"/>
        <v>111692.07</v>
      </c>
      <c r="D76" s="105">
        <v>38349.58</v>
      </c>
      <c r="E76" s="105">
        <v>5566.26</v>
      </c>
      <c r="F76" s="105">
        <v>16797.580000000002</v>
      </c>
      <c r="G76" s="105">
        <v>1934.02</v>
      </c>
      <c r="H76" s="105">
        <v>5576.78</v>
      </c>
      <c r="I76" s="105">
        <v>6619.69</v>
      </c>
      <c r="J76" s="105">
        <v>261.77999999999997</v>
      </c>
      <c r="K76" s="105">
        <v>15532.17</v>
      </c>
      <c r="L76" s="105">
        <v>9464.68</v>
      </c>
      <c r="M76" s="105">
        <v>11109.03</v>
      </c>
      <c r="N76" s="105"/>
      <c r="O76" s="105"/>
      <c r="P76" s="119">
        <v>480.5</v>
      </c>
    </row>
    <row r="77" spans="1:16" x14ac:dyDescent="0.3">
      <c r="A77" s="146"/>
      <c r="B77" s="94">
        <v>43862</v>
      </c>
      <c r="C77" s="105">
        <f t="shared" si="1"/>
        <v>250340.93000000005</v>
      </c>
      <c r="D77" s="105">
        <v>84020.08</v>
      </c>
      <c r="E77" s="105">
        <v>10691.94</v>
      </c>
      <c r="F77" s="105">
        <v>53343.25</v>
      </c>
      <c r="G77" s="105">
        <v>2271.41</v>
      </c>
      <c r="H77" s="105">
        <v>8328.67</v>
      </c>
      <c r="I77" s="105">
        <v>6505.83</v>
      </c>
      <c r="J77" s="105">
        <v>10087.700000000001</v>
      </c>
      <c r="K77" s="105">
        <v>29370.62</v>
      </c>
      <c r="L77" s="105">
        <v>9986.32</v>
      </c>
      <c r="M77" s="105">
        <v>8144.85</v>
      </c>
      <c r="N77" s="105"/>
      <c r="O77" s="105">
        <v>25107.759999999998</v>
      </c>
      <c r="P77" s="119">
        <v>2482.5</v>
      </c>
    </row>
    <row r="78" spans="1:16" x14ac:dyDescent="0.3">
      <c r="A78" s="146"/>
      <c r="B78" s="94">
        <v>43891</v>
      </c>
      <c r="C78" s="105">
        <f t="shared" si="1"/>
        <v>88707.709999999992</v>
      </c>
      <c r="D78" s="105">
        <v>55948.06</v>
      </c>
      <c r="E78" s="105">
        <v>3348.39</v>
      </c>
      <c r="F78" s="105">
        <v>23584.89</v>
      </c>
      <c r="G78" s="105">
        <v>1652.84</v>
      </c>
      <c r="H78" s="105">
        <v>653.98</v>
      </c>
      <c r="I78" s="105">
        <v>825.86</v>
      </c>
      <c r="J78" s="105"/>
      <c r="K78" s="105">
        <v>7457.39</v>
      </c>
      <c r="L78" s="105">
        <v>5663.84</v>
      </c>
      <c r="M78" s="105">
        <v>1422.46</v>
      </c>
      <c r="N78" s="105"/>
      <c r="O78" s="105">
        <v>-11970</v>
      </c>
      <c r="P78" s="119">
        <v>120</v>
      </c>
    </row>
    <row r="79" spans="1:16" x14ac:dyDescent="0.3">
      <c r="A79" s="146"/>
      <c r="B79" s="94">
        <v>43922</v>
      </c>
      <c r="C79" s="105">
        <f t="shared" si="1"/>
        <v>25002.45</v>
      </c>
      <c r="D79" s="105">
        <v>22411.119999999999</v>
      </c>
      <c r="E79" s="105">
        <v>121.08</v>
      </c>
      <c r="F79" s="105">
        <v>253.22</v>
      </c>
      <c r="G79" s="105">
        <v>309.60000000000002</v>
      </c>
      <c r="H79" s="105">
        <v>20</v>
      </c>
      <c r="I79" s="105"/>
      <c r="J79" s="105"/>
      <c r="K79" s="105">
        <v>520.13</v>
      </c>
      <c r="L79" s="105">
        <v>801.63</v>
      </c>
      <c r="M79" s="105">
        <v>95</v>
      </c>
      <c r="N79" s="105">
        <v>219.75</v>
      </c>
      <c r="O79" s="105">
        <v>250.92</v>
      </c>
      <c r="P79" s="119"/>
    </row>
    <row r="80" spans="1:16" x14ac:dyDescent="0.3">
      <c r="A80" s="146"/>
      <c r="B80" s="94">
        <v>43952</v>
      </c>
      <c r="C80" s="105">
        <f t="shared" si="1"/>
        <v>78184.340000000011</v>
      </c>
      <c r="D80">
        <v>49907.87</v>
      </c>
      <c r="E80">
        <v>1188.42</v>
      </c>
      <c r="F80">
        <v>8352.2999999999993</v>
      </c>
      <c r="G80">
        <v>2433.91</v>
      </c>
      <c r="H80">
        <v>2446.5</v>
      </c>
      <c r="I80">
        <v>538.9</v>
      </c>
      <c r="J80"/>
      <c r="K80">
        <v>6607.04</v>
      </c>
      <c r="L80">
        <v>5345.08</v>
      </c>
      <c r="M80">
        <v>1154.32</v>
      </c>
      <c r="N80"/>
      <c r="O80"/>
      <c r="P80" s="120">
        <v>210</v>
      </c>
    </row>
    <row r="81" spans="1:17" x14ac:dyDescent="0.3">
      <c r="A81" s="146"/>
      <c r="B81" s="94">
        <v>43983</v>
      </c>
      <c r="C81" s="105">
        <f t="shared" si="1"/>
        <v>176046.58000000002</v>
      </c>
      <c r="D81" s="109">
        <v>97215.5</v>
      </c>
      <c r="E81" s="109">
        <v>1211.26</v>
      </c>
      <c r="F81" s="109">
        <v>7378.82</v>
      </c>
      <c r="G81" s="109">
        <v>1852.2</v>
      </c>
      <c r="H81" s="109">
        <v>700.5</v>
      </c>
      <c r="I81" s="109">
        <v>248.8</v>
      </c>
      <c r="J81" s="109">
        <v>10000</v>
      </c>
      <c r="K81" s="109">
        <v>8849.9500000000007</v>
      </c>
      <c r="L81" s="109">
        <v>5312.49</v>
      </c>
      <c r="M81" s="109">
        <v>2939.26</v>
      </c>
      <c r="N81" s="109">
        <v>40137.800000000003</v>
      </c>
      <c r="O81" s="109"/>
      <c r="P81" s="121">
        <v>200</v>
      </c>
    </row>
    <row r="82" spans="1:17" x14ac:dyDescent="0.3">
      <c r="A82" s="146"/>
      <c r="B82" s="94">
        <v>44013</v>
      </c>
      <c r="C82" s="105">
        <f t="shared" si="1"/>
        <v>161916.22999999998</v>
      </c>
      <c r="D82" s="109">
        <v>78740.92</v>
      </c>
      <c r="E82" s="109">
        <v>616.17999999999995</v>
      </c>
      <c r="F82" s="109">
        <v>33016.54</v>
      </c>
      <c r="G82" s="109">
        <v>4693.1099999999997</v>
      </c>
      <c r="H82" s="109">
        <v>136.5</v>
      </c>
      <c r="I82" s="109">
        <v>8537.2099999999991</v>
      </c>
      <c r="J82" s="109">
        <v>3290</v>
      </c>
      <c r="K82" s="109">
        <v>10361.65</v>
      </c>
      <c r="L82" s="109">
        <v>6673.04</v>
      </c>
      <c r="M82" s="109">
        <v>4606.8100000000004</v>
      </c>
      <c r="N82" s="109">
        <v>3997.9</v>
      </c>
      <c r="O82" s="109">
        <v>2111.37</v>
      </c>
      <c r="P82" s="121">
        <v>5135</v>
      </c>
    </row>
    <row r="83" spans="1:17" x14ac:dyDescent="0.3">
      <c r="A83" s="146"/>
      <c r="B83" s="94">
        <v>44044</v>
      </c>
      <c r="C83" s="105">
        <f t="shared" si="1"/>
        <v>86633.63</v>
      </c>
      <c r="D83" s="110">
        <v>34039.32</v>
      </c>
      <c r="E83" s="110">
        <v>719.93</v>
      </c>
      <c r="F83" s="110">
        <v>8135.49</v>
      </c>
      <c r="G83" s="110">
        <v>1088.27</v>
      </c>
      <c r="H83" s="110">
        <v>1081</v>
      </c>
      <c r="I83" s="110">
        <v>179.4</v>
      </c>
      <c r="J83" s="110">
        <v>21653</v>
      </c>
      <c r="K83" s="110">
        <v>5684.57</v>
      </c>
      <c r="L83" s="110">
        <v>6183.86</v>
      </c>
      <c r="M83" s="110">
        <v>2652.53</v>
      </c>
      <c r="N83" s="110"/>
      <c r="O83" s="110">
        <v>4876.26</v>
      </c>
      <c r="P83" s="122">
        <v>340</v>
      </c>
    </row>
    <row r="84" spans="1:17" x14ac:dyDescent="0.3">
      <c r="A84" s="146"/>
      <c r="B84" s="94">
        <v>44075</v>
      </c>
      <c r="C84" s="105">
        <f t="shared" si="1"/>
        <v>149663.31000000003</v>
      </c>
      <c r="D84" s="110">
        <v>63044.93</v>
      </c>
      <c r="E84" s="110">
        <v>5330.63</v>
      </c>
      <c r="F84" s="110">
        <v>31199.54</v>
      </c>
      <c r="G84" s="110">
        <v>1761.15</v>
      </c>
      <c r="H84" s="110">
        <v>4262.57</v>
      </c>
      <c r="I84" s="110">
        <v>10210.719999999999</v>
      </c>
      <c r="J84" s="110">
        <v>7073.55</v>
      </c>
      <c r="K84" s="110">
        <v>14948.67</v>
      </c>
      <c r="L84" s="110">
        <v>6347.92</v>
      </c>
      <c r="M84" s="110">
        <v>7626.39</v>
      </c>
      <c r="N84" s="110"/>
      <c r="O84" s="110">
        <v>-2202.7600000000002</v>
      </c>
      <c r="P84" s="122">
        <v>60</v>
      </c>
    </row>
    <row r="85" spans="1:17" x14ac:dyDescent="0.3">
      <c r="A85" s="146"/>
      <c r="B85" s="94">
        <v>44105</v>
      </c>
      <c r="C85" s="105">
        <f t="shared" si="1"/>
        <v>125270.81999999999</v>
      </c>
      <c r="D85" s="110">
        <v>41518.49</v>
      </c>
      <c r="E85" s="110">
        <v>6500.83</v>
      </c>
      <c r="F85" s="110">
        <v>14954.64</v>
      </c>
      <c r="G85" s="110">
        <v>2542.48</v>
      </c>
      <c r="H85" s="110">
        <v>6384.53</v>
      </c>
      <c r="I85" s="110">
        <v>3783.27</v>
      </c>
      <c r="J85" s="110">
        <v>2335</v>
      </c>
      <c r="K85" s="110">
        <v>18312.099999999999</v>
      </c>
      <c r="L85" s="110">
        <v>12451.5</v>
      </c>
      <c r="M85" s="110">
        <v>7457.89</v>
      </c>
      <c r="N85" s="110">
        <v>2727.42</v>
      </c>
      <c r="O85" s="111">
        <v>4834.67</v>
      </c>
      <c r="P85" s="122">
        <v>1468</v>
      </c>
    </row>
    <row r="86" spans="1:17" x14ac:dyDescent="0.3">
      <c r="A86" s="146"/>
      <c r="B86" s="94">
        <v>44136</v>
      </c>
      <c r="C86" s="105">
        <f t="shared" si="1"/>
        <v>160970.85999999999</v>
      </c>
      <c r="D86" s="110">
        <v>29174.45</v>
      </c>
      <c r="E86" s="110">
        <v>3398.39</v>
      </c>
      <c r="F86" s="110">
        <v>19675.61</v>
      </c>
      <c r="G86" s="110">
        <v>1940.08</v>
      </c>
      <c r="H86" s="110">
        <v>31919.62</v>
      </c>
      <c r="I86" s="110">
        <v>11223.09</v>
      </c>
      <c r="J86" s="110">
        <v>1645</v>
      </c>
      <c r="K86" s="110">
        <v>24918.880000000001</v>
      </c>
      <c r="L86" s="110">
        <v>10424.77</v>
      </c>
      <c r="M86" s="110">
        <v>5374.54</v>
      </c>
      <c r="N86" s="110"/>
      <c r="O86" s="110">
        <v>21276.43</v>
      </c>
      <c r="P86" s="122"/>
    </row>
    <row r="87" spans="1:17" x14ac:dyDescent="0.3">
      <c r="A87" s="146"/>
      <c r="B87" s="94">
        <v>44166</v>
      </c>
      <c r="C87" s="105">
        <f t="shared" si="1"/>
        <v>155444.79</v>
      </c>
      <c r="D87" s="110">
        <v>53386.52</v>
      </c>
      <c r="E87" s="110">
        <v>1476.91</v>
      </c>
      <c r="F87" s="110">
        <v>26414.93</v>
      </c>
      <c r="G87" s="110">
        <v>1866.92</v>
      </c>
      <c r="H87" s="110">
        <v>1465.75</v>
      </c>
      <c r="I87" s="110">
        <v>897.94</v>
      </c>
      <c r="J87" s="110">
        <v>9542</v>
      </c>
      <c r="K87" s="110">
        <v>31680.43</v>
      </c>
      <c r="L87" s="110">
        <v>12552.32</v>
      </c>
      <c r="M87" s="110">
        <v>6560.32</v>
      </c>
      <c r="N87" s="110">
        <v>1324.41</v>
      </c>
      <c r="O87" s="110">
        <v>7777.84</v>
      </c>
      <c r="P87" s="122">
        <v>498.5</v>
      </c>
    </row>
    <row r="88" spans="1:17" x14ac:dyDescent="0.3">
      <c r="A88" s="146"/>
      <c r="B88" s="94">
        <v>44197</v>
      </c>
      <c r="C88" s="105">
        <f t="shared" si="1"/>
        <v>155070.81999999998</v>
      </c>
      <c r="D88" s="110">
        <v>58075.24</v>
      </c>
      <c r="E88" s="110">
        <v>3985.39</v>
      </c>
      <c r="F88" s="110">
        <v>17019.43</v>
      </c>
      <c r="G88" s="110">
        <v>2073.5100000000002</v>
      </c>
      <c r="H88" s="110">
        <v>1657.7</v>
      </c>
      <c r="I88" s="110">
        <v>18010.2</v>
      </c>
      <c r="J88" s="110">
        <v>632</v>
      </c>
      <c r="K88" s="110">
        <v>31101.98</v>
      </c>
      <c r="L88" s="110">
        <v>14915.16</v>
      </c>
      <c r="M88" s="110">
        <v>6031.44</v>
      </c>
      <c r="N88" s="110">
        <v>480.03</v>
      </c>
      <c r="O88" s="110">
        <v>1021.24</v>
      </c>
      <c r="P88" s="122">
        <v>67.5</v>
      </c>
    </row>
    <row r="89" spans="1:17" x14ac:dyDescent="0.3">
      <c r="A89" s="146"/>
      <c r="B89" s="94">
        <v>44228</v>
      </c>
      <c r="C89" s="105">
        <f t="shared" si="1"/>
        <v>120444.79</v>
      </c>
      <c r="D89" s="110">
        <v>48736.18</v>
      </c>
      <c r="E89" s="110">
        <v>2951</v>
      </c>
      <c r="F89" s="110">
        <v>17716.11</v>
      </c>
      <c r="G89" s="110">
        <v>1539.77</v>
      </c>
      <c r="H89" s="110">
        <v>1586.9</v>
      </c>
      <c r="I89" s="110">
        <v>3530.44</v>
      </c>
      <c r="J89" s="110">
        <v>139.12</v>
      </c>
      <c r="K89" s="110">
        <v>13121.74</v>
      </c>
      <c r="L89" s="110">
        <v>7023.09</v>
      </c>
      <c r="M89" s="110">
        <v>5098.87</v>
      </c>
      <c r="N89" s="110">
        <v>1233.48</v>
      </c>
      <c r="O89" s="110">
        <v>13510.59</v>
      </c>
      <c r="P89" s="122">
        <v>4257.5</v>
      </c>
    </row>
    <row r="90" spans="1:17" x14ac:dyDescent="0.3">
      <c r="A90" s="146"/>
      <c r="B90" s="94">
        <v>44256</v>
      </c>
      <c r="C90" s="105">
        <f t="shared" si="1"/>
        <v>193949.81000000003</v>
      </c>
      <c r="D90" s="110">
        <v>77296.22</v>
      </c>
      <c r="E90" s="110">
        <v>1615.06</v>
      </c>
      <c r="F90" s="110">
        <v>34579.42</v>
      </c>
      <c r="G90" s="110">
        <v>2762.96</v>
      </c>
      <c r="H90" s="110">
        <v>2415.48</v>
      </c>
      <c r="I90" s="110">
        <v>20539.37</v>
      </c>
      <c r="J90" s="110">
        <v>1159.7</v>
      </c>
      <c r="K90" s="110">
        <v>19337.95</v>
      </c>
      <c r="L90" s="110">
        <v>11370.44</v>
      </c>
      <c r="M90" s="110">
        <v>8841.84</v>
      </c>
      <c r="N90" s="110">
        <v>865.71</v>
      </c>
      <c r="O90" s="110">
        <v>12869.16</v>
      </c>
      <c r="P90" s="110">
        <v>296.5</v>
      </c>
    </row>
    <row r="91" spans="1:17" x14ac:dyDescent="0.3">
      <c r="A91" s="146"/>
      <c r="B91" s="94">
        <v>44287</v>
      </c>
      <c r="C91" s="105">
        <f t="shared" si="1"/>
        <v>108791.27</v>
      </c>
      <c r="D91" s="110">
        <v>27337.81</v>
      </c>
      <c r="E91" s="110">
        <v>4373.2299999999996</v>
      </c>
      <c r="F91" s="110">
        <v>16110.15</v>
      </c>
      <c r="G91" s="110">
        <v>2161.6999999999998</v>
      </c>
      <c r="H91" s="110">
        <v>2147.0500000000002</v>
      </c>
      <c r="I91" s="110">
        <v>5818.23</v>
      </c>
      <c r="J91" s="110">
        <v>5186.75</v>
      </c>
      <c r="K91" s="110">
        <v>21681.05</v>
      </c>
      <c r="L91" s="110">
        <v>10107.5</v>
      </c>
      <c r="M91" s="110">
        <v>6593.65</v>
      </c>
      <c r="N91" s="110">
        <v>380.82</v>
      </c>
      <c r="O91" s="110">
        <v>7066.33</v>
      </c>
      <c r="P91" s="110">
        <v>-173</v>
      </c>
    </row>
    <row r="92" spans="1:17" x14ac:dyDescent="0.3">
      <c r="A92" s="146"/>
      <c r="B92" s="94">
        <v>44317</v>
      </c>
      <c r="C92" s="105">
        <f t="shared" si="1"/>
        <v>116223.94000000002</v>
      </c>
      <c r="D92" s="110">
        <v>38843.379999999997</v>
      </c>
      <c r="E92" s="110">
        <v>2399.19</v>
      </c>
      <c r="F92" s="110">
        <v>14816.01</v>
      </c>
      <c r="G92" s="110">
        <v>2776.12</v>
      </c>
      <c r="H92" s="110">
        <v>1387.09</v>
      </c>
      <c r="I92" s="110">
        <v>2380.5</v>
      </c>
      <c r="J92" s="110">
        <v>3367.01</v>
      </c>
      <c r="K92" s="110">
        <v>13971.66</v>
      </c>
      <c r="L92" s="110">
        <v>10344.969999999999</v>
      </c>
      <c r="M92" s="110">
        <v>8738.86</v>
      </c>
      <c r="N92" s="110">
        <v>2716.74</v>
      </c>
      <c r="O92" s="110">
        <v>8527.41</v>
      </c>
      <c r="P92" s="110">
        <v>5955</v>
      </c>
    </row>
    <row r="93" spans="1:17" x14ac:dyDescent="0.3">
      <c r="A93" s="146"/>
      <c r="B93" s="94">
        <v>44348</v>
      </c>
      <c r="C93" s="105">
        <f t="shared" si="1"/>
        <v>168996.78999999998</v>
      </c>
      <c r="D93" s="110">
        <v>59362.97</v>
      </c>
      <c r="E93" s="110">
        <v>1936.66</v>
      </c>
      <c r="F93" s="110">
        <v>18644.39</v>
      </c>
      <c r="G93" s="110">
        <v>3083.52</v>
      </c>
      <c r="H93" s="110">
        <v>4050.81</v>
      </c>
      <c r="I93" s="110">
        <v>13387.63</v>
      </c>
      <c r="J93" s="110">
        <v>4321.01</v>
      </c>
      <c r="K93" s="110">
        <v>27034.98</v>
      </c>
      <c r="L93" s="110">
        <v>10110.290000000001</v>
      </c>
      <c r="M93" s="110">
        <v>7233.09</v>
      </c>
      <c r="N93" s="110">
        <v>618.27</v>
      </c>
      <c r="O93" s="110">
        <v>18885.62</v>
      </c>
      <c r="P93" s="110">
        <v>327.55</v>
      </c>
    </row>
    <row r="94" spans="1:17" x14ac:dyDescent="0.3">
      <c r="A94" s="146"/>
      <c r="B94" s="94">
        <v>44378</v>
      </c>
      <c r="C94" s="105">
        <f t="shared" si="1"/>
        <v>182030.81999999998</v>
      </c>
      <c r="D94" s="110">
        <v>64992.51</v>
      </c>
      <c r="E94" s="110">
        <v>1032.17</v>
      </c>
      <c r="F94" s="110">
        <v>37139.39</v>
      </c>
      <c r="G94" s="110">
        <v>5698.39</v>
      </c>
      <c r="H94" s="110">
        <v>3455.71</v>
      </c>
      <c r="I94" s="110">
        <v>-1479.85</v>
      </c>
      <c r="J94" s="110">
        <v>11026.82</v>
      </c>
      <c r="K94" s="110">
        <v>23118.3</v>
      </c>
      <c r="L94" s="110">
        <v>7857.18</v>
      </c>
      <c r="M94" s="110">
        <v>13392.27</v>
      </c>
      <c r="N94" s="110">
        <v>451.71</v>
      </c>
      <c r="O94" s="110">
        <v>14562.22</v>
      </c>
      <c r="P94" s="110">
        <v>784</v>
      </c>
    </row>
    <row r="95" spans="1:17" x14ac:dyDescent="0.3">
      <c r="A95" s="146"/>
      <c r="B95" s="94">
        <v>44409</v>
      </c>
      <c r="C95" s="105">
        <f t="shared" si="1"/>
        <v>64967</v>
      </c>
      <c r="D95" s="105">
        <v>23691</v>
      </c>
      <c r="E95" s="105">
        <v>320</v>
      </c>
      <c r="F95" s="105">
        <v>3240</v>
      </c>
      <c r="G95" s="105">
        <v>1363</v>
      </c>
      <c r="H95" s="105">
        <v>5693</v>
      </c>
      <c r="I95" s="105">
        <v>651</v>
      </c>
      <c r="J95" s="105">
        <v>4814</v>
      </c>
      <c r="K95" s="105">
        <v>7656</v>
      </c>
      <c r="L95" s="105">
        <v>6013</v>
      </c>
      <c r="M95" s="105">
        <v>5518</v>
      </c>
      <c r="N95" s="105">
        <v>413</v>
      </c>
      <c r="O95" s="105">
        <v>5526</v>
      </c>
      <c r="P95" s="105">
        <v>69</v>
      </c>
    </row>
    <row r="96" spans="1:17" x14ac:dyDescent="0.3">
      <c r="A96" s="146"/>
      <c r="B96" s="94">
        <v>44440</v>
      </c>
      <c r="C96" s="105">
        <f t="shared" ref="C96:C101" si="2">SUM(D96:P96)</f>
        <v>158917.88</v>
      </c>
      <c r="D96" s="105">
        <f>GETPIVOTDATA("CA",[1]Feuil1!$A$1,"Agence","Paris","Catégorie","Petit Format Couleur")</f>
        <v>57767.72</v>
      </c>
      <c r="E96" s="105">
        <f>GETPIVOTDATA("CA",[1]Feuil1!$A$1,"Agence","Paris","Catégorie","Petit Format N&amp;B")</f>
        <v>16712.259999999998</v>
      </c>
      <c r="F96" s="105">
        <f>GETPIVOTDATA("CA",[1]Feuil1!$A$1,"Agence","Paris","Catégorie","Grand Format Couleur")</f>
        <v>17594.23</v>
      </c>
      <c r="G96" s="105">
        <f>GETPIVOTDATA("CA",[1]Feuil1!$A$1,"Agence","Paris","Catégorie","Grand Format n&amp;b")</f>
        <v>2506.7800000000002</v>
      </c>
      <c r="H96" s="105">
        <f>GETPIVOTDATA("CA",[1]Feuil1!$A$1,"Agence","Paris","Catégorie","imagerie")</f>
        <v>8018.75</v>
      </c>
      <c r="I96" s="105">
        <f>GETPIVOTDATA("CA",[1]Feuil1!$A$1,"Agence","Paris","Catégorie","Numérisation")</f>
        <v>4183.22</v>
      </c>
      <c r="J96" s="105">
        <f>GETPIVOTDATA("CA",[1]Feuil1!$A$1,"Agence","Paris","Catégorie","Sous Traitance")</f>
        <v>31.28</v>
      </c>
      <c r="K96" s="105">
        <f>GETPIVOTDATA("CA",[1]Feuil1!$A$1,"Agence","Paris","Catégorie","finition")</f>
        <v>21155.24</v>
      </c>
      <c r="L96" s="105">
        <f>GETPIVOTDATA("CA",[1]Feuil1!$A$1,"Agence","Paris","Catégorie","Livraison")</f>
        <v>10243.86</v>
      </c>
      <c r="M96" s="105">
        <f>GETPIVOTDATA("CA",[1]Feuil1!$A$1,"Agence","Paris","Catégorie","divers")</f>
        <v>10551.6</v>
      </c>
      <c r="N96" s="105">
        <f>GETPIVOTDATA("CA",[1]Feuil1!$A$1,"Agence","Paris","Catégorie","Cross Media")</f>
        <v>1517.52</v>
      </c>
      <c r="O96" s="105">
        <f>GETPIVOTDATA("CA",[1]Feuil1!$A$1,"Agence","Paris","Catégorie","affranchissement")</f>
        <v>6276.42</v>
      </c>
      <c r="P96" s="105">
        <f>GETPIVOTDATA("CA",[1]Feuil1!$A$1,"Agence","Paris","Catégorie","STUDIO GRAPHIQUE")</f>
        <v>2359</v>
      </c>
      <c r="Q96" s="105"/>
    </row>
    <row r="97" spans="1:16" x14ac:dyDescent="0.3">
      <c r="A97" s="146"/>
      <c r="B97" s="94">
        <v>44470</v>
      </c>
      <c r="C97" s="105">
        <f t="shared" si="2"/>
        <v>166265.34</v>
      </c>
      <c r="D97" s="105">
        <f>GETPIVOTDATA("CA",[2]Feuil1!$A$1,"Agence","Paris","Catégorie","Petit Format Couleur")</f>
        <v>42575.64</v>
      </c>
      <c r="E97" s="105">
        <f>GETPIVOTDATA("CA",[2]Feuil1!$A$1,"Agence","Paris","Catégorie","Petit Format N&amp;B")</f>
        <v>12474.35</v>
      </c>
      <c r="F97" s="105">
        <f>GETPIVOTDATA("CA",[2]Feuil1!$A$1,"Agence","Paris","Catégorie","Grand Format Couleur")</f>
        <v>20812.82</v>
      </c>
      <c r="G97" s="105">
        <f>GETPIVOTDATA("CA",[2]Feuil1!$A$1,"Agence","Paris","Catégorie","Grand Format n&amp;b")</f>
        <v>1485.78</v>
      </c>
      <c r="H97" s="105">
        <f>GETPIVOTDATA("CA",[2]Feuil1!$A$1,"Agence","Paris","Catégorie","imagerie")</f>
        <v>39514.120000000003</v>
      </c>
      <c r="I97" s="105">
        <f>GETPIVOTDATA("CA",[2]Feuil1!$A$1,"Agence","Paris","Catégorie","Numérisation")</f>
        <v>4801.5600000000004</v>
      </c>
      <c r="J97" s="105">
        <f>GETPIVOTDATA("CA",[2]Feuil1!$A$1,"Agence","Paris","Catégorie","Sous Traitance")</f>
        <v>817.52</v>
      </c>
      <c r="K97" s="105">
        <f>GETPIVOTDATA("CA",[2]Feuil1!$A$1,"Agence","Paris","Catégorie","finition")</f>
        <v>21954.39</v>
      </c>
      <c r="L97" s="105">
        <f>GETPIVOTDATA("CA",[2]Feuil1!$A$1,"Agence","Paris","Catégorie","Livraison")</f>
        <v>9481.57</v>
      </c>
      <c r="M97" s="105">
        <f>GETPIVOTDATA("CA",[2]Feuil1!$A$1,"Agence","Paris","Catégorie","divers")</f>
        <v>4949.6400000000003</v>
      </c>
      <c r="N97" s="105">
        <f>GETPIVOTDATA("CA",[2]Feuil1!$A$1,"Agence","Paris","Catégorie","Cross Media")</f>
        <v>2535.2399999999998</v>
      </c>
      <c r="O97" s="105">
        <f>GETPIVOTDATA("CA",[2]Feuil1!$A$1,"Agence","Paris","Catégorie","affranchissement")</f>
        <v>4302.71</v>
      </c>
      <c r="P97" s="105">
        <f>GETPIVOTDATA("CA",[2]Feuil1!$A$1,"Agence","Paris","Catégorie","STUDIO GRAPHIQUE")</f>
        <v>560</v>
      </c>
    </row>
    <row r="98" spans="1:16" x14ac:dyDescent="0.3">
      <c r="A98" s="146"/>
      <c r="B98" s="94">
        <v>44501</v>
      </c>
      <c r="C98" s="105">
        <f t="shared" si="2"/>
        <v>116435.33000000002</v>
      </c>
      <c r="D98" s="110">
        <f>GETPIVOTDATA("CA",[3]Feuil1!$A$1,"Agence","Paris","Catégorie","Petit Format Couleur")</f>
        <v>36833.019999999997</v>
      </c>
      <c r="E98" s="110">
        <f>GETPIVOTDATA("CA",[3]Feuil1!$A$1,"Agence","Paris","Catégorie","Petit Format N&amp;B")</f>
        <v>14809.82</v>
      </c>
      <c r="F98" s="110">
        <f>GETPIVOTDATA("CA",[3]Feuil1!$A$1,"Agence","Paris","Catégorie","Grand Format Couleur")</f>
        <v>21617.81</v>
      </c>
      <c r="G98" s="110">
        <f>GETPIVOTDATA("CA",[3]Feuil1!$A$1,"Agence","Paris","Catégorie","Grand Format n&amp;b")</f>
        <v>1603.71</v>
      </c>
      <c r="H98" s="110">
        <f>GETPIVOTDATA("CA",[3]Feuil1!$A$1,"Agence","Paris","Catégorie","imagerie")</f>
        <v>9426.0300000000007</v>
      </c>
      <c r="I98" s="110">
        <f>GETPIVOTDATA("CA",[3]Feuil1!$A$1,"Agence","Paris","Catégorie","Numérisation")</f>
        <v>5073.66</v>
      </c>
      <c r="J98" s="110">
        <f>GETPIVOTDATA("CA",[3]Feuil1!$A$1,"Agence","Paris","Catégorie","Sous Traitance")</f>
        <v>3895</v>
      </c>
      <c r="K98" s="110">
        <f>GETPIVOTDATA("CA",[3]Feuil1!$A$1,"Agence","Paris","Catégorie","finition")</f>
        <v>10065.450000000001</v>
      </c>
      <c r="L98" s="110">
        <f>GETPIVOTDATA("CA",[3]Feuil1!$A$1,"Agence","Paris","Catégorie","Livraison")</f>
        <v>6071.32</v>
      </c>
      <c r="M98" s="110">
        <f>GETPIVOTDATA("CA",[3]Feuil1!$A$1,"Agence","Paris","Catégorie","divers")</f>
        <v>3943.6</v>
      </c>
      <c r="N98" s="110">
        <f>GETPIVOTDATA("CA",[3]Feuil1!$A$1,"Agence","Paris","Catégorie","Cross Media")</f>
        <v>1380.21</v>
      </c>
      <c r="O98" s="110">
        <f>GETPIVOTDATA("CA",[3]Feuil1!$A$1,"Agence","Paris","Catégorie","affranchissement")</f>
        <v>153.19999999999999</v>
      </c>
      <c r="P98" s="122">
        <f>GETPIVOTDATA("CA",[3]Feuil1!$A$1,"Agence","Paris","Catégorie","STUDIO GRAPHIQUE")</f>
        <v>1562.5</v>
      </c>
    </row>
    <row r="99" spans="1:16" x14ac:dyDescent="0.3">
      <c r="A99" s="146"/>
      <c r="B99" s="94">
        <v>44531</v>
      </c>
      <c r="C99" s="105">
        <f t="shared" si="2"/>
        <v>122683.88</v>
      </c>
      <c r="D99" s="110">
        <f>GETPIVOTDATA("CA",[4]Feuil1!$A$1,"Agence","Paris","Catégorie","Petit Format Couleur")</f>
        <v>32803.519999999997</v>
      </c>
      <c r="E99" s="110">
        <f>GETPIVOTDATA("CA",[4]Feuil1!$A$1,"Agence","Paris","Catégorie","Petit Format N&amp;B")</f>
        <v>1237.74</v>
      </c>
      <c r="F99" s="110">
        <f>GETPIVOTDATA("CA",[4]Feuil1!$A$1,"Agence","Paris","Catégorie","Grand Format Couleur")</f>
        <v>20985.47</v>
      </c>
      <c r="G99" s="110">
        <f>GETPIVOTDATA("CA",[4]Feuil1!$A$1,"Agence","Paris","Catégorie","Grand Format n&amp;b")</f>
        <v>1524.56</v>
      </c>
      <c r="H99" s="110">
        <f>GETPIVOTDATA("CA",[4]Feuil1!$A$1,"Agence","Paris","Catégorie","imagerie")</f>
        <v>4490.8500000000004</v>
      </c>
      <c r="I99" s="110">
        <f>GETPIVOTDATA("CA",[4]Feuil1!$A$1,"Agence","Paris","Catégorie","Numérisation")</f>
        <v>12436.67</v>
      </c>
      <c r="J99" s="110">
        <f>GETPIVOTDATA("CA",[4]Feuil1!$A$1,"Agence","Paris","Catégorie","Sous Traitance")</f>
        <v>2382.61</v>
      </c>
      <c r="K99" s="110">
        <f>GETPIVOTDATA("CA",[4]Feuil1!$A$1,"Agence","Paris","Catégorie","finition")</f>
        <v>14341.66</v>
      </c>
      <c r="L99" s="110">
        <f>GETPIVOTDATA("CA",[4]Feuil1!$A$1,"Agence","Paris","Catégorie","Livraison")</f>
        <v>14585.6</v>
      </c>
      <c r="M99" s="110">
        <f>GETPIVOTDATA("CA",[4]Feuil1!$A$1,"Agence","Paris","Catégorie","divers")</f>
        <v>5133.95</v>
      </c>
      <c r="N99" s="110">
        <f>GETPIVOTDATA("CA",[4]Feuil1!$A$1,"Agence","Paris","Catégorie","Cross Media")</f>
        <v>387.48</v>
      </c>
      <c r="O99" s="110">
        <f>GETPIVOTDATA("CA",[4]Feuil1!$A$1,"Agence","Paris","Catégorie","affranchissement")</f>
        <v>2553.77</v>
      </c>
      <c r="P99" s="122">
        <f>GETPIVOTDATA("CA",[4]Feuil1!$A$1,"Agence","Paris","Catégorie","STUDIO GRAPHIQUE")</f>
        <v>9820</v>
      </c>
    </row>
    <row r="100" spans="1:16" x14ac:dyDescent="0.3">
      <c r="A100" s="146"/>
      <c r="B100" s="94">
        <v>44562</v>
      </c>
      <c r="C100" s="105">
        <f t="shared" si="2"/>
        <v>74167.809999999983</v>
      </c>
      <c r="D100" s="110">
        <f>GETPIVOTDATA("CA",[5]Feuil1!$A$1,"Agence","Paris","Catégorie","Petit Format Couleur")</f>
        <v>26841.42</v>
      </c>
      <c r="E100" s="110">
        <f>GETPIVOTDATA("CA",[5]Feuil1!$A$1,"Agence","Paris","Catégorie","Petit Format N&amp;B")</f>
        <v>4137.09</v>
      </c>
      <c r="F100" s="110">
        <f>GETPIVOTDATA("CA",[5]Feuil1!$A$1,"Agence","Paris","Catégorie","Grand Format Couleur")</f>
        <v>11377.38</v>
      </c>
      <c r="G100" s="110">
        <f>GETPIVOTDATA("CA",[5]Feuil1!$A$1,"Agence","Paris","Catégorie","Grand Format n&amp;b")</f>
        <v>1381.74</v>
      </c>
      <c r="H100" s="110">
        <f>GETPIVOTDATA("CA",[5]Feuil1!$A$1,"Agence","Paris","Catégorie","imagerie")</f>
        <v>7573.42</v>
      </c>
      <c r="I100" s="110">
        <f>GETPIVOTDATA("CA",[5]Feuil1!$A$1,"Agence","Paris","Catégorie","Numérisation")</f>
        <v>-1954.43</v>
      </c>
      <c r="J100" s="110">
        <f>GETPIVOTDATA("CA",[5]Feuil1!$A$1,"Agence","Paris","Catégorie","Sous Traitance")</f>
        <v>653.47</v>
      </c>
      <c r="K100" s="110">
        <f>GETPIVOTDATA("CA",[5]Feuil1!$A$1,"Agence","Paris","Catégorie","finition")</f>
        <v>5718.02</v>
      </c>
      <c r="L100" s="110">
        <f>GETPIVOTDATA("CA",[5]Feuil1!$A$1,"Agence","Paris","Catégorie","Livraison")</f>
        <v>5876.84</v>
      </c>
      <c r="M100" s="110">
        <f>GETPIVOTDATA("CA",[5]Feuil1!$A$1,"Agence","Paris","Catégorie","divers")</f>
        <v>5329.9</v>
      </c>
      <c r="N100" s="110">
        <f>GETPIVOTDATA("CA",[5]Feuil1!$A$1,"Agence","Paris","Catégorie","Cross Media")</f>
        <v>249.87</v>
      </c>
      <c r="O100" s="110">
        <f>GETPIVOTDATA("CA",[5]Feuil1!$A$1,"Agence","Paris","Catégorie","affranchissement")</f>
        <v>5526.09</v>
      </c>
      <c r="P100" s="122">
        <f>GETPIVOTDATA("CA",[5]Feuil1!$A$1,"Agence","Paris","Catégorie","STUDIO GRAPHIQUE")</f>
        <v>1457</v>
      </c>
    </row>
    <row r="101" spans="1:16" x14ac:dyDescent="0.3">
      <c r="A101" s="146"/>
      <c r="B101" s="94">
        <v>44593</v>
      </c>
      <c r="C101" s="105">
        <f t="shared" si="2"/>
        <v>125903.30999999998</v>
      </c>
      <c r="D101" s="110">
        <f>GETPIVOTDATA("CA",[6]Feuil1!$A$1,"Agence","Paris","Catégorie","Petit Format Couleur")</f>
        <v>76735.929999999993</v>
      </c>
      <c r="E101" s="110">
        <f>GETPIVOTDATA("CA",[6]Feuil1!$A$1,"Agence","Paris","Catégorie","Petit Format N&amp;B")</f>
        <v>1623.56</v>
      </c>
      <c r="F101" s="110">
        <f>GETPIVOTDATA("CA",[6]Feuil1!$A$1,"Agence","Paris","Catégorie","Grand Format Couleur")</f>
        <v>7913.38</v>
      </c>
      <c r="G101" s="110">
        <f>GETPIVOTDATA("CA",[6]Feuil1!$A$1,"Agence","Paris","Catégorie","Grand Format n&amp;b")</f>
        <v>2233.64</v>
      </c>
      <c r="H101" s="110">
        <f>GETPIVOTDATA("CA",[6]Feuil1!$A$1,"Agence","Paris","Catégorie","imagerie")</f>
        <v>1414.43</v>
      </c>
      <c r="I101" s="110">
        <f>GETPIVOTDATA("CA",[6]Feuil1!$A$1,"Agence","Paris","Catégorie","Numérisation")</f>
        <v>2435.06</v>
      </c>
      <c r="J101" s="110">
        <f>GETPIVOTDATA("CA",[6]Feuil1!$A$1,"Agence","Paris","Catégorie","Sous Traitance")</f>
        <v>534.55999999999995</v>
      </c>
      <c r="K101" s="110">
        <f>GETPIVOTDATA("CA",[6]Feuil1!$A$1,"Agence","Paris","Catégorie","finition")</f>
        <v>16599.11</v>
      </c>
      <c r="L101" s="110">
        <f>GETPIVOTDATA("CA",[6]Feuil1!$A$1,"Agence","Paris","Catégorie","Livraison")</f>
        <v>7253.55</v>
      </c>
      <c r="M101" s="110">
        <f>GETPIVOTDATA("CA",[6]Feuil1!$A$1,"Agence","Paris","Catégorie","divers")</f>
        <v>3504.97</v>
      </c>
      <c r="N101" s="110">
        <f>GETPIVOTDATA("CA",[6]Feuil1!$A$1,"Agence","Paris","Catégorie","Cross Media")</f>
        <v>0</v>
      </c>
      <c r="O101" s="110">
        <f>GETPIVOTDATA("CA",[6]Feuil1!$A$1,"Agence","Paris","Catégorie","affranchissement")</f>
        <v>1445.12</v>
      </c>
      <c r="P101" s="122">
        <f>GETPIVOTDATA("CA",[6]Feuil1!$A$1,"Agence","Paris","Catégorie","STUDIO GRAPHIQUE")</f>
        <v>4210</v>
      </c>
    </row>
    <row r="102" spans="1:16" x14ac:dyDescent="0.3">
      <c r="A102" s="146"/>
      <c r="B102" s="94">
        <v>44621</v>
      </c>
      <c r="C102" s="105">
        <f>SUM(D102:P102)</f>
        <v>115421.62</v>
      </c>
      <c r="D102" s="110">
        <f>GETPIVOTDATA("Montant",[7]Feuil1!$A$1,"Agence","Paris","Catégorie","Petit Format Couleur")</f>
        <v>46701.69</v>
      </c>
      <c r="E102" s="110">
        <f>GETPIVOTDATA("Montant",[7]Feuil1!$A$1,"Agence","Paris","Catégorie","Petit Format N&amp;B")</f>
        <v>3265.89</v>
      </c>
      <c r="F102" s="110">
        <f>GETPIVOTDATA("Montant",[7]Feuil1!$A$1,"Agence","Paris","Catégorie","Grand Format Couleur")</f>
        <v>21915.48</v>
      </c>
      <c r="G102" s="110">
        <f>GETPIVOTDATA("Montant",[7]Feuil1!$A$1,"Agence","Paris","Catégorie","Grand Format n&amp;b")</f>
        <v>2278.58</v>
      </c>
      <c r="H102" s="110">
        <f>GETPIVOTDATA("Montant",[7]Feuil1!$A$1,"Agence","Paris","Catégorie","imagerie")</f>
        <v>6113.81</v>
      </c>
      <c r="I102" s="110">
        <f>GETPIVOTDATA("Montant",[7]Feuil1!$A$1,"Agence","Paris","Catégorie","Numérisation")</f>
        <v>-5416.52</v>
      </c>
      <c r="J102" s="110">
        <f>GETPIVOTDATA("Montant",[7]Feuil1!$A$1,"Agence","Paris","Catégorie","Sous Traitance")</f>
        <v>1037.02</v>
      </c>
      <c r="K102" s="110">
        <f>GETPIVOTDATA("Montant",[7]Feuil1!$A$1,"Agence","Paris","Catégorie","finition")</f>
        <v>23186.04</v>
      </c>
      <c r="L102" s="110">
        <f>GETPIVOTDATA("Montant",[7]Feuil1!$A$1,"Agence","Paris","Catégorie","Livraison")</f>
        <v>8970.5499999999993</v>
      </c>
      <c r="M102" s="110">
        <f>GETPIVOTDATA("Montant",[7]Feuil1!$A$1,"Agence","Paris","Catégorie","divers")</f>
        <v>4274.95</v>
      </c>
      <c r="N102" s="110">
        <f>GETPIVOTDATA("Montant",[7]Feuil1!$A$1,"Agence","Paris","Catégorie","Cross Media")</f>
        <v>0</v>
      </c>
      <c r="O102" s="110">
        <f>GETPIVOTDATA("Montant",[7]Feuil1!$A$1,"Agence","Paris","Catégorie","affranchissement")</f>
        <v>1274.1300000000001</v>
      </c>
      <c r="P102" s="122">
        <f>GETPIVOTDATA("Montant",[7]Feuil1!$A$1,"Agence","Paris","Catégorie","STUDIO GRAPHIQUE")</f>
        <v>1820</v>
      </c>
    </row>
    <row r="103" spans="1:16" x14ac:dyDescent="0.3">
      <c r="A103" s="146"/>
      <c r="B103" s="94">
        <v>44652</v>
      </c>
      <c r="C103" s="105">
        <f>SUM(D103:P103)</f>
        <v>129120.13</v>
      </c>
      <c r="D103" s="110">
        <f>GETPIVOTDATA("CA",[8]Feuil1!$A$1,"Agence","Paris","Catégorie","Petit Format Couleur")</f>
        <v>42233.33</v>
      </c>
      <c r="E103" s="110">
        <f>GETPIVOTDATA("CA",[8]Feuil1!$A$1,"Agence","Paris","Catégorie","Petit Format N&amp;B")</f>
        <v>844.19</v>
      </c>
      <c r="F103" s="110">
        <f>GETPIVOTDATA("CA",[8]Feuil1!$A$1,"Agence","Paris","Catégorie","Grand Format Couleur")</f>
        <v>28193.66</v>
      </c>
      <c r="G103" s="110">
        <f>GETPIVOTDATA("CA",[8]Feuil1!$A$1,"Agence","Paris","Catégorie","Grand Format n&amp;b")</f>
        <v>2229</v>
      </c>
      <c r="H103" s="110">
        <f>GETPIVOTDATA("CA",[8]Feuil1!$A$1,"Agence","Paris","Catégorie","imagerie")</f>
        <v>3530.39</v>
      </c>
      <c r="I103" s="110">
        <f>GETPIVOTDATA("CA",[8]Feuil1!$A$1,"Agence","Paris","Catégorie","Numérisation")</f>
        <v>4738.33</v>
      </c>
      <c r="J103" s="110">
        <f>GETPIVOTDATA("CA",[8]Feuil1!$A$1,"Agence","Paris","Catégorie","Sous Traitance")</f>
        <v>8022</v>
      </c>
      <c r="K103" s="110">
        <f>GETPIVOTDATA("CA",[8]Feuil1!$A$1,"Agence","Paris","Catégorie","finition")</f>
        <v>17312.82</v>
      </c>
      <c r="L103" s="110">
        <f>GETPIVOTDATA("CA",[8]Feuil1!$A$1,"Agence","Paris","Catégorie","Livraison")</f>
        <v>11617.9</v>
      </c>
      <c r="M103" s="110">
        <f>GETPIVOTDATA("CA",[8]Feuil1!$A$1,"Agence","Paris","Catégorie","divers")</f>
        <v>5244.85</v>
      </c>
      <c r="N103" s="110">
        <v>0</v>
      </c>
      <c r="O103" s="110">
        <f>GETPIVOTDATA("CA",[8]Feuil1!$A$1,"Agence","Paris","Catégorie","affranchissement")</f>
        <v>3056.66</v>
      </c>
      <c r="P103" s="122">
        <f>GETPIVOTDATA("CA",[8]Feuil1!$A$1,"Agence","Paris","Catégorie","STUDIO GRAPHIQUE")</f>
        <v>2097</v>
      </c>
    </row>
    <row r="104" spans="1:16" x14ac:dyDescent="0.3">
      <c r="A104" s="146"/>
      <c r="B104" s="94">
        <v>44682</v>
      </c>
      <c r="C104" s="105">
        <f>SUM(D104:P104)</f>
        <v>116119.14</v>
      </c>
      <c r="D104" s="110">
        <f>GETPIVOTDATA("CA",[9]Feuil1!$A$1,"Agence","Paris","Catégorie","Petit Format Couleur")</f>
        <v>35534.620000000003</v>
      </c>
      <c r="E104" s="110">
        <f>GETPIVOTDATA("CA",[9]Feuil1!$A$1,"Agence","Paris","Catégorie","Petit Format N&amp;B")</f>
        <v>719.19</v>
      </c>
      <c r="F104" s="110">
        <f>GETPIVOTDATA("CA",[9]Feuil1!$A$1,"Agence","Paris","Catégorie","Grand Format Couleur")</f>
        <v>20367.12</v>
      </c>
      <c r="G104" s="110">
        <f>GETPIVOTDATA("CA",[9]Feuil1!$A$1,"Agence","Paris","Catégorie","Grand Format n&amp;b")</f>
        <v>2336.21</v>
      </c>
      <c r="H104" s="110">
        <f>GETPIVOTDATA("CA",[9]Feuil1!$A$1,"Agence","Paris","Catégorie","imagerie")</f>
        <v>17608.29</v>
      </c>
      <c r="I104" s="110">
        <f>GETPIVOTDATA("CA",[9]Feuil1!$A$1,"Agence","Paris","Catégorie","Numérisation")</f>
        <v>1658.07</v>
      </c>
      <c r="J104" s="110">
        <f>GETPIVOTDATA("CA",[9]Feuil1!$A$1,"Agence","Paris","Catégorie","Sous Traitance")</f>
        <v>4230</v>
      </c>
      <c r="K104" s="110">
        <f>GETPIVOTDATA("CA",[9]Feuil1!$A$1,"Agence","Paris","Catégorie","finition")</f>
        <v>11008.65</v>
      </c>
      <c r="L104" s="110">
        <f>GETPIVOTDATA("CA",[9]Feuil1!$A$1,"Agence","Paris","Catégorie","Livraison")</f>
        <v>16198.59</v>
      </c>
      <c r="M104" s="110">
        <f>GETPIVOTDATA("CA",[9]Feuil1!$A$1,"Agence","Paris","Catégorie","divers")</f>
        <v>4771.1499999999996</v>
      </c>
      <c r="N104" s="110">
        <f>GETPIVOTDATA("CA",[9]Feuil1!$A$1,"Agence","Paris","Catégorie","Cross Media")</f>
        <v>1116</v>
      </c>
      <c r="O104" s="110">
        <f>GETPIVOTDATA("CA",[9]Feuil1!$A$1,"Agence","Paris","Catégorie","affranchissement")</f>
        <v>0</v>
      </c>
      <c r="P104" s="122">
        <f>GETPIVOTDATA("CA",[9]Feuil1!$A$1,"Agence","Paris","Catégorie","STUDIO GRAPHIQUE")</f>
        <v>571.25</v>
      </c>
    </row>
    <row r="105" spans="1:16" x14ac:dyDescent="0.3">
      <c r="A105" s="146"/>
      <c r="B105" s="94">
        <v>44713</v>
      </c>
      <c r="C105" s="105">
        <f>SUM(D105:P105)</f>
        <v>123686.77</v>
      </c>
      <c r="D105" s="110">
        <f>GETPIVOTDATA("Montant",[10]Feuil1!$A$1,"Agence","Paris","Catégorie","Petit Format Couleur")</f>
        <v>48914.26</v>
      </c>
      <c r="E105" s="110">
        <f>GETPIVOTDATA("Montant",[10]Feuil1!$A$1,"Agence","Paris","Catégorie","Petit Format N&amp;B")</f>
        <v>2758.03</v>
      </c>
      <c r="F105" s="110">
        <f>GETPIVOTDATA("Montant",[10]Feuil1!$A$1,"Agence","Paris","Catégorie","Grand Format Couleur")</f>
        <v>16630.560000000001</v>
      </c>
      <c r="G105" s="110">
        <f>GETPIVOTDATA("Montant",[10]Feuil1!$A$1,"Agence","Paris","Catégorie","Grand Format n&amp;b")</f>
        <v>1798.1</v>
      </c>
      <c r="H105" s="110">
        <f>GETPIVOTDATA("Montant",[10]Feuil1!$A$1,"Agence","Paris","Catégorie","imagerie")</f>
        <v>12600.6</v>
      </c>
      <c r="I105" s="110">
        <f>GETPIVOTDATA("Montant",[10]Feuil1!$A$1,"Agence","Paris","Catégorie","Numérisation")</f>
        <v>1287.02</v>
      </c>
      <c r="J105" s="110">
        <f>GETPIVOTDATA("Montant",[10]Feuil1!$A$1,"Agence","Paris","Catégorie","Sous Traitance")</f>
        <v>400</v>
      </c>
      <c r="K105" s="110">
        <f>GETPIVOTDATA("Montant",[10]Feuil1!$A$1,"Agence","Paris","Catégorie","finition")</f>
        <v>16889.72</v>
      </c>
      <c r="L105" s="110">
        <f>GETPIVOTDATA("Montant",[10]Feuil1!$A$1,"Agence","Paris","Catégorie","Livraison")</f>
        <v>6539.04</v>
      </c>
      <c r="M105" s="110">
        <f>GETPIVOTDATA("Montant",[10]Feuil1!$A$1,"Agence","Paris","Catégorie","divers")</f>
        <v>4965.5</v>
      </c>
      <c r="N105" s="110">
        <f>GETPIVOTDATA("Montant",[10]Feuil1!$A$1,"Agence","Paris","Catégorie","Cross Media")</f>
        <v>2147.9</v>
      </c>
      <c r="O105" s="110">
        <f>GETPIVOTDATA("Montant",[10]Feuil1!$A$1,"Agence","Paris","Catégorie","affranchissement")</f>
        <v>4486.54</v>
      </c>
      <c r="P105" s="122">
        <f>GETPIVOTDATA("Montant",[10]Feuil1!$A$1,"Agence","Paris","Catégorie","STUDIO GRAPHIQUE")</f>
        <v>4269.5</v>
      </c>
    </row>
    <row r="106" spans="1:16" x14ac:dyDescent="0.3">
      <c r="A106" s="146"/>
      <c r="B106" s="94">
        <v>44743</v>
      </c>
      <c r="C106" s="105"/>
      <c r="D106" s="110"/>
      <c r="E106" s="110"/>
      <c r="F106" s="110"/>
      <c r="G106" s="110"/>
      <c r="H106" s="110"/>
      <c r="I106" s="110"/>
      <c r="J106" s="110"/>
      <c r="K106" s="110"/>
      <c r="L106" s="110"/>
      <c r="M106" s="110"/>
      <c r="N106" s="110"/>
      <c r="O106" s="110"/>
      <c r="P106" s="122"/>
    </row>
    <row r="107" spans="1:16" x14ac:dyDescent="0.3">
      <c r="A107" s="146"/>
      <c r="B107" s="94">
        <v>44774</v>
      </c>
      <c r="C107" s="105"/>
      <c r="D107" s="110"/>
      <c r="E107" s="110"/>
      <c r="F107" s="110"/>
      <c r="G107" s="110"/>
      <c r="H107" s="110"/>
      <c r="I107" s="110"/>
      <c r="J107" s="110"/>
      <c r="K107" s="110"/>
      <c r="L107" s="110"/>
      <c r="M107" s="110"/>
      <c r="N107" s="110"/>
      <c r="O107" s="110"/>
      <c r="P107" s="122"/>
    </row>
    <row r="108" spans="1:16" x14ac:dyDescent="0.3">
      <c r="A108" s="146"/>
      <c r="B108" s="94">
        <v>44805</v>
      </c>
      <c r="C108" s="105"/>
      <c r="D108" s="110"/>
      <c r="E108" s="110"/>
      <c r="F108" s="110"/>
      <c r="G108" s="110"/>
      <c r="H108" s="110"/>
      <c r="I108" s="110"/>
      <c r="J108" s="110"/>
      <c r="K108" s="110"/>
      <c r="L108" s="110"/>
      <c r="M108" s="110"/>
      <c r="N108" s="110"/>
      <c r="O108" s="110"/>
      <c r="P108" s="122"/>
    </row>
    <row r="109" spans="1:16" x14ac:dyDescent="0.3">
      <c r="A109" s="146"/>
      <c r="B109" s="94">
        <v>44835</v>
      </c>
      <c r="C109" s="105"/>
      <c r="D109" s="110"/>
      <c r="E109" s="110"/>
      <c r="F109" s="110"/>
      <c r="G109" s="110"/>
      <c r="H109" s="110"/>
      <c r="I109" s="110"/>
      <c r="J109" s="110"/>
      <c r="K109" s="110"/>
      <c r="L109" s="110"/>
      <c r="M109" s="110"/>
      <c r="N109" s="110"/>
      <c r="O109" s="110"/>
      <c r="P109" s="122"/>
    </row>
    <row r="110" spans="1:16" x14ac:dyDescent="0.3">
      <c r="A110" s="146"/>
      <c r="B110" s="94">
        <v>44866</v>
      </c>
      <c r="C110" s="105"/>
      <c r="D110" s="110"/>
      <c r="E110" s="110"/>
      <c r="F110" s="110"/>
      <c r="G110" s="110"/>
      <c r="H110" s="110"/>
      <c r="I110" s="110"/>
      <c r="J110" s="110"/>
      <c r="K110" s="110"/>
      <c r="L110" s="110"/>
      <c r="M110" s="110"/>
      <c r="N110" s="110"/>
      <c r="O110" s="110"/>
      <c r="P110" s="122"/>
    </row>
    <row r="111" spans="1:16" x14ac:dyDescent="0.3">
      <c r="A111" s="146"/>
      <c r="B111" s="94">
        <v>44896</v>
      </c>
      <c r="C111" s="105"/>
      <c r="D111" s="110"/>
      <c r="E111" s="110"/>
      <c r="F111" s="110"/>
      <c r="G111" s="110"/>
      <c r="H111" s="110"/>
      <c r="I111" s="110"/>
      <c r="J111" s="110"/>
      <c r="K111" s="110"/>
      <c r="L111" s="110"/>
      <c r="M111" s="110"/>
      <c r="N111" s="110"/>
      <c r="O111" s="110"/>
      <c r="P111" s="122"/>
    </row>
    <row r="112" spans="1:16" ht="15" thickBot="1" x14ac:dyDescent="0.35">
      <c r="A112" s="149"/>
      <c r="B112" s="94"/>
      <c r="C112" s="105"/>
      <c r="D112" s="110"/>
      <c r="E112" s="110"/>
      <c r="F112" s="110"/>
      <c r="G112" s="110"/>
      <c r="H112" s="110"/>
      <c r="I112" s="110"/>
      <c r="J112" s="110"/>
      <c r="K112" s="110"/>
      <c r="L112" s="110"/>
      <c r="M112" s="110"/>
      <c r="N112" s="110"/>
      <c r="O112" s="110"/>
      <c r="P112" s="122"/>
    </row>
    <row r="113" spans="1:16" s="124" customFormat="1" ht="14.7" customHeight="1" x14ac:dyDescent="0.3">
      <c r="A113" s="145" t="s">
        <v>29</v>
      </c>
      <c r="B113" s="96">
        <v>41640</v>
      </c>
      <c r="C113" s="95">
        <f t="shared" si="1"/>
        <v>177291.38</v>
      </c>
      <c r="D113" s="95">
        <v>53621.970000000023</v>
      </c>
      <c r="E113" s="95">
        <v>21382.880000000016</v>
      </c>
      <c r="F113" s="95">
        <v>23824.379999999994</v>
      </c>
      <c r="G113" s="95">
        <v>5792.5000000000009</v>
      </c>
      <c r="H113" s="95">
        <v>8069.380000000001</v>
      </c>
      <c r="I113" s="95">
        <v>3178.1800000000003</v>
      </c>
      <c r="J113" s="95">
        <v>4622.619999999999</v>
      </c>
      <c r="K113" s="95">
        <v>22934.069999999974</v>
      </c>
      <c r="L113" s="95">
        <v>11586.020000000002</v>
      </c>
      <c r="M113" s="95">
        <v>22279.379999999997</v>
      </c>
      <c r="N113" s="95">
        <v>0</v>
      </c>
      <c r="O113" s="95"/>
      <c r="P113" s="116"/>
    </row>
    <row r="114" spans="1:16" x14ac:dyDescent="0.3">
      <c r="A114" s="146"/>
      <c r="B114" s="94">
        <v>41671</v>
      </c>
      <c r="C114" s="92">
        <f t="shared" si="1"/>
        <v>258809.53999999995</v>
      </c>
      <c r="D114" s="92">
        <v>89710.619999999981</v>
      </c>
      <c r="E114" s="92">
        <v>23560.749999999985</v>
      </c>
      <c r="F114" s="92">
        <v>35429.089999999989</v>
      </c>
      <c r="G114" s="92">
        <v>5871.7499999999964</v>
      </c>
      <c r="H114" s="92">
        <v>12027.75</v>
      </c>
      <c r="I114" s="92">
        <v>1687.0799999999995</v>
      </c>
      <c r="J114" s="92">
        <v>12951.25</v>
      </c>
      <c r="K114" s="92">
        <v>52364.029999999984</v>
      </c>
      <c r="L114" s="92">
        <v>9506.1800000000057</v>
      </c>
      <c r="M114" s="92">
        <v>15701.040000000003</v>
      </c>
      <c r="N114" s="92">
        <v>0</v>
      </c>
    </row>
    <row r="115" spans="1:16" x14ac:dyDescent="0.3">
      <c r="A115" s="146"/>
      <c r="B115" s="94">
        <v>41699</v>
      </c>
      <c r="C115" s="92">
        <f t="shared" si="1"/>
        <v>301458.18000000011</v>
      </c>
      <c r="D115" s="92">
        <v>109583.56000000004</v>
      </c>
      <c r="E115" s="92">
        <v>29711.109999999997</v>
      </c>
      <c r="F115" s="92">
        <v>25666.85</v>
      </c>
      <c r="G115" s="92">
        <v>7012.2</v>
      </c>
      <c r="H115" s="92">
        <v>14990.729999999998</v>
      </c>
      <c r="I115" s="92">
        <v>3916.6399999999994</v>
      </c>
      <c r="J115" s="92">
        <v>7748.3099999999995</v>
      </c>
      <c r="K115" s="92">
        <v>50545.049999999988</v>
      </c>
      <c r="L115" s="92">
        <v>14688.360000000026</v>
      </c>
      <c r="M115" s="92">
        <v>37595.369999999995</v>
      </c>
      <c r="N115" s="92">
        <v>0</v>
      </c>
    </row>
    <row r="116" spans="1:16" x14ac:dyDescent="0.3">
      <c r="A116" s="146"/>
      <c r="B116" s="94">
        <v>41730</v>
      </c>
      <c r="C116" s="92">
        <f t="shared" si="1"/>
        <v>253847.19000000006</v>
      </c>
      <c r="D116" s="92">
        <v>87851.729999999981</v>
      </c>
      <c r="E116" s="92">
        <v>27691.980000000003</v>
      </c>
      <c r="F116" s="92">
        <v>22856.490000000005</v>
      </c>
      <c r="G116" s="92">
        <v>6469.7799999999979</v>
      </c>
      <c r="H116" s="92">
        <v>11766.599999999997</v>
      </c>
      <c r="I116" s="92">
        <v>12997.04</v>
      </c>
      <c r="J116" s="92">
        <v>19372.75</v>
      </c>
      <c r="K116" s="92">
        <v>37736.430000000008</v>
      </c>
      <c r="L116" s="92">
        <v>15064.200000000013</v>
      </c>
      <c r="M116" s="92">
        <v>12040.189999999999</v>
      </c>
      <c r="N116" s="92">
        <v>0</v>
      </c>
    </row>
    <row r="117" spans="1:16" x14ac:dyDescent="0.3">
      <c r="A117" s="146"/>
      <c r="B117" s="94">
        <v>41760</v>
      </c>
      <c r="C117" s="92">
        <f t="shared" si="1"/>
        <v>229734.8</v>
      </c>
      <c r="D117" s="92">
        <v>73226.49000000002</v>
      </c>
      <c r="E117" s="92">
        <v>25412.379999999997</v>
      </c>
      <c r="F117" s="92">
        <v>38581.550000000003</v>
      </c>
      <c r="G117" s="92">
        <v>4780.8599999999988</v>
      </c>
      <c r="H117" s="92">
        <v>9332.83</v>
      </c>
      <c r="I117" s="92">
        <v>5590.34</v>
      </c>
      <c r="J117" s="92">
        <v>12938.1</v>
      </c>
      <c r="K117" s="92">
        <v>37770.239999999954</v>
      </c>
      <c r="L117" s="92">
        <v>10935.230000000007</v>
      </c>
      <c r="M117" s="92">
        <v>11166.779999999999</v>
      </c>
      <c r="N117" s="92">
        <v>0</v>
      </c>
    </row>
    <row r="118" spans="1:16" x14ac:dyDescent="0.3">
      <c r="A118" s="146"/>
      <c r="B118" s="94">
        <v>41791</v>
      </c>
      <c r="C118" s="92">
        <f t="shared" si="1"/>
        <v>268446.77</v>
      </c>
      <c r="D118" s="92">
        <v>101782.96</v>
      </c>
      <c r="E118" s="92">
        <v>42536.929999999993</v>
      </c>
      <c r="F118" s="92">
        <v>28185.959999999995</v>
      </c>
      <c r="G118" s="92">
        <v>5050.96</v>
      </c>
      <c r="H118" s="92">
        <v>23869.21</v>
      </c>
      <c r="I118" s="92">
        <v>5796.6399999999985</v>
      </c>
      <c r="J118" s="92">
        <v>5282.25</v>
      </c>
      <c r="K118" s="92">
        <v>32420.000000000036</v>
      </c>
      <c r="L118" s="92">
        <v>9433.8300000000017</v>
      </c>
      <c r="M118" s="92">
        <v>14088.029999999999</v>
      </c>
      <c r="N118" s="92">
        <v>0</v>
      </c>
    </row>
    <row r="119" spans="1:16" x14ac:dyDescent="0.3">
      <c r="A119" s="146"/>
      <c r="B119" s="94">
        <v>41821</v>
      </c>
      <c r="C119" s="92">
        <f t="shared" si="1"/>
        <v>217117.63000000009</v>
      </c>
      <c r="D119" s="92">
        <v>50634.64000000005</v>
      </c>
      <c r="E119" s="92">
        <v>31005.11</v>
      </c>
      <c r="F119" s="92">
        <v>28260.94000000001</v>
      </c>
      <c r="G119" s="92">
        <v>10177.299999999997</v>
      </c>
      <c r="H119" s="92">
        <v>6364.67</v>
      </c>
      <c r="I119" s="92">
        <v>2560.2200000000007</v>
      </c>
      <c r="J119" s="92">
        <v>14910.15</v>
      </c>
      <c r="K119" s="92">
        <v>46921.49000000002</v>
      </c>
      <c r="L119" s="92">
        <v>14675.200000000003</v>
      </c>
      <c r="M119" s="92">
        <v>11607.909999999996</v>
      </c>
      <c r="N119" s="92">
        <v>0</v>
      </c>
    </row>
    <row r="120" spans="1:16" x14ac:dyDescent="0.3">
      <c r="A120" s="146"/>
      <c r="B120" s="94">
        <v>41852</v>
      </c>
      <c r="C120" s="92">
        <f t="shared" si="1"/>
        <v>146274.32999999996</v>
      </c>
      <c r="D120" s="92">
        <v>39554.139999999978</v>
      </c>
      <c r="E120" s="92">
        <v>12674.010000000004</v>
      </c>
      <c r="F120" s="92">
        <v>19215.099999999995</v>
      </c>
      <c r="G120" s="92">
        <v>3296.1099999999992</v>
      </c>
      <c r="H120" s="92">
        <v>9066.880000000001</v>
      </c>
      <c r="I120" s="92">
        <v>2018.2799999999993</v>
      </c>
      <c r="J120" s="92">
        <v>28387.25</v>
      </c>
      <c r="K120" s="92">
        <v>24446.66999999998</v>
      </c>
      <c r="L120" s="92">
        <v>5351.6300000000019</v>
      </c>
      <c r="M120" s="92">
        <v>2264.2600000000002</v>
      </c>
      <c r="N120" s="92">
        <v>0</v>
      </c>
    </row>
    <row r="121" spans="1:16" x14ac:dyDescent="0.3">
      <c r="A121" s="146"/>
      <c r="B121" s="94">
        <v>41883</v>
      </c>
      <c r="C121" s="92">
        <f t="shared" si="1"/>
        <v>289330.71000000014</v>
      </c>
      <c r="D121" s="92">
        <v>117763.54000000008</v>
      </c>
      <c r="E121" s="92">
        <v>21766.880000000008</v>
      </c>
      <c r="F121" s="92">
        <v>28845.279999999995</v>
      </c>
      <c r="G121" s="92">
        <v>8297.73</v>
      </c>
      <c r="H121" s="92">
        <v>11546.67</v>
      </c>
      <c r="I121" s="92">
        <v>3350.0899999999997</v>
      </c>
      <c r="J121" s="92">
        <v>14888.35</v>
      </c>
      <c r="K121" s="92">
        <v>52443.920000000006</v>
      </c>
      <c r="L121" s="92">
        <v>18056.339999999997</v>
      </c>
      <c r="M121" s="92">
        <v>12371.91</v>
      </c>
      <c r="N121" s="92">
        <v>0</v>
      </c>
    </row>
    <row r="122" spans="1:16" x14ac:dyDescent="0.3">
      <c r="A122" s="146"/>
      <c r="B122" s="94">
        <v>41913</v>
      </c>
      <c r="C122" s="92">
        <f t="shared" si="1"/>
        <v>282137.0799999999</v>
      </c>
      <c r="D122" s="92">
        <v>123681.99999999996</v>
      </c>
      <c r="E122" s="92">
        <v>26178.799999999999</v>
      </c>
      <c r="F122" s="92">
        <v>35056.23000000001</v>
      </c>
      <c r="G122" s="92">
        <v>9066.4799999999977</v>
      </c>
      <c r="H122" s="92">
        <v>8386.74</v>
      </c>
      <c r="I122" s="92">
        <v>4612.3500000000013</v>
      </c>
      <c r="J122" s="92">
        <v>17925.29</v>
      </c>
      <c r="K122" s="92">
        <v>36741.869999999952</v>
      </c>
      <c r="L122" s="92">
        <v>9711.9100000000017</v>
      </c>
      <c r="M122" s="92">
        <v>10775.410000000002</v>
      </c>
      <c r="N122" s="92">
        <v>0</v>
      </c>
    </row>
    <row r="123" spans="1:16" x14ac:dyDescent="0.3">
      <c r="A123" s="146"/>
      <c r="B123" s="94">
        <v>41944</v>
      </c>
      <c r="C123" s="92">
        <f t="shared" si="1"/>
        <v>281080.67000000004</v>
      </c>
      <c r="D123" s="92">
        <v>83180.270000000019</v>
      </c>
      <c r="E123" s="92">
        <v>26109.570000000003</v>
      </c>
      <c r="F123" s="92">
        <v>38831.049999999996</v>
      </c>
      <c r="G123" s="92">
        <v>6650.2400000000007</v>
      </c>
      <c r="H123" s="92">
        <v>6400.07</v>
      </c>
      <c r="I123" s="92">
        <v>2385.21</v>
      </c>
      <c r="J123" s="92">
        <v>20196.25</v>
      </c>
      <c r="K123" s="92">
        <v>75727.630000000019</v>
      </c>
      <c r="L123" s="92">
        <v>14801.130000000006</v>
      </c>
      <c r="M123" s="92">
        <v>6799.2499999999991</v>
      </c>
      <c r="N123" s="92">
        <v>0</v>
      </c>
    </row>
    <row r="124" spans="1:16" x14ac:dyDescent="0.3">
      <c r="A124" s="146"/>
      <c r="B124" s="94">
        <v>41974</v>
      </c>
      <c r="C124" s="92">
        <f t="shared" si="1"/>
        <v>340181.56000000023</v>
      </c>
      <c r="D124" s="92">
        <v>122659.64000000009</v>
      </c>
      <c r="E124" s="92">
        <v>23323.439999999995</v>
      </c>
      <c r="F124" s="92">
        <v>32808.759999999987</v>
      </c>
      <c r="G124" s="92">
        <v>5672.6699999999992</v>
      </c>
      <c r="H124" s="92">
        <v>4858.3900000000012</v>
      </c>
      <c r="I124" s="92">
        <v>3562.4500000000007</v>
      </c>
      <c r="J124" s="92">
        <v>24320.23</v>
      </c>
      <c r="K124" s="92">
        <v>93903.670000000056</v>
      </c>
      <c r="L124" s="92">
        <v>17301.160000000011</v>
      </c>
      <c r="M124" s="92">
        <v>11771.149999999998</v>
      </c>
      <c r="N124" s="92">
        <v>0</v>
      </c>
    </row>
    <row r="125" spans="1:16" x14ac:dyDescent="0.3">
      <c r="A125" s="146"/>
      <c r="B125" s="94">
        <v>42005</v>
      </c>
      <c r="C125" s="92">
        <f t="shared" si="1"/>
        <v>203779.52999999991</v>
      </c>
      <c r="D125" s="92">
        <v>69005.029999999955</v>
      </c>
      <c r="E125" s="92">
        <v>22997.35</v>
      </c>
      <c r="F125" s="92">
        <v>25645.729999999985</v>
      </c>
      <c r="G125" s="92">
        <v>6806.2600000000011</v>
      </c>
      <c r="H125" s="92">
        <v>4186.5199999999995</v>
      </c>
      <c r="I125" s="92">
        <v>1742.7199999999998</v>
      </c>
      <c r="J125" s="92">
        <v>23392.25</v>
      </c>
      <c r="K125" s="92">
        <v>24266.579999999984</v>
      </c>
      <c r="L125" s="92">
        <v>17591.070000000003</v>
      </c>
      <c r="M125" s="92">
        <v>8146.02</v>
      </c>
      <c r="N125" s="92">
        <v>0</v>
      </c>
    </row>
    <row r="126" spans="1:16" x14ac:dyDescent="0.3">
      <c r="A126" s="146"/>
      <c r="B126" s="94">
        <v>42036</v>
      </c>
      <c r="C126" s="92">
        <f t="shared" si="1"/>
        <v>270939.26999999996</v>
      </c>
      <c r="D126" s="92">
        <v>108008.84999999999</v>
      </c>
      <c r="E126" s="92">
        <v>20327.019999999993</v>
      </c>
      <c r="F126" s="92">
        <v>30993.09</v>
      </c>
      <c r="G126" s="92">
        <v>10405.460000000001</v>
      </c>
      <c r="H126" s="92">
        <v>12112.27</v>
      </c>
      <c r="I126" s="92">
        <v>6567.3200000000006</v>
      </c>
      <c r="J126" s="92">
        <v>17910.64</v>
      </c>
      <c r="K126" s="92">
        <v>42261.220000000038</v>
      </c>
      <c r="L126" s="92">
        <v>10575.77</v>
      </c>
      <c r="M126" s="92">
        <v>11777.630000000003</v>
      </c>
      <c r="N126" s="92">
        <v>0</v>
      </c>
    </row>
    <row r="127" spans="1:16" x14ac:dyDescent="0.3">
      <c r="A127" s="146"/>
      <c r="B127" s="94">
        <v>42064</v>
      </c>
      <c r="C127" s="92">
        <f t="shared" si="1"/>
        <v>262246.68999999994</v>
      </c>
      <c r="D127" s="92">
        <v>81811.699999999939</v>
      </c>
      <c r="E127" s="92">
        <v>30603.120000000024</v>
      </c>
      <c r="F127" s="92">
        <v>21291.919999999998</v>
      </c>
      <c r="G127" s="92">
        <v>15906.069999999992</v>
      </c>
      <c r="H127" s="92">
        <v>13551.519999999999</v>
      </c>
      <c r="I127" s="92">
        <v>9388.91</v>
      </c>
      <c r="J127" s="92">
        <v>18787.2</v>
      </c>
      <c r="K127" s="92">
        <v>41145.840000000004</v>
      </c>
      <c r="L127" s="92">
        <v>19673.64000000001</v>
      </c>
      <c r="M127" s="92">
        <v>10086.77</v>
      </c>
      <c r="N127" s="92">
        <v>0</v>
      </c>
    </row>
    <row r="128" spans="1:16" x14ac:dyDescent="0.3">
      <c r="A128" s="146"/>
      <c r="B128" s="94">
        <v>42095</v>
      </c>
      <c r="C128" s="92">
        <f t="shared" si="1"/>
        <v>266700.59000000014</v>
      </c>
      <c r="D128" s="92">
        <v>103250.74000000006</v>
      </c>
      <c r="E128" s="92">
        <v>32537.540000000034</v>
      </c>
      <c r="F128" s="92">
        <v>27615.78</v>
      </c>
      <c r="G128" s="92">
        <v>7931.3199999999988</v>
      </c>
      <c r="H128" s="92">
        <v>13377.400000000003</v>
      </c>
      <c r="I128" s="92">
        <v>2982.07</v>
      </c>
      <c r="J128" s="92">
        <v>13198.449999999999</v>
      </c>
      <c r="K128" s="92">
        <v>44187.74000000002</v>
      </c>
      <c r="L128" s="92">
        <v>9910.3399999999947</v>
      </c>
      <c r="M128" s="92">
        <v>11709.21</v>
      </c>
      <c r="N128" s="92">
        <v>0</v>
      </c>
    </row>
    <row r="129" spans="1:16" x14ac:dyDescent="0.3">
      <c r="A129" s="146"/>
      <c r="B129" s="94">
        <v>42125</v>
      </c>
      <c r="C129" s="92">
        <f t="shared" si="1"/>
        <v>178358.12999999998</v>
      </c>
      <c r="D129" s="92">
        <v>68680.62999999999</v>
      </c>
      <c r="E129" s="92">
        <v>12138.540000000005</v>
      </c>
      <c r="F129" s="92">
        <v>19788.350000000009</v>
      </c>
      <c r="G129" s="92">
        <v>1895.55</v>
      </c>
      <c r="H129" s="92">
        <v>8494.4500000000007</v>
      </c>
      <c r="I129" s="92">
        <v>1580.13</v>
      </c>
      <c r="J129" s="92">
        <v>11937.449999999999</v>
      </c>
      <c r="K129" s="92">
        <v>31989.569999999982</v>
      </c>
      <c r="L129" s="92">
        <v>13411.120000000006</v>
      </c>
      <c r="M129" s="92">
        <v>8442.34</v>
      </c>
      <c r="N129" s="92">
        <v>0</v>
      </c>
    </row>
    <row r="130" spans="1:16" x14ac:dyDescent="0.3">
      <c r="A130" s="146"/>
      <c r="B130" s="94">
        <v>42156</v>
      </c>
      <c r="C130" s="92">
        <f t="shared" si="1"/>
        <v>378020.24000000022</v>
      </c>
      <c r="D130" s="92">
        <v>145386.57000000015</v>
      </c>
      <c r="E130" s="92">
        <v>65280.399999999994</v>
      </c>
      <c r="F130" s="92">
        <v>40141.540000000008</v>
      </c>
      <c r="G130" s="92">
        <v>6718.5800000000027</v>
      </c>
      <c r="H130" s="92">
        <v>10482.650000000001</v>
      </c>
      <c r="I130" s="92">
        <v>3020.28</v>
      </c>
      <c r="J130" s="92">
        <v>17963.760000000002</v>
      </c>
      <c r="K130" s="92">
        <v>53037.910000000025</v>
      </c>
      <c r="L130" s="92">
        <v>22658.920000000006</v>
      </c>
      <c r="M130" s="92">
        <v>13329.63</v>
      </c>
      <c r="N130" s="92">
        <v>0</v>
      </c>
    </row>
    <row r="131" spans="1:16" x14ac:dyDescent="0.3">
      <c r="A131" s="146"/>
      <c r="B131" s="94">
        <v>42186</v>
      </c>
      <c r="C131" s="92">
        <f t="shared" si="1"/>
        <v>228040.02999999997</v>
      </c>
      <c r="D131" s="92">
        <v>81175.689999999973</v>
      </c>
      <c r="E131" s="92">
        <v>18758.689999999995</v>
      </c>
      <c r="F131" s="92">
        <v>26638.329999999994</v>
      </c>
      <c r="G131" s="92">
        <v>5363.32</v>
      </c>
      <c r="H131" s="92">
        <v>8105.6600000000008</v>
      </c>
      <c r="I131" s="92">
        <v>4018.8999999999987</v>
      </c>
      <c r="J131" s="92">
        <v>26845.45</v>
      </c>
      <c r="K131" s="92">
        <v>37926.139999999978</v>
      </c>
      <c r="L131" s="92">
        <v>11730.499999999998</v>
      </c>
      <c r="M131" s="92">
        <v>7477.35</v>
      </c>
      <c r="N131" s="92">
        <v>0</v>
      </c>
    </row>
    <row r="132" spans="1:16" x14ac:dyDescent="0.3">
      <c r="A132" s="146"/>
      <c r="B132" s="94">
        <v>42217</v>
      </c>
      <c r="C132" s="92">
        <f t="shared" si="1"/>
        <v>137574.54000000004</v>
      </c>
      <c r="D132" s="92">
        <v>36566.170000000013</v>
      </c>
      <c r="E132" s="92">
        <v>28011.460000000014</v>
      </c>
      <c r="F132" s="92">
        <v>17682.630000000005</v>
      </c>
      <c r="G132" s="92">
        <v>2416.3700000000003</v>
      </c>
      <c r="H132" s="92">
        <v>13032.51</v>
      </c>
      <c r="I132" s="92">
        <v>3222.4699999999993</v>
      </c>
      <c r="J132" s="92">
        <v>10429.049999999999</v>
      </c>
      <c r="K132" s="92">
        <v>14374.609999999984</v>
      </c>
      <c r="L132" s="92">
        <v>5044.8200000000006</v>
      </c>
      <c r="M132" s="92">
        <v>6794.45</v>
      </c>
      <c r="N132" s="92">
        <v>0</v>
      </c>
    </row>
    <row r="133" spans="1:16" x14ac:dyDescent="0.3">
      <c r="A133" s="146"/>
      <c r="B133" s="94">
        <v>42248</v>
      </c>
      <c r="C133" s="92">
        <f t="shared" si="1"/>
        <v>278784.75</v>
      </c>
      <c r="D133" s="92">
        <v>91207.359999999986</v>
      </c>
      <c r="E133" s="92">
        <v>51190.909999999989</v>
      </c>
      <c r="F133" s="92">
        <v>31300.339999999978</v>
      </c>
      <c r="G133" s="92">
        <v>2730.8400000000015</v>
      </c>
      <c r="H133" s="92">
        <v>14197.16</v>
      </c>
      <c r="I133" s="92">
        <v>2310.1999999999998</v>
      </c>
      <c r="J133" s="92">
        <v>13564.8</v>
      </c>
      <c r="K133" s="92">
        <v>42596.770000000062</v>
      </c>
      <c r="L133" s="92">
        <v>19320.489999999998</v>
      </c>
      <c r="M133" s="92">
        <v>10365.879999999999</v>
      </c>
      <c r="N133" s="92">
        <v>0</v>
      </c>
    </row>
    <row r="134" spans="1:16" x14ac:dyDescent="0.3">
      <c r="A134" s="146"/>
      <c r="B134" s="94">
        <v>42278</v>
      </c>
      <c r="C134" s="92">
        <f t="shared" si="1"/>
        <v>326186.08999999997</v>
      </c>
      <c r="D134" s="92">
        <v>123094.76999999987</v>
      </c>
      <c r="E134" s="92">
        <v>33947.479999999996</v>
      </c>
      <c r="F134" s="92">
        <v>30033.499999999996</v>
      </c>
      <c r="G134" s="92">
        <v>9260.7400000000034</v>
      </c>
      <c r="H134" s="92">
        <v>17980.969999999998</v>
      </c>
      <c r="I134" s="92">
        <v>3619.4899999999993</v>
      </c>
      <c r="J134" s="92">
        <v>21610.809999999998</v>
      </c>
      <c r="K134" s="92">
        <v>56031.040000000103</v>
      </c>
      <c r="L134" s="92">
        <v>22300.109999999997</v>
      </c>
      <c r="M134" s="92">
        <v>8307.1800000000057</v>
      </c>
      <c r="N134" s="92">
        <v>0</v>
      </c>
    </row>
    <row r="135" spans="1:16" x14ac:dyDescent="0.3">
      <c r="A135" s="146"/>
      <c r="B135" s="94">
        <v>42309</v>
      </c>
      <c r="C135" s="92">
        <f t="shared" si="1"/>
        <v>320713.83000000007</v>
      </c>
      <c r="D135" s="92">
        <v>122519.93000000001</v>
      </c>
      <c r="E135" s="92">
        <v>33316.310000000019</v>
      </c>
      <c r="F135" s="92">
        <v>42467.839999999989</v>
      </c>
      <c r="G135" s="92">
        <v>6245.6</v>
      </c>
      <c r="H135" s="92">
        <v>13054.990000000003</v>
      </c>
      <c r="I135" s="92">
        <v>5252.97</v>
      </c>
      <c r="J135" s="92">
        <v>9378</v>
      </c>
      <c r="K135" s="92">
        <v>63847.830000000096</v>
      </c>
      <c r="L135" s="92">
        <v>15947.62</v>
      </c>
      <c r="M135" s="92">
        <v>8414.6299999999992</v>
      </c>
      <c r="N135" s="103">
        <v>268.11</v>
      </c>
      <c r="O135" s="103"/>
      <c r="P135" s="118"/>
    </row>
    <row r="136" spans="1:16" x14ac:dyDescent="0.3">
      <c r="A136" s="146"/>
      <c r="B136" s="94">
        <v>42339</v>
      </c>
      <c r="C136" s="92">
        <f t="shared" si="1"/>
        <v>259011.16</v>
      </c>
      <c r="D136" s="92">
        <v>111221.86999999991</v>
      </c>
      <c r="E136" s="92">
        <v>20350.120000000003</v>
      </c>
      <c r="F136" s="92">
        <v>29832.729999999996</v>
      </c>
      <c r="G136" s="92">
        <v>4599.41</v>
      </c>
      <c r="H136" s="92">
        <v>7156.64</v>
      </c>
      <c r="I136" s="92">
        <v>3320.3900000000003</v>
      </c>
      <c r="J136" s="92">
        <v>18497.04</v>
      </c>
      <c r="K136" s="92">
        <v>45531.000000000073</v>
      </c>
      <c r="L136" s="92">
        <v>16748.939999999999</v>
      </c>
      <c r="M136" s="92">
        <v>1753.0200000000004</v>
      </c>
      <c r="N136" s="92">
        <v>0</v>
      </c>
    </row>
    <row r="137" spans="1:16" x14ac:dyDescent="0.3">
      <c r="A137" s="146"/>
      <c r="B137" s="94">
        <v>42370</v>
      </c>
      <c r="C137" s="92">
        <f t="shared" si="1"/>
        <v>263103.42</v>
      </c>
      <c r="D137" s="92">
        <v>81483.089999999967</v>
      </c>
      <c r="E137" s="92">
        <v>24386.759999999987</v>
      </c>
      <c r="F137" s="92">
        <v>19816.35999999999</v>
      </c>
      <c r="G137" s="92">
        <v>3895.9599999999996</v>
      </c>
      <c r="H137" s="92">
        <v>9015.9699999999957</v>
      </c>
      <c r="I137" s="92">
        <v>3664.559999999999</v>
      </c>
      <c r="J137" s="92">
        <v>55653.08</v>
      </c>
      <c r="K137" s="92">
        <v>41743.470000000052</v>
      </c>
      <c r="L137" s="92">
        <v>12871.520000000002</v>
      </c>
      <c r="M137" s="92">
        <v>10572.650000000005</v>
      </c>
      <c r="N137" s="92">
        <v>0</v>
      </c>
    </row>
    <row r="138" spans="1:16" x14ac:dyDescent="0.3">
      <c r="A138" s="146"/>
      <c r="B138" s="94">
        <v>42401</v>
      </c>
      <c r="C138" s="92">
        <f t="shared" si="1"/>
        <v>257210.56000000008</v>
      </c>
      <c r="D138" s="92">
        <v>92328.990000000034</v>
      </c>
      <c r="E138" s="92">
        <v>24832.130000000026</v>
      </c>
      <c r="F138" s="92">
        <v>29818.189999999995</v>
      </c>
      <c r="G138" s="92">
        <v>4146.37</v>
      </c>
      <c r="H138" s="92">
        <v>13947.789999999999</v>
      </c>
      <c r="I138" s="92">
        <v>2246.2200000000003</v>
      </c>
      <c r="J138" s="92">
        <v>8672.4500000000007</v>
      </c>
      <c r="K138" s="92">
        <v>56535.700000000026</v>
      </c>
      <c r="L138" s="92">
        <v>11037.050000000001</v>
      </c>
      <c r="M138" s="92">
        <v>12174.17</v>
      </c>
      <c r="N138" s="92">
        <v>1471.5</v>
      </c>
    </row>
    <row r="139" spans="1:16" x14ac:dyDescent="0.3">
      <c r="A139" s="146"/>
      <c r="B139" s="94">
        <v>42430</v>
      </c>
      <c r="C139" s="92">
        <f t="shared" si="1"/>
        <v>317780.43000000005</v>
      </c>
      <c r="D139" s="92">
        <v>91815.430000000066</v>
      </c>
      <c r="E139" s="92">
        <v>38306.01999999999</v>
      </c>
      <c r="F139" s="92">
        <v>20056.27</v>
      </c>
      <c r="G139" s="92">
        <v>14309.630000000001</v>
      </c>
      <c r="H139" s="92">
        <v>13651.08</v>
      </c>
      <c r="I139" s="92">
        <v>1229.0899999999997</v>
      </c>
      <c r="J139" s="92">
        <v>74941.97</v>
      </c>
      <c r="K139" s="92">
        <v>33682.589999999989</v>
      </c>
      <c r="L139" s="92">
        <v>16612.500000000004</v>
      </c>
      <c r="M139" s="92">
        <v>12016.020000000002</v>
      </c>
      <c r="N139" s="92">
        <v>1159.8299999999997</v>
      </c>
    </row>
    <row r="140" spans="1:16" x14ac:dyDescent="0.3">
      <c r="A140" s="146"/>
      <c r="B140" s="94">
        <v>42461</v>
      </c>
      <c r="C140" s="92">
        <f t="shared" si="1"/>
        <v>246261.03</v>
      </c>
      <c r="D140" s="92">
        <v>73380.249999999913</v>
      </c>
      <c r="E140" s="92">
        <v>31737.730000000007</v>
      </c>
      <c r="F140" s="92">
        <v>25458.489999999998</v>
      </c>
      <c r="G140" s="92">
        <v>16023.98</v>
      </c>
      <c r="H140" s="92">
        <v>7921.8399999999992</v>
      </c>
      <c r="I140" s="92">
        <v>1117.2499999999998</v>
      </c>
      <c r="J140" s="92">
        <v>19144.3</v>
      </c>
      <c r="K140" s="92">
        <v>37572.00000000008</v>
      </c>
      <c r="L140" s="92">
        <v>18815.469999999994</v>
      </c>
      <c r="M140" s="92">
        <v>13354.459999999995</v>
      </c>
      <c r="N140" s="92">
        <v>1735.2599999999998</v>
      </c>
    </row>
    <row r="141" spans="1:16" x14ac:dyDescent="0.3">
      <c r="A141" s="146"/>
      <c r="B141" s="94">
        <v>42491</v>
      </c>
      <c r="C141" s="92">
        <f t="shared" si="1"/>
        <v>215114.81999999995</v>
      </c>
      <c r="D141" s="92">
        <v>81488.159999999989</v>
      </c>
      <c r="E141" s="92">
        <v>21667.510000000002</v>
      </c>
      <c r="F141" s="92">
        <v>29063.73</v>
      </c>
      <c r="G141" s="92">
        <v>8021.3300000000008</v>
      </c>
      <c r="H141" s="92">
        <v>6078.65</v>
      </c>
      <c r="I141" s="92">
        <v>2426.6999999999998</v>
      </c>
      <c r="J141" s="92">
        <v>3541.5</v>
      </c>
      <c r="K141" s="92">
        <v>32200.189999999973</v>
      </c>
      <c r="L141" s="92">
        <v>13985.04</v>
      </c>
      <c r="M141" s="92">
        <v>16642.009999999987</v>
      </c>
      <c r="N141" s="92">
        <v>0</v>
      </c>
    </row>
    <row r="142" spans="1:16" x14ac:dyDescent="0.3">
      <c r="A142" s="146"/>
      <c r="B142" s="94">
        <v>42522</v>
      </c>
      <c r="C142" s="92">
        <f t="shared" si="1"/>
        <v>314313.20000000024</v>
      </c>
      <c r="D142" s="92">
        <v>100388.79000000014</v>
      </c>
      <c r="E142" s="92">
        <v>39375.229999999981</v>
      </c>
      <c r="F142" s="92">
        <v>30568.220000000005</v>
      </c>
      <c r="G142" s="92">
        <v>13328.050000000001</v>
      </c>
      <c r="H142" s="92">
        <v>28696.559999999998</v>
      </c>
      <c r="I142" s="92">
        <v>6413.3600000000015</v>
      </c>
      <c r="J142" s="92">
        <v>16413.95</v>
      </c>
      <c r="K142" s="92">
        <v>44140.530000000064</v>
      </c>
      <c r="L142" s="92">
        <v>18160.610000000004</v>
      </c>
      <c r="M142" s="92">
        <v>13608.320000000005</v>
      </c>
      <c r="N142" s="92">
        <v>3219.58</v>
      </c>
    </row>
    <row r="143" spans="1:16" x14ac:dyDescent="0.3">
      <c r="A143" s="146"/>
      <c r="B143" s="94">
        <v>42552</v>
      </c>
      <c r="C143" s="92">
        <f t="shared" si="1"/>
        <v>221549.41999999993</v>
      </c>
      <c r="D143" s="92">
        <v>102461.95</v>
      </c>
      <c r="E143" s="92">
        <v>22782.150000000005</v>
      </c>
      <c r="F143" s="92">
        <v>19898.55999999999</v>
      </c>
      <c r="G143" s="92">
        <v>7126.8899999999967</v>
      </c>
      <c r="H143" s="92">
        <v>8793.59</v>
      </c>
      <c r="I143" s="92">
        <v>1758.1799999999994</v>
      </c>
      <c r="J143" s="92">
        <v>12541.9</v>
      </c>
      <c r="K143" s="92">
        <v>24026.059999999969</v>
      </c>
      <c r="L143" s="92">
        <v>9283.0799999999963</v>
      </c>
      <c r="M143" s="92">
        <v>12877.060000000001</v>
      </c>
      <c r="N143" s="92">
        <v>0</v>
      </c>
    </row>
    <row r="144" spans="1:16" x14ac:dyDescent="0.3">
      <c r="A144" s="146"/>
      <c r="B144" s="94">
        <v>42583</v>
      </c>
      <c r="C144" s="92">
        <f t="shared" si="1"/>
        <v>145633.65999999997</v>
      </c>
      <c r="D144" s="92">
        <v>57780.009999999995</v>
      </c>
      <c r="E144" s="92">
        <v>10390.099999999999</v>
      </c>
      <c r="F144" s="92">
        <v>15960.909999999993</v>
      </c>
      <c r="G144" s="92">
        <v>2331</v>
      </c>
      <c r="H144" s="92">
        <v>5881.11</v>
      </c>
      <c r="I144" s="92">
        <v>16.32</v>
      </c>
      <c r="J144" s="92">
        <v>16294.5</v>
      </c>
      <c r="K144" s="92">
        <v>15789.099999999993</v>
      </c>
      <c r="L144" s="92">
        <v>13191.849999999999</v>
      </c>
      <c r="M144" s="92">
        <v>7998.76</v>
      </c>
      <c r="N144" s="92">
        <v>0</v>
      </c>
    </row>
    <row r="145" spans="1:16" x14ac:dyDescent="0.3">
      <c r="A145" s="146"/>
      <c r="B145" s="94">
        <v>42614</v>
      </c>
      <c r="C145" s="92">
        <f t="shared" si="1"/>
        <v>219736.23000000007</v>
      </c>
      <c r="D145" s="92">
        <v>90607.360000000001</v>
      </c>
      <c r="E145" s="92">
        <v>38363.700000000012</v>
      </c>
      <c r="F145" s="92">
        <v>16353.000000000002</v>
      </c>
      <c r="G145" s="92">
        <v>3157.3199999999993</v>
      </c>
      <c r="H145" s="92">
        <v>893.91000000000122</v>
      </c>
      <c r="I145" s="92">
        <v>460.20000000000005</v>
      </c>
      <c r="J145" s="92">
        <v>19002.5</v>
      </c>
      <c r="K145" s="92">
        <v>27557.449999999975</v>
      </c>
      <c r="L145" s="92">
        <v>10802.360000000002</v>
      </c>
      <c r="M145" s="92">
        <v>11190.95</v>
      </c>
      <c r="N145" s="92">
        <v>1347.4799999999998</v>
      </c>
    </row>
    <row r="146" spans="1:16" x14ac:dyDescent="0.3">
      <c r="A146" s="146"/>
      <c r="B146" s="94">
        <v>42644</v>
      </c>
      <c r="C146" s="105">
        <f t="shared" si="1"/>
        <v>290544.57000000007</v>
      </c>
      <c r="D146" s="105">
        <v>145130.25999999998</v>
      </c>
      <c r="E146" s="105">
        <v>19530.970000000008</v>
      </c>
      <c r="F146" s="105">
        <v>27458.410000000022</v>
      </c>
      <c r="G146" s="105">
        <v>3481.56</v>
      </c>
      <c r="H146" s="105">
        <v>11111.610000000004</v>
      </c>
      <c r="I146" s="105">
        <v>1416.6099999999994</v>
      </c>
      <c r="J146" s="105">
        <v>17917.7</v>
      </c>
      <c r="K146" s="105">
        <v>41054.810000000056</v>
      </c>
      <c r="L146" s="105">
        <v>6144.85</v>
      </c>
      <c r="M146" s="105">
        <v>14188.339999999998</v>
      </c>
      <c r="N146" s="105">
        <v>3109.4500000000007</v>
      </c>
      <c r="O146" s="105"/>
      <c r="P146" s="119"/>
    </row>
    <row r="147" spans="1:16" x14ac:dyDescent="0.3">
      <c r="A147" s="146"/>
      <c r="B147" s="94">
        <v>42675</v>
      </c>
      <c r="C147" s="105">
        <f t="shared" si="1"/>
        <v>286368.30000000005</v>
      </c>
      <c r="D147" s="105">
        <v>114295.70999999992</v>
      </c>
      <c r="E147" s="105">
        <v>30339.709999999988</v>
      </c>
      <c r="F147" s="105">
        <v>24390.269999999997</v>
      </c>
      <c r="G147" s="105">
        <v>5854.09</v>
      </c>
      <c r="H147" s="105">
        <v>16164.640000000001</v>
      </c>
      <c r="I147" s="105">
        <v>127.66999999999999</v>
      </c>
      <c r="J147" s="105">
        <v>18895.32</v>
      </c>
      <c r="K147" s="105">
        <v>40755.430000000088</v>
      </c>
      <c r="L147" s="105">
        <v>19076.79</v>
      </c>
      <c r="M147" s="105">
        <v>14340.960000000001</v>
      </c>
      <c r="N147" s="105">
        <v>2127.7099999999996</v>
      </c>
      <c r="O147" s="105"/>
      <c r="P147" s="119"/>
    </row>
    <row r="148" spans="1:16" x14ac:dyDescent="0.3">
      <c r="A148" s="146"/>
      <c r="B148" s="94">
        <v>42705</v>
      </c>
      <c r="C148" s="105">
        <f t="shared" si="1"/>
        <v>222712.27</v>
      </c>
      <c r="D148" s="105">
        <v>85640.11</v>
      </c>
      <c r="E148" s="105">
        <v>25415.759999999998</v>
      </c>
      <c r="F148" s="105">
        <v>24652.67</v>
      </c>
      <c r="G148" s="105">
        <v>1966.78</v>
      </c>
      <c r="H148" s="105">
        <v>7155.2</v>
      </c>
      <c r="I148" s="105">
        <v>5226.28</v>
      </c>
      <c r="J148" s="105">
        <v>16924</v>
      </c>
      <c r="K148" s="105">
        <v>32496.58</v>
      </c>
      <c r="L148" s="105">
        <v>5801.8</v>
      </c>
      <c r="M148" s="105">
        <v>17022.060000000001</v>
      </c>
      <c r="N148" s="105">
        <v>411.03</v>
      </c>
      <c r="O148" s="105"/>
      <c r="P148" s="119"/>
    </row>
    <row r="149" spans="1:16" x14ac:dyDescent="0.3">
      <c r="A149" s="146"/>
      <c r="B149" s="94">
        <v>42736</v>
      </c>
      <c r="C149" s="105">
        <f t="shared" si="1"/>
        <v>218570.34999999998</v>
      </c>
      <c r="D149" s="105">
        <v>87074.49</v>
      </c>
      <c r="E149" s="105">
        <v>19242.7</v>
      </c>
      <c r="F149" s="105">
        <v>19973.810000000001</v>
      </c>
      <c r="G149" s="105">
        <v>2073.75</v>
      </c>
      <c r="H149" s="105">
        <v>16363.06</v>
      </c>
      <c r="I149" s="105">
        <v>1438.65</v>
      </c>
      <c r="J149" s="105">
        <v>9058.34</v>
      </c>
      <c r="K149" s="105">
        <v>31253.84</v>
      </c>
      <c r="L149" s="105">
        <v>5105.3100000000004</v>
      </c>
      <c r="M149" s="105">
        <v>20613.47</v>
      </c>
      <c r="N149" s="105">
        <v>6372.93</v>
      </c>
      <c r="O149" s="105"/>
      <c r="P149" s="119"/>
    </row>
    <row r="150" spans="1:16" x14ac:dyDescent="0.3">
      <c r="A150" s="146"/>
      <c r="B150" s="94">
        <v>42767</v>
      </c>
      <c r="C150" s="105">
        <f t="shared" si="1"/>
        <v>223955.99000000005</v>
      </c>
      <c r="D150" s="105">
        <v>85834.65</v>
      </c>
      <c r="E150" s="105">
        <v>36529.230000000003</v>
      </c>
      <c r="F150" s="105">
        <v>18781.93</v>
      </c>
      <c r="G150" s="105">
        <v>2547.75</v>
      </c>
      <c r="H150" s="105">
        <v>7064.7</v>
      </c>
      <c r="I150" s="105">
        <v>544.73</v>
      </c>
      <c r="J150" s="105">
        <v>13882.09</v>
      </c>
      <c r="K150" s="105">
        <v>28316.04</v>
      </c>
      <c r="L150" s="105">
        <v>13996.36</v>
      </c>
      <c r="M150" s="105">
        <v>16458.509999999998</v>
      </c>
      <c r="N150" s="105"/>
      <c r="O150" s="105"/>
      <c r="P150" s="119"/>
    </row>
    <row r="151" spans="1:16" x14ac:dyDescent="0.3">
      <c r="A151" s="146"/>
      <c r="B151" s="94">
        <v>42795</v>
      </c>
      <c r="C151" s="105">
        <f t="shared" si="1"/>
        <v>277662.37000000005</v>
      </c>
      <c r="D151" s="105">
        <v>139432.32999999999</v>
      </c>
      <c r="E151" s="105">
        <v>27265.919999999998</v>
      </c>
      <c r="F151" s="105">
        <v>22592.79</v>
      </c>
      <c r="G151" s="105">
        <v>5280.29</v>
      </c>
      <c r="H151" s="105">
        <v>11366.69</v>
      </c>
      <c r="I151" s="105">
        <v>1167.03</v>
      </c>
      <c r="J151" s="105">
        <v>7884.24</v>
      </c>
      <c r="K151" s="105">
        <v>35819.360000000001</v>
      </c>
      <c r="L151" s="105">
        <v>11133.11</v>
      </c>
      <c r="M151" s="105">
        <v>13819.02</v>
      </c>
      <c r="N151" s="105">
        <v>1901.59</v>
      </c>
      <c r="O151" s="105"/>
      <c r="P151" s="119"/>
    </row>
    <row r="152" spans="1:16" x14ac:dyDescent="0.3">
      <c r="A152" s="146"/>
      <c r="B152" s="94">
        <v>42826</v>
      </c>
      <c r="C152" s="105">
        <f t="shared" si="1"/>
        <v>179161.90000000002</v>
      </c>
      <c r="D152" s="105">
        <v>72030.42</v>
      </c>
      <c r="E152" s="105">
        <v>23502.43</v>
      </c>
      <c r="F152" s="105">
        <v>12553.44</v>
      </c>
      <c r="G152" s="105">
        <v>2108.89</v>
      </c>
      <c r="H152" s="105">
        <v>5660.81</v>
      </c>
      <c r="I152" s="105">
        <v>4251.6099999999997</v>
      </c>
      <c r="J152" s="105">
        <v>13662.9</v>
      </c>
      <c r="K152" s="105">
        <v>26376.48</v>
      </c>
      <c r="L152" s="105">
        <v>4846.8999999999996</v>
      </c>
      <c r="M152" s="105">
        <v>11783.76</v>
      </c>
      <c r="N152" s="105">
        <v>2384.2600000000002</v>
      </c>
      <c r="O152" s="105"/>
      <c r="P152" s="119"/>
    </row>
    <row r="153" spans="1:16" x14ac:dyDescent="0.3">
      <c r="A153" s="146"/>
      <c r="B153" s="94">
        <v>42856</v>
      </c>
      <c r="C153" s="105">
        <f t="shared" si="1"/>
        <v>283252.12</v>
      </c>
      <c r="D153" s="105">
        <v>126767.93</v>
      </c>
      <c r="E153" s="105">
        <v>13931.5</v>
      </c>
      <c r="F153" s="105">
        <v>22149.360000000001</v>
      </c>
      <c r="G153" s="105">
        <v>1887.75</v>
      </c>
      <c r="H153" s="105">
        <v>20960.919999999998</v>
      </c>
      <c r="I153" s="105">
        <v>699.95</v>
      </c>
      <c r="J153" s="105">
        <v>22488.7</v>
      </c>
      <c r="K153" s="105">
        <v>47411.13</v>
      </c>
      <c r="L153" s="105">
        <v>10443.879999999999</v>
      </c>
      <c r="M153" s="105">
        <v>10051.219999999999</v>
      </c>
      <c r="N153" s="105">
        <v>6459.78</v>
      </c>
      <c r="O153" s="105"/>
      <c r="P153" s="119"/>
    </row>
    <row r="154" spans="1:16" x14ac:dyDescent="0.3">
      <c r="A154" s="146"/>
      <c r="B154" s="94">
        <v>42887</v>
      </c>
      <c r="C154" s="105">
        <f t="shared" si="1"/>
        <v>290512.99000000005</v>
      </c>
      <c r="D154" s="105">
        <v>136512.07999999999</v>
      </c>
      <c r="E154" s="105">
        <v>13624.57</v>
      </c>
      <c r="F154" s="105">
        <v>17155.2</v>
      </c>
      <c r="G154" s="105">
        <v>4695.92</v>
      </c>
      <c r="H154" s="105">
        <v>19296.14</v>
      </c>
      <c r="I154" s="105">
        <v>2866.67</v>
      </c>
      <c r="J154" s="105">
        <v>36035.050000000003</v>
      </c>
      <c r="K154" s="105">
        <v>38620.35</v>
      </c>
      <c r="L154" s="105">
        <v>7641.93</v>
      </c>
      <c r="M154" s="105">
        <v>13275.44</v>
      </c>
      <c r="N154" s="105">
        <v>789.64</v>
      </c>
      <c r="O154" s="105"/>
      <c r="P154" s="119"/>
    </row>
    <row r="155" spans="1:16" x14ac:dyDescent="0.3">
      <c r="A155" s="146"/>
      <c r="B155" s="94">
        <v>42917</v>
      </c>
      <c r="C155" s="105">
        <f t="shared" ref="C155:C242" si="3">SUM(D155:P155)</f>
        <v>203303.37999999998</v>
      </c>
      <c r="D155" s="105">
        <v>95594.05</v>
      </c>
      <c r="E155" s="105">
        <v>19116.48</v>
      </c>
      <c r="F155" s="105">
        <v>20980.85</v>
      </c>
      <c r="G155" s="105">
        <v>2578.7199999999998</v>
      </c>
      <c r="H155" s="105">
        <v>6619.4</v>
      </c>
      <c r="I155" s="105">
        <v>841.59</v>
      </c>
      <c r="J155" s="105">
        <v>9041.75</v>
      </c>
      <c r="K155" s="105">
        <v>29485.81</v>
      </c>
      <c r="L155" s="105">
        <v>7286.87</v>
      </c>
      <c r="M155" s="105">
        <v>11436.96</v>
      </c>
      <c r="N155" s="105">
        <v>320.89999999999998</v>
      </c>
      <c r="O155" s="105"/>
      <c r="P155" s="119"/>
    </row>
    <row r="156" spans="1:16" x14ac:dyDescent="0.3">
      <c r="A156" s="146"/>
      <c r="B156" s="94">
        <v>42948</v>
      </c>
      <c r="C156" s="105">
        <f t="shared" si="3"/>
        <v>121322.02</v>
      </c>
      <c r="D156" s="105">
        <v>55638.97</v>
      </c>
      <c r="E156" s="105">
        <v>5449.6</v>
      </c>
      <c r="F156" s="105">
        <v>13273.58</v>
      </c>
      <c r="G156" s="105">
        <v>1307.9100000000001</v>
      </c>
      <c r="H156" s="105">
        <v>1816.86</v>
      </c>
      <c r="I156" s="105">
        <v>247.73</v>
      </c>
      <c r="J156" s="105">
        <v>10735.2</v>
      </c>
      <c r="K156" s="105">
        <v>19255.240000000002</v>
      </c>
      <c r="L156" s="105">
        <v>9673.6</v>
      </c>
      <c r="M156" s="105">
        <v>3923.33</v>
      </c>
      <c r="N156" s="105"/>
      <c r="O156" s="105"/>
      <c r="P156" s="119"/>
    </row>
    <row r="157" spans="1:16" x14ac:dyDescent="0.3">
      <c r="A157" s="146"/>
      <c r="B157" s="94">
        <v>42979</v>
      </c>
      <c r="C157" s="105">
        <f t="shared" si="3"/>
        <v>250390.09999999998</v>
      </c>
      <c r="D157" s="105">
        <v>142158.63</v>
      </c>
      <c r="E157" s="105">
        <v>20140.55</v>
      </c>
      <c r="F157" s="105">
        <v>14673.49</v>
      </c>
      <c r="G157" s="105">
        <v>2206.3200000000002</v>
      </c>
      <c r="H157" s="105">
        <v>8096.86</v>
      </c>
      <c r="I157" s="105">
        <v>2400.16</v>
      </c>
      <c r="J157" s="105">
        <v>5286.8</v>
      </c>
      <c r="K157" s="105">
        <v>30965.87</v>
      </c>
      <c r="L157" s="105">
        <v>6169.26</v>
      </c>
      <c r="M157" s="105">
        <v>15800.85</v>
      </c>
      <c r="N157" s="105">
        <v>2491.31</v>
      </c>
      <c r="O157" s="105"/>
      <c r="P157" s="119"/>
    </row>
    <row r="158" spans="1:16" x14ac:dyDescent="0.3">
      <c r="A158" s="146"/>
      <c r="B158" s="94">
        <v>43009</v>
      </c>
      <c r="C158" s="105">
        <f t="shared" si="3"/>
        <v>291162.24999999994</v>
      </c>
      <c r="D158" s="105">
        <v>162261.53</v>
      </c>
      <c r="E158" s="105">
        <v>28697.8</v>
      </c>
      <c r="F158" s="105">
        <v>25725.02</v>
      </c>
      <c r="G158" s="105">
        <v>4781.87</v>
      </c>
      <c r="H158" s="105">
        <v>-275.77999999999997</v>
      </c>
      <c r="I158" s="105">
        <v>3184.56</v>
      </c>
      <c r="J158" s="105">
        <v>8344.1</v>
      </c>
      <c r="K158" s="105">
        <v>40860.480000000003</v>
      </c>
      <c r="L158" s="105">
        <v>6424.49</v>
      </c>
      <c r="M158" s="105">
        <v>9898.58</v>
      </c>
      <c r="N158" s="105">
        <v>1259.5999999999999</v>
      </c>
      <c r="O158" s="105"/>
      <c r="P158" s="119"/>
    </row>
    <row r="159" spans="1:16" x14ac:dyDescent="0.3">
      <c r="A159" s="146"/>
      <c r="B159" s="94">
        <v>43040</v>
      </c>
      <c r="C159" s="105">
        <f t="shared" si="3"/>
        <v>281706.49</v>
      </c>
      <c r="D159" s="105">
        <v>163787.24</v>
      </c>
      <c r="E159" s="105">
        <v>17920.68</v>
      </c>
      <c r="F159" s="105">
        <v>24720.37</v>
      </c>
      <c r="G159" s="105">
        <v>4569.66</v>
      </c>
      <c r="H159" s="105">
        <v>13340.45</v>
      </c>
      <c r="I159" s="105">
        <v>2070.9299999999998</v>
      </c>
      <c r="J159" s="105">
        <v>6783.15</v>
      </c>
      <c r="K159" s="105">
        <v>29465.95</v>
      </c>
      <c r="L159" s="105">
        <v>7816.27</v>
      </c>
      <c r="M159" s="105">
        <v>10177.66</v>
      </c>
      <c r="N159" s="105">
        <v>1054.1300000000001</v>
      </c>
      <c r="O159" s="105"/>
      <c r="P159" s="119"/>
    </row>
    <row r="160" spans="1:16" x14ac:dyDescent="0.3">
      <c r="A160" s="146"/>
      <c r="B160" s="94">
        <v>43070</v>
      </c>
      <c r="C160" s="92">
        <f t="shared" si="3"/>
        <v>193821.57000000004</v>
      </c>
      <c r="D160" s="92">
        <v>69067.600000000006</v>
      </c>
      <c r="E160" s="92">
        <v>19533.79</v>
      </c>
      <c r="F160" s="92">
        <v>20597.400000000001</v>
      </c>
      <c r="G160" s="92">
        <v>2146.21</v>
      </c>
      <c r="H160" s="92">
        <v>15030.71</v>
      </c>
      <c r="I160" s="92">
        <v>4780.75</v>
      </c>
      <c r="J160" s="92">
        <v>16776.2</v>
      </c>
      <c r="K160" s="92">
        <v>30995.88</v>
      </c>
      <c r="L160" s="92">
        <v>6645.87</v>
      </c>
      <c r="M160" s="92">
        <v>8112.16</v>
      </c>
      <c r="N160" s="92">
        <v>135</v>
      </c>
    </row>
    <row r="161" spans="1:16" ht="14.25" customHeight="1" x14ac:dyDescent="0.3">
      <c r="A161" s="146"/>
      <c r="B161" s="94">
        <v>43101</v>
      </c>
      <c r="C161" s="92">
        <f t="shared" si="3"/>
        <v>261104.54000000007</v>
      </c>
      <c r="D161" s="92">
        <v>105008.58</v>
      </c>
      <c r="E161" s="92">
        <v>19864.27</v>
      </c>
      <c r="F161" s="92">
        <v>25093.7</v>
      </c>
      <c r="G161" s="92">
        <v>2888.01</v>
      </c>
      <c r="H161" s="92">
        <v>23469.360000000001</v>
      </c>
      <c r="I161" s="92">
        <v>2620.44</v>
      </c>
      <c r="J161" s="92">
        <v>6951.04</v>
      </c>
      <c r="K161" s="92">
        <v>50453.22</v>
      </c>
      <c r="L161" s="92">
        <v>9067.5300000000007</v>
      </c>
      <c r="M161" s="92">
        <v>10158.07</v>
      </c>
      <c r="N161" s="92">
        <v>1587.82</v>
      </c>
      <c r="P161" s="117">
        <v>3942.5</v>
      </c>
    </row>
    <row r="162" spans="1:16" x14ac:dyDescent="0.3">
      <c r="A162" s="146"/>
      <c r="B162" s="94">
        <v>43132</v>
      </c>
      <c r="C162" s="92">
        <f t="shared" si="3"/>
        <v>221565.3</v>
      </c>
      <c r="D162" s="92">
        <v>77805.37</v>
      </c>
      <c r="E162" s="92">
        <v>17772.21</v>
      </c>
      <c r="F162" s="92">
        <v>17411.87</v>
      </c>
      <c r="G162" s="92">
        <v>7479.84</v>
      </c>
      <c r="H162" s="92">
        <v>26985.14</v>
      </c>
      <c r="I162" s="92">
        <v>4598.37</v>
      </c>
      <c r="J162" s="92">
        <v>26607.200000000001</v>
      </c>
      <c r="K162" s="92">
        <v>27557.46</v>
      </c>
      <c r="L162" s="92">
        <v>4587.43</v>
      </c>
      <c r="M162" s="92">
        <v>6555.82</v>
      </c>
      <c r="N162" s="92">
        <v>1285.3399999999999</v>
      </c>
      <c r="P162" s="117">
        <v>2919.25</v>
      </c>
    </row>
    <row r="163" spans="1:16" x14ac:dyDescent="0.3">
      <c r="A163" s="146"/>
      <c r="B163" s="94">
        <v>43160</v>
      </c>
      <c r="C163" s="92">
        <f t="shared" si="3"/>
        <v>304896.15000000002</v>
      </c>
      <c r="D163" s="92">
        <v>142566.48000000001</v>
      </c>
      <c r="E163" s="92">
        <v>24199.48</v>
      </c>
      <c r="F163" s="92">
        <v>23016.69</v>
      </c>
      <c r="G163" s="92">
        <v>8692.56</v>
      </c>
      <c r="H163" s="92">
        <v>22721.62</v>
      </c>
      <c r="I163" s="92">
        <v>900.08</v>
      </c>
      <c r="J163" s="92">
        <v>15556.21</v>
      </c>
      <c r="K163" s="92">
        <v>44089.51</v>
      </c>
      <c r="L163" s="92">
        <v>9502.09</v>
      </c>
      <c r="M163" s="92">
        <v>7760.42</v>
      </c>
      <c r="N163" s="92">
        <v>1559.51</v>
      </c>
      <c r="P163" s="117">
        <v>4331.5</v>
      </c>
    </row>
    <row r="164" spans="1:16" x14ac:dyDescent="0.3">
      <c r="A164" s="146"/>
      <c r="B164" s="94">
        <v>43191</v>
      </c>
      <c r="C164" s="92">
        <f t="shared" si="3"/>
        <v>270813.34999999998</v>
      </c>
      <c r="D164" s="92">
        <v>131812.01999999999</v>
      </c>
      <c r="E164" s="92">
        <v>19686.34</v>
      </c>
      <c r="F164" s="92">
        <v>16420.099999999999</v>
      </c>
      <c r="G164" s="92">
        <v>12294.32</v>
      </c>
      <c r="H164" s="92">
        <v>9048.6200000000008</v>
      </c>
      <c r="I164" s="92">
        <v>739.21</v>
      </c>
      <c r="J164" s="92">
        <v>9826.1299999999992</v>
      </c>
      <c r="K164" s="92">
        <v>33116.04</v>
      </c>
      <c r="L164" s="92">
        <v>20795.63</v>
      </c>
      <c r="M164" s="92">
        <v>12147.47</v>
      </c>
      <c r="N164" s="92">
        <v>1596.72</v>
      </c>
      <c r="P164" s="117">
        <v>3330.75</v>
      </c>
    </row>
    <row r="165" spans="1:16" x14ac:dyDescent="0.3">
      <c r="A165" s="146"/>
      <c r="B165" s="94">
        <v>43221</v>
      </c>
      <c r="C165" s="92">
        <f t="shared" si="3"/>
        <v>208832.02000000002</v>
      </c>
      <c r="D165" s="92">
        <v>77926.52</v>
      </c>
      <c r="E165" s="92">
        <v>18464.830000000002</v>
      </c>
      <c r="F165" s="92">
        <v>14177.22</v>
      </c>
      <c r="G165" s="92">
        <v>6942.22</v>
      </c>
      <c r="H165" s="92">
        <v>25088.91</v>
      </c>
      <c r="I165" s="92">
        <v>2286.0300000000002</v>
      </c>
      <c r="J165" s="92">
        <v>18470.560000000001</v>
      </c>
      <c r="K165" s="92">
        <v>23351.8</v>
      </c>
      <c r="L165" s="92">
        <v>8128.16</v>
      </c>
      <c r="M165" s="92">
        <v>7751.45</v>
      </c>
      <c r="N165" s="92">
        <v>3068.32</v>
      </c>
      <c r="P165" s="117">
        <v>3176</v>
      </c>
    </row>
    <row r="166" spans="1:16" x14ac:dyDescent="0.3">
      <c r="A166" s="146"/>
      <c r="B166" s="94">
        <v>43252</v>
      </c>
      <c r="C166" s="92">
        <f t="shared" si="3"/>
        <v>311414.47999999986</v>
      </c>
      <c r="D166" s="92">
        <v>118027.03</v>
      </c>
      <c r="E166" s="92">
        <v>40103.43</v>
      </c>
      <c r="F166" s="92">
        <v>15042.77</v>
      </c>
      <c r="G166" s="92">
        <v>16304.87</v>
      </c>
      <c r="H166" s="92">
        <v>36397.839999999997</v>
      </c>
      <c r="I166" s="92">
        <v>5056.0600000000004</v>
      </c>
      <c r="J166" s="92">
        <v>16690</v>
      </c>
      <c r="K166" s="92">
        <v>33646.81</v>
      </c>
      <c r="L166" s="92">
        <v>8610.67</v>
      </c>
      <c r="M166" s="92">
        <v>9800.9699999999993</v>
      </c>
      <c r="N166" s="92">
        <v>7650.8</v>
      </c>
      <c r="P166" s="117">
        <v>4083.23</v>
      </c>
    </row>
    <row r="167" spans="1:16" x14ac:dyDescent="0.3">
      <c r="A167" s="146"/>
      <c r="B167" s="94">
        <v>43282</v>
      </c>
      <c r="C167" s="92">
        <f t="shared" si="3"/>
        <v>230520.03000000003</v>
      </c>
      <c r="D167" s="92">
        <v>90249.09</v>
      </c>
      <c r="E167" s="92">
        <v>27739.94</v>
      </c>
      <c r="F167" s="92">
        <v>22334.42</v>
      </c>
      <c r="G167" s="92">
        <v>10429.42</v>
      </c>
      <c r="H167" s="92">
        <v>10097.84</v>
      </c>
      <c r="I167" s="92">
        <v>2374.94</v>
      </c>
      <c r="J167" s="92">
        <v>8371</v>
      </c>
      <c r="K167" s="92">
        <v>29467.79</v>
      </c>
      <c r="L167" s="92">
        <v>9997.2199999999993</v>
      </c>
      <c r="M167" s="92">
        <v>6135.91</v>
      </c>
      <c r="N167" s="92">
        <v>3637.91</v>
      </c>
      <c r="P167" s="117">
        <v>9684.5499999999993</v>
      </c>
    </row>
    <row r="168" spans="1:16" x14ac:dyDescent="0.3">
      <c r="A168" s="146"/>
      <c r="B168" s="94">
        <v>43313</v>
      </c>
      <c r="C168" s="92">
        <f t="shared" si="3"/>
        <v>193040.36</v>
      </c>
      <c r="D168" s="92">
        <v>75931.94</v>
      </c>
      <c r="E168" s="92">
        <v>17128.98</v>
      </c>
      <c r="F168" s="92">
        <v>11566.23</v>
      </c>
      <c r="G168" s="92">
        <v>5487.76</v>
      </c>
      <c r="H168" s="92">
        <v>10237.83</v>
      </c>
      <c r="I168" s="92">
        <v>1394.11</v>
      </c>
      <c r="J168" s="92">
        <v>16942.599999999999</v>
      </c>
      <c r="K168" s="92">
        <v>31371.4</v>
      </c>
      <c r="L168" s="92">
        <v>10390.620000000001</v>
      </c>
      <c r="M168" s="92">
        <v>8179.48</v>
      </c>
      <c r="N168" s="92">
        <v>2757.16</v>
      </c>
      <c r="P168" s="117">
        <v>1652.25</v>
      </c>
    </row>
    <row r="169" spans="1:16" x14ac:dyDescent="0.3">
      <c r="A169" s="146"/>
      <c r="B169" s="94">
        <v>43344</v>
      </c>
      <c r="C169" s="92">
        <f t="shared" si="3"/>
        <v>267788.56</v>
      </c>
      <c r="D169" s="92">
        <v>128586.05</v>
      </c>
      <c r="E169" s="92">
        <v>17299.22</v>
      </c>
      <c r="F169" s="92">
        <v>18912.75</v>
      </c>
      <c r="G169" s="92">
        <v>5974.94</v>
      </c>
      <c r="H169" s="92">
        <v>18907.52</v>
      </c>
      <c r="I169" s="92">
        <v>1251.1600000000001</v>
      </c>
      <c r="J169" s="92">
        <v>13349.43</v>
      </c>
      <c r="K169" s="92">
        <v>37834.89</v>
      </c>
      <c r="L169" s="92">
        <v>11002.32</v>
      </c>
      <c r="M169" s="92">
        <v>8279.9</v>
      </c>
      <c r="N169" s="92">
        <v>2914.63</v>
      </c>
      <c r="P169" s="117">
        <v>3475.75</v>
      </c>
    </row>
    <row r="170" spans="1:16" x14ac:dyDescent="0.3">
      <c r="A170" s="146"/>
      <c r="B170" s="94">
        <v>43374</v>
      </c>
      <c r="C170" s="92">
        <f t="shared" si="3"/>
        <v>304120.61</v>
      </c>
      <c r="D170" s="92">
        <v>116213.7</v>
      </c>
      <c r="E170" s="92">
        <v>16655.89</v>
      </c>
      <c r="F170" s="92">
        <v>19795.150000000001</v>
      </c>
      <c r="G170" s="92">
        <v>9815.43</v>
      </c>
      <c r="H170" s="92">
        <v>26359.37</v>
      </c>
      <c r="I170" s="92">
        <v>1190.1199999999999</v>
      </c>
      <c r="J170" s="92">
        <v>22795.599999999999</v>
      </c>
      <c r="K170" s="92">
        <v>51918.64</v>
      </c>
      <c r="L170" s="92">
        <v>15496.38</v>
      </c>
      <c r="M170" s="92">
        <v>15489.07</v>
      </c>
      <c r="N170" s="92">
        <v>2318.0100000000002</v>
      </c>
      <c r="P170" s="117">
        <v>6073.25</v>
      </c>
    </row>
    <row r="171" spans="1:16" x14ac:dyDescent="0.3">
      <c r="A171" s="146"/>
      <c r="B171" s="94">
        <v>43405</v>
      </c>
      <c r="C171" s="92">
        <f t="shared" si="3"/>
        <v>261930.27000000002</v>
      </c>
      <c r="D171" s="92">
        <v>116919.53</v>
      </c>
      <c r="E171" s="92">
        <v>25037.45</v>
      </c>
      <c r="F171" s="92">
        <v>18572.66</v>
      </c>
      <c r="G171" s="92">
        <v>3445.26</v>
      </c>
      <c r="H171" s="92">
        <v>9603.73</v>
      </c>
      <c r="I171" s="92">
        <v>6916.66</v>
      </c>
      <c r="J171" s="92">
        <v>9352.5</v>
      </c>
      <c r="K171" s="92">
        <v>33314.46</v>
      </c>
      <c r="L171" s="92">
        <v>15663.26</v>
      </c>
      <c r="M171" s="92">
        <v>14174.41</v>
      </c>
      <c r="N171" s="92">
        <v>1655.8</v>
      </c>
      <c r="P171" s="117">
        <v>7274.55</v>
      </c>
    </row>
    <row r="172" spans="1:16" x14ac:dyDescent="0.3">
      <c r="A172" s="146"/>
      <c r="B172" s="94">
        <v>43435</v>
      </c>
      <c r="C172" s="92">
        <f t="shared" si="3"/>
        <v>207214.16</v>
      </c>
      <c r="D172" s="92">
        <v>84209.4</v>
      </c>
      <c r="E172" s="92">
        <v>12018.49</v>
      </c>
      <c r="F172" s="92">
        <v>9070.58</v>
      </c>
      <c r="G172" s="92">
        <v>10298.85</v>
      </c>
      <c r="H172" s="92">
        <v>9656.2099999999991</v>
      </c>
      <c r="I172" s="92">
        <v>1184.48</v>
      </c>
      <c r="J172" s="92">
        <v>17516.03</v>
      </c>
      <c r="K172" s="92">
        <v>31710.58</v>
      </c>
      <c r="L172" s="92">
        <v>16744.599999999999</v>
      </c>
      <c r="M172" s="92">
        <v>9917.6200000000008</v>
      </c>
      <c r="N172" s="92">
        <v>1672.82</v>
      </c>
      <c r="P172" s="117">
        <v>3214.5</v>
      </c>
    </row>
    <row r="173" spans="1:16" x14ac:dyDescent="0.3">
      <c r="A173" s="146"/>
      <c r="B173" s="94">
        <v>43466</v>
      </c>
      <c r="C173" s="105">
        <f t="shared" si="3"/>
        <v>216456.80000000002</v>
      </c>
      <c r="D173" s="92">
        <v>86232.21</v>
      </c>
      <c r="E173" s="92">
        <v>14359.02</v>
      </c>
      <c r="F173" s="92">
        <v>14100.63</v>
      </c>
      <c r="G173" s="92">
        <v>2334.33</v>
      </c>
      <c r="H173" s="92">
        <v>17379.37</v>
      </c>
      <c r="I173" s="92">
        <v>1828.56</v>
      </c>
      <c r="J173" s="92">
        <v>23365.75</v>
      </c>
      <c r="K173" s="92">
        <v>30704.45</v>
      </c>
      <c r="L173" s="92">
        <v>9896.24</v>
      </c>
      <c r="M173" s="92">
        <v>10752.18</v>
      </c>
      <c r="N173" s="92">
        <v>2302.11</v>
      </c>
      <c r="O173" s="92">
        <v>377.7</v>
      </c>
      <c r="P173" s="117">
        <v>2824.25</v>
      </c>
    </row>
    <row r="174" spans="1:16" x14ac:dyDescent="0.3">
      <c r="A174" s="146"/>
      <c r="B174" s="94">
        <v>43497</v>
      </c>
      <c r="C174" s="105">
        <f t="shared" si="3"/>
        <v>174898.62</v>
      </c>
      <c r="D174" s="92">
        <v>71375.63</v>
      </c>
      <c r="E174" s="92">
        <v>9616.9599999999991</v>
      </c>
      <c r="F174" s="92">
        <v>13853.67</v>
      </c>
      <c r="G174" s="92">
        <v>1249.8499999999999</v>
      </c>
      <c r="H174" s="92">
        <v>16096.07</v>
      </c>
      <c r="I174" s="92">
        <v>2406.33</v>
      </c>
      <c r="J174" s="92">
        <v>5253</v>
      </c>
      <c r="K174" s="92">
        <v>30923.68</v>
      </c>
      <c r="L174" s="92">
        <v>8090.54</v>
      </c>
      <c r="M174" s="92">
        <v>12099.9</v>
      </c>
      <c r="N174" s="92">
        <v>1297.8</v>
      </c>
      <c r="O174" s="92">
        <v>449.8</v>
      </c>
      <c r="P174" s="117">
        <v>2185.39</v>
      </c>
    </row>
    <row r="175" spans="1:16" x14ac:dyDescent="0.3">
      <c r="A175" s="146"/>
      <c r="B175" s="94">
        <v>43525</v>
      </c>
      <c r="C175" s="105">
        <f t="shared" si="3"/>
        <v>217551.74000000002</v>
      </c>
      <c r="D175" s="92">
        <v>104781.37</v>
      </c>
      <c r="E175" s="92">
        <v>19355.39</v>
      </c>
      <c r="F175" s="92">
        <v>10967.78</v>
      </c>
      <c r="G175" s="92">
        <v>1739.87</v>
      </c>
      <c r="H175" s="92">
        <v>14344.15</v>
      </c>
      <c r="I175" s="92">
        <v>847.94</v>
      </c>
      <c r="J175" s="92">
        <v>5923.6</v>
      </c>
      <c r="K175" s="92">
        <v>38070.1</v>
      </c>
      <c r="L175" s="92">
        <v>3387.49</v>
      </c>
      <c r="M175" s="92">
        <v>11102.48</v>
      </c>
      <c r="N175" s="92">
        <v>1242.6400000000001</v>
      </c>
      <c r="O175" s="92">
        <v>1721.18</v>
      </c>
      <c r="P175" s="117">
        <v>4067.75</v>
      </c>
    </row>
    <row r="176" spans="1:16" x14ac:dyDescent="0.3">
      <c r="A176" s="146"/>
      <c r="B176" s="94">
        <v>43556</v>
      </c>
      <c r="C176" s="105">
        <f t="shared" si="3"/>
        <v>188462.27</v>
      </c>
      <c r="D176" s="92">
        <v>79071.820000000007</v>
      </c>
      <c r="E176" s="92">
        <v>18450.68</v>
      </c>
      <c r="F176" s="92">
        <v>12403.49</v>
      </c>
      <c r="G176" s="92">
        <v>963.31</v>
      </c>
      <c r="H176" s="92">
        <v>10015.11</v>
      </c>
      <c r="I176" s="92">
        <v>746.62</v>
      </c>
      <c r="J176" s="92">
        <v>10250.1</v>
      </c>
      <c r="K176" s="92">
        <v>31499.5</v>
      </c>
      <c r="L176" s="92">
        <v>7263.58</v>
      </c>
      <c r="M176" s="92">
        <v>11234.64</v>
      </c>
      <c r="N176" s="92">
        <v>1992.76</v>
      </c>
      <c r="O176" s="92">
        <v>2142.91</v>
      </c>
      <c r="P176" s="117">
        <v>2427.75</v>
      </c>
    </row>
    <row r="177" spans="1:16" x14ac:dyDescent="0.3">
      <c r="A177" s="146"/>
      <c r="B177" s="94">
        <v>43586</v>
      </c>
      <c r="C177" s="105">
        <f t="shared" si="3"/>
        <v>237469.74999999997</v>
      </c>
      <c r="D177" s="92">
        <v>100241.24</v>
      </c>
      <c r="E177" s="92">
        <v>9010.84</v>
      </c>
      <c r="F177" s="92">
        <v>15189.86</v>
      </c>
      <c r="G177" s="92">
        <v>1988.15</v>
      </c>
      <c r="H177" s="92">
        <v>14524.5</v>
      </c>
      <c r="I177" s="92">
        <v>4793.34</v>
      </c>
      <c r="J177" s="92">
        <v>23429.31</v>
      </c>
      <c r="K177" s="92">
        <v>26981.15</v>
      </c>
      <c r="L177" s="92">
        <v>11371.08</v>
      </c>
      <c r="M177" s="92">
        <v>15000.2</v>
      </c>
      <c r="N177" s="92">
        <v>1061.3599999999999</v>
      </c>
      <c r="O177" s="92">
        <v>7524.03</v>
      </c>
      <c r="P177" s="117">
        <v>6354.69</v>
      </c>
    </row>
    <row r="178" spans="1:16" x14ac:dyDescent="0.3">
      <c r="A178" s="146"/>
      <c r="B178" s="94">
        <v>43617</v>
      </c>
      <c r="C178" s="105">
        <f t="shared" si="3"/>
        <v>245644.06999999998</v>
      </c>
      <c r="D178" s="92">
        <v>111890.5</v>
      </c>
      <c r="E178" s="92">
        <v>13459.27</v>
      </c>
      <c r="F178" s="92">
        <v>15660.19</v>
      </c>
      <c r="G178" s="92">
        <v>1501.87</v>
      </c>
      <c r="H178" s="92">
        <v>24054.66</v>
      </c>
      <c r="I178" s="92">
        <v>727.4</v>
      </c>
      <c r="J178" s="92">
        <v>13567.2</v>
      </c>
      <c r="K178" s="92">
        <v>33880.89</v>
      </c>
      <c r="L178" s="92">
        <v>11948.93</v>
      </c>
      <c r="M178" s="92">
        <v>12856.55</v>
      </c>
      <c r="N178" s="92">
        <v>467.32</v>
      </c>
      <c r="O178" s="92">
        <v>217.04</v>
      </c>
      <c r="P178" s="117">
        <v>5412.25</v>
      </c>
    </row>
    <row r="179" spans="1:16" x14ac:dyDescent="0.3">
      <c r="A179" s="146"/>
      <c r="B179" s="94">
        <v>43647</v>
      </c>
      <c r="C179" s="105">
        <f t="shared" si="3"/>
        <v>189203.85</v>
      </c>
      <c r="D179" s="92">
        <v>96409.56</v>
      </c>
      <c r="E179" s="92">
        <v>9907.52</v>
      </c>
      <c r="F179" s="92">
        <v>16605.95</v>
      </c>
      <c r="G179" s="92">
        <v>1228.06</v>
      </c>
      <c r="H179" s="92">
        <v>9664.36</v>
      </c>
      <c r="I179" s="92">
        <v>1200.51</v>
      </c>
      <c r="J179" s="92">
        <v>12690.5</v>
      </c>
      <c r="K179" s="92">
        <v>23459.59</v>
      </c>
      <c r="L179" s="92">
        <v>6633.83</v>
      </c>
      <c r="M179" s="92">
        <v>9523.7900000000009</v>
      </c>
      <c r="N179" s="92">
        <v>10</v>
      </c>
      <c r="O179" s="92">
        <v>647.67999999999995</v>
      </c>
      <c r="P179" s="117">
        <v>1222.5</v>
      </c>
    </row>
    <row r="180" spans="1:16" x14ac:dyDescent="0.3">
      <c r="A180" s="146"/>
      <c r="B180" s="94">
        <v>43678</v>
      </c>
      <c r="C180" s="105">
        <f t="shared" si="3"/>
        <v>190326.02999999997</v>
      </c>
      <c r="D180" s="92">
        <v>95297.07</v>
      </c>
      <c r="E180" s="92">
        <v>5400.9</v>
      </c>
      <c r="F180" s="92">
        <v>13269.62</v>
      </c>
      <c r="G180" s="92">
        <v>750.16</v>
      </c>
      <c r="H180" s="92">
        <v>22596.17</v>
      </c>
      <c r="I180" s="92">
        <v>3226.49</v>
      </c>
      <c r="J180" s="92">
        <v>1738.5</v>
      </c>
      <c r="K180" s="92">
        <v>27963.66</v>
      </c>
      <c r="L180" s="92">
        <v>4775.8100000000004</v>
      </c>
      <c r="M180" s="92">
        <v>8715.33</v>
      </c>
      <c r="N180" s="92">
        <v>10</v>
      </c>
      <c r="O180" s="92">
        <v>5528.48</v>
      </c>
      <c r="P180" s="117">
        <v>1053.8399999999999</v>
      </c>
    </row>
    <row r="181" spans="1:16" x14ac:dyDescent="0.3">
      <c r="A181" s="146"/>
      <c r="B181" s="94">
        <v>43709</v>
      </c>
      <c r="C181" s="105">
        <f t="shared" si="3"/>
        <v>239892.76</v>
      </c>
      <c r="D181" s="92">
        <v>89797.55</v>
      </c>
      <c r="E181" s="92">
        <v>15769.49</v>
      </c>
      <c r="F181" s="92">
        <v>11804.87</v>
      </c>
      <c r="G181" s="92">
        <v>742.17</v>
      </c>
      <c r="H181" s="92">
        <v>22891.94</v>
      </c>
      <c r="I181" s="92">
        <v>5688.26</v>
      </c>
      <c r="J181" s="92">
        <v>15190.4</v>
      </c>
      <c r="K181" s="92">
        <v>32718.04</v>
      </c>
      <c r="L181" s="92">
        <v>24658.28</v>
      </c>
      <c r="M181" s="92">
        <v>13320.75</v>
      </c>
      <c r="N181" s="92">
        <v>10</v>
      </c>
      <c r="O181" s="92">
        <v>3039.26</v>
      </c>
      <c r="P181" s="117">
        <v>4261.75</v>
      </c>
    </row>
    <row r="182" spans="1:16" x14ac:dyDescent="0.3">
      <c r="A182" s="146"/>
      <c r="B182" s="94">
        <v>43739</v>
      </c>
      <c r="C182" s="105">
        <f t="shared" si="3"/>
        <v>224378.49</v>
      </c>
      <c r="D182" s="92">
        <v>100403.06</v>
      </c>
      <c r="E182" s="92">
        <v>10977.3</v>
      </c>
      <c r="F182" s="92">
        <v>12842.69</v>
      </c>
      <c r="G182" s="92">
        <v>511.74</v>
      </c>
      <c r="H182" s="92">
        <v>28421.68</v>
      </c>
      <c r="I182" s="92">
        <v>528.48</v>
      </c>
      <c r="J182" s="92">
        <v>13472.75</v>
      </c>
      <c r="K182" s="92">
        <v>32411.85</v>
      </c>
      <c r="L182" s="92">
        <v>12157.64</v>
      </c>
      <c r="M182" s="92">
        <v>7993.34</v>
      </c>
      <c r="N182" s="92">
        <v>10</v>
      </c>
      <c r="O182" s="92">
        <v>371.41</v>
      </c>
      <c r="P182" s="117">
        <v>4276.55</v>
      </c>
    </row>
    <row r="183" spans="1:16" x14ac:dyDescent="0.3">
      <c r="A183" s="146"/>
      <c r="B183" s="94">
        <v>43770</v>
      </c>
      <c r="C183" s="105">
        <f t="shared" si="3"/>
        <v>218140.25</v>
      </c>
      <c r="D183" s="92">
        <v>93334.2</v>
      </c>
      <c r="E183" s="92">
        <v>10331.98</v>
      </c>
      <c r="F183" s="92">
        <v>16554.2</v>
      </c>
      <c r="G183" s="92">
        <v>2760.5</v>
      </c>
      <c r="H183" s="92">
        <v>24408.54</v>
      </c>
      <c r="I183" s="92">
        <v>394.88</v>
      </c>
      <c r="J183" s="92">
        <v>7456.01</v>
      </c>
      <c r="K183" s="92">
        <v>35638.32</v>
      </c>
      <c r="L183" s="92">
        <v>9296.0499999999993</v>
      </c>
      <c r="M183" s="92">
        <v>5154.6499999999996</v>
      </c>
      <c r="O183" s="92">
        <v>7107.17</v>
      </c>
      <c r="P183" s="117">
        <v>5703.75</v>
      </c>
    </row>
    <row r="184" spans="1:16" x14ac:dyDescent="0.3">
      <c r="A184" s="146"/>
      <c r="B184" s="94">
        <v>43800</v>
      </c>
      <c r="C184" s="105">
        <f t="shared" si="3"/>
        <v>210071.02</v>
      </c>
      <c r="D184" s="92">
        <v>84499.51</v>
      </c>
      <c r="E184" s="92">
        <v>28163.74</v>
      </c>
      <c r="F184" s="92">
        <v>22845.22</v>
      </c>
      <c r="G184" s="92">
        <v>409.55</v>
      </c>
      <c r="H184" s="92">
        <v>17306.939999999999</v>
      </c>
      <c r="I184" s="92">
        <v>2230</v>
      </c>
      <c r="J184" s="92">
        <v>8520.16</v>
      </c>
      <c r="K184" s="92">
        <v>27701.69</v>
      </c>
      <c r="L184" s="92">
        <v>6814.37</v>
      </c>
      <c r="M184" s="92">
        <v>3069.59</v>
      </c>
      <c r="N184" s="92">
        <v>20</v>
      </c>
      <c r="O184" s="92">
        <v>5207.5</v>
      </c>
      <c r="P184" s="117">
        <v>3282.75</v>
      </c>
    </row>
    <row r="185" spans="1:16" x14ac:dyDescent="0.3">
      <c r="A185" s="146"/>
      <c r="B185" s="94">
        <v>43831</v>
      </c>
      <c r="C185" s="105">
        <f t="shared" si="3"/>
        <v>261786.86000000004</v>
      </c>
      <c r="D185" s="92">
        <v>131789.82</v>
      </c>
      <c r="E185" s="92">
        <v>5919.45</v>
      </c>
      <c r="F185" s="92">
        <v>4990.7</v>
      </c>
      <c r="G185" s="92">
        <v>610.44000000000005</v>
      </c>
      <c r="H185" s="92">
        <v>21944.31</v>
      </c>
      <c r="I185" s="92">
        <v>2117.6999999999998</v>
      </c>
      <c r="J185" s="92">
        <v>10299.5</v>
      </c>
      <c r="K185" s="92">
        <v>28282.560000000001</v>
      </c>
      <c r="L185" s="92">
        <v>41180.76</v>
      </c>
      <c r="M185" s="92">
        <v>3331.78</v>
      </c>
      <c r="N185" s="92">
        <v>10</v>
      </c>
      <c r="O185" s="92">
        <v>7058.59</v>
      </c>
      <c r="P185" s="117">
        <v>4251.25</v>
      </c>
    </row>
    <row r="186" spans="1:16" x14ac:dyDescent="0.3">
      <c r="A186" s="146"/>
      <c r="B186" s="94">
        <v>43862</v>
      </c>
      <c r="C186" s="105">
        <f t="shared" si="3"/>
        <v>199154.78999999998</v>
      </c>
      <c r="D186" s="92">
        <v>77525.5</v>
      </c>
      <c r="E186" s="92">
        <v>4100.4399999999996</v>
      </c>
      <c r="F186" s="92">
        <v>14201.03</v>
      </c>
      <c r="G186" s="92">
        <v>278.64999999999998</v>
      </c>
      <c r="H186" s="92">
        <v>12968.43</v>
      </c>
      <c r="I186" s="92">
        <v>1810.8</v>
      </c>
      <c r="J186" s="92">
        <v>15136.74</v>
      </c>
      <c r="K186" s="92">
        <v>38550.720000000001</v>
      </c>
      <c r="L186" s="92">
        <v>8800.9599999999991</v>
      </c>
      <c r="M186" s="92">
        <v>1979.91</v>
      </c>
      <c r="N186" s="92">
        <v>10</v>
      </c>
      <c r="O186" s="92">
        <v>21654.11</v>
      </c>
      <c r="P186" s="117">
        <v>2137.5</v>
      </c>
    </row>
    <row r="187" spans="1:16" x14ac:dyDescent="0.3">
      <c r="A187" s="146"/>
      <c r="B187" s="94">
        <v>43891</v>
      </c>
      <c r="C187" s="105">
        <f t="shared" si="3"/>
        <v>163726.68</v>
      </c>
      <c r="D187" s="92">
        <v>56382.91</v>
      </c>
      <c r="E187" s="92">
        <v>1486.72</v>
      </c>
      <c r="F187" s="92">
        <v>13668.47</v>
      </c>
      <c r="G187" s="92">
        <v>481.2</v>
      </c>
      <c r="H187" s="92">
        <v>8441.39</v>
      </c>
      <c r="I187" s="92">
        <v>21973.05</v>
      </c>
      <c r="J187" s="92">
        <v>711</v>
      </c>
      <c r="K187" s="92">
        <v>23983.05</v>
      </c>
      <c r="L187" s="92">
        <v>8568.52</v>
      </c>
      <c r="M187" s="92">
        <v>2936.3</v>
      </c>
      <c r="O187" s="92">
        <v>24295.32</v>
      </c>
      <c r="P187" s="117">
        <v>798.75</v>
      </c>
    </row>
    <row r="188" spans="1:16" x14ac:dyDescent="0.3">
      <c r="A188" s="146"/>
      <c r="B188" s="94">
        <v>43922</v>
      </c>
      <c r="C188" s="105">
        <f t="shared" si="3"/>
        <v>49893.919999999998</v>
      </c>
      <c r="D188" s="92">
        <f>34748.61-20632.5</f>
        <v>14116.11</v>
      </c>
      <c r="E188" s="92">
        <v>-64.5</v>
      </c>
      <c r="F188" s="92">
        <v>2089.69</v>
      </c>
      <c r="G188" s="92">
        <v>62.73</v>
      </c>
      <c r="H188" s="92">
        <v>1740.18</v>
      </c>
      <c r="I188" s="92">
        <v>20632.5</v>
      </c>
      <c r="J188" s="92">
        <v>7671</v>
      </c>
      <c r="K188" s="92">
        <v>1227.53</v>
      </c>
      <c r="L188" s="92">
        <v>1714.2</v>
      </c>
      <c r="M188" s="92">
        <v>265.25</v>
      </c>
      <c r="O188" s="92">
        <v>349.23</v>
      </c>
      <c r="P188" s="117">
        <v>90</v>
      </c>
    </row>
    <row r="189" spans="1:16" x14ac:dyDescent="0.3">
      <c r="A189" s="146"/>
      <c r="B189" s="94">
        <v>43952</v>
      </c>
      <c r="C189" s="105">
        <f>SUM(D189:P189)</f>
        <v>61498.109999999993</v>
      </c>
      <c r="D189" s="92">
        <f>36442.45-10010</f>
        <v>26432.449999999997</v>
      </c>
      <c r="E189" s="92">
        <v>3401.17</v>
      </c>
      <c r="F189" s="92">
        <v>2927.54</v>
      </c>
      <c r="G189" s="92">
        <v>184.54</v>
      </c>
      <c r="H189" s="92">
        <v>1818.45</v>
      </c>
      <c r="I189" s="92">
        <f>1202.02+10010</f>
        <v>11212.02</v>
      </c>
      <c r="J189" s="92">
        <v>4305.3999999999996</v>
      </c>
      <c r="K189" s="92">
        <v>4500.03</v>
      </c>
      <c r="L189" s="92">
        <v>2403.85</v>
      </c>
      <c r="M189" s="92">
        <v>644.16999999999996</v>
      </c>
      <c r="O189" s="92">
        <v>2309.7399999999998</v>
      </c>
      <c r="P189" s="117">
        <v>1358.75</v>
      </c>
    </row>
    <row r="190" spans="1:16" s="92" customFormat="1" x14ac:dyDescent="0.3">
      <c r="A190" s="146"/>
      <c r="B190" s="94">
        <v>43983</v>
      </c>
      <c r="C190" s="92">
        <f t="shared" si="3"/>
        <v>172111.25000000003</v>
      </c>
      <c r="D190" s="109">
        <f>107573.84-45727.5</f>
        <v>61846.34</v>
      </c>
      <c r="E190" s="109">
        <v>2518.59</v>
      </c>
      <c r="F190" s="109">
        <v>21665.13</v>
      </c>
      <c r="G190" s="109">
        <v>106.44</v>
      </c>
      <c r="H190" s="109">
        <v>6665.1</v>
      </c>
      <c r="I190" s="109">
        <f>584.35+45727.5</f>
        <v>46311.85</v>
      </c>
      <c r="J190" s="109">
        <v>7865.5</v>
      </c>
      <c r="K190" s="109">
        <v>12247.15</v>
      </c>
      <c r="L190" s="109">
        <v>2529.6</v>
      </c>
      <c r="M190" s="109">
        <v>2082.3200000000002</v>
      </c>
      <c r="N190" s="109">
        <v>4677.95</v>
      </c>
      <c r="O190" s="109">
        <v>865.28</v>
      </c>
      <c r="P190" s="121">
        <v>2730</v>
      </c>
    </row>
    <row r="191" spans="1:16" s="92" customFormat="1" x14ac:dyDescent="0.3">
      <c r="A191" s="146"/>
      <c r="B191" s="94">
        <v>44013</v>
      </c>
      <c r="C191" s="92">
        <f t="shared" si="3"/>
        <v>228402.06999999998</v>
      </c>
      <c r="D191" s="109">
        <f>128630.43-24115</f>
        <v>104515.43</v>
      </c>
      <c r="E191" s="109">
        <v>11194.39</v>
      </c>
      <c r="F191" s="109">
        <v>8636.4500000000007</v>
      </c>
      <c r="G191" s="109">
        <v>154.63999999999999</v>
      </c>
      <c r="H191" s="109">
        <v>19449.760000000002</v>
      </c>
      <c r="I191" s="109">
        <f>140+24115</f>
        <v>24255</v>
      </c>
      <c r="J191" s="109">
        <v>8390.7999999999993</v>
      </c>
      <c r="K191" s="109">
        <v>22838.97</v>
      </c>
      <c r="L191" s="109">
        <v>17181.099999999999</v>
      </c>
      <c r="M191" s="109">
        <v>7556.91</v>
      </c>
      <c r="N191" s="109"/>
      <c r="O191" s="109">
        <v>1978.62</v>
      </c>
      <c r="P191" s="121">
        <v>2250</v>
      </c>
    </row>
    <row r="192" spans="1:16" s="92" customFormat="1" x14ac:dyDescent="0.3">
      <c r="A192" s="146"/>
      <c r="B192" s="94">
        <v>44044</v>
      </c>
      <c r="C192" s="92">
        <f t="shared" si="3"/>
        <v>173016.58</v>
      </c>
      <c r="D192" s="109">
        <f>91296.4-18532.5</f>
        <v>72763.899999999994</v>
      </c>
      <c r="E192" s="109">
        <v>5916.74</v>
      </c>
      <c r="F192" s="109">
        <v>11292.23</v>
      </c>
      <c r="G192" s="109">
        <v>245.45</v>
      </c>
      <c r="H192" s="109">
        <v>9278.4699999999993</v>
      </c>
      <c r="I192" s="109">
        <f>225.99+18532.5</f>
        <v>18758.490000000002</v>
      </c>
      <c r="J192" s="109">
        <v>8343</v>
      </c>
      <c r="K192" s="109">
        <v>16271.96</v>
      </c>
      <c r="L192" s="109">
        <v>8574.76</v>
      </c>
      <c r="M192" s="109">
        <v>14555.65</v>
      </c>
      <c r="N192" s="109"/>
      <c r="O192" s="109">
        <v>3023.43</v>
      </c>
      <c r="P192" s="121">
        <v>3992.5</v>
      </c>
    </row>
    <row r="193" spans="1:16" s="92" customFormat="1" x14ac:dyDescent="0.3">
      <c r="A193" s="146"/>
      <c r="B193" s="94">
        <v>44075</v>
      </c>
      <c r="C193" s="92">
        <f t="shared" si="3"/>
        <v>215982.78</v>
      </c>
      <c r="D193" s="110">
        <v>92256.11</v>
      </c>
      <c r="E193" s="110">
        <v>5893.09</v>
      </c>
      <c r="F193" s="110">
        <v>8643.74</v>
      </c>
      <c r="G193" s="110">
        <v>1212.69</v>
      </c>
      <c r="H193" s="110">
        <v>17688.98</v>
      </c>
      <c r="I193" s="110">
        <v>28092.400000000001</v>
      </c>
      <c r="J193" s="110">
        <v>8296.6</v>
      </c>
      <c r="K193" s="110">
        <v>30132.71</v>
      </c>
      <c r="L193" s="110">
        <v>13896.94</v>
      </c>
      <c r="M193" s="110">
        <v>8338.36</v>
      </c>
      <c r="N193" s="110">
        <v>0</v>
      </c>
      <c r="O193" s="110">
        <v>564.16</v>
      </c>
      <c r="P193" s="122">
        <v>967</v>
      </c>
    </row>
    <row r="194" spans="1:16" x14ac:dyDescent="0.3">
      <c r="A194" s="146"/>
      <c r="B194" s="94">
        <v>44105</v>
      </c>
      <c r="C194" s="92">
        <f t="shared" si="3"/>
        <v>166404.41999999995</v>
      </c>
      <c r="D194" s="110">
        <v>70292.97</v>
      </c>
      <c r="E194" s="110">
        <v>6278.51</v>
      </c>
      <c r="F194" s="110">
        <v>18023.830000000002</v>
      </c>
      <c r="G194" s="110">
        <v>612.47</v>
      </c>
      <c r="H194" s="110">
        <v>6198.13</v>
      </c>
      <c r="I194" s="110">
        <v>22886.46</v>
      </c>
      <c r="J194" s="110">
        <v>6484.86</v>
      </c>
      <c r="K194" s="110">
        <v>18780.939999999999</v>
      </c>
      <c r="L194" s="110">
        <v>9240.36</v>
      </c>
      <c r="M194" s="110">
        <v>5561.37</v>
      </c>
      <c r="N194" s="110">
        <v>339.94</v>
      </c>
      <c r="O194" s="111">
        <v>1181.58</v>
      </c>
      <c r="P194" s="122">
        <v>523</v>
      </c>
    </row>
    <row r="195" spans="1:16" x14ac:dyDescent="0.3">
      <c r="A195" s="146"/>
      <c r="B195" s="94">
        <v>44136</v>
      </c>
      <c r="C195" s="105">
        <f>SUM(D195:P195)</f>
        <v>126540.33000000002</v>
      </c>
      <c r="D195" s="110">
        <v>41286.82</v>
      </c>
      <c r="E195" s="110">
        <v>1337.49</v>
      </c>
      <c r="F195" s="110">
        <v>17638.650000000001</v>
      </c>
      <c r="G195" s="110">
        <v>1391.89</v>
      </c>
      <c r="H195" s="110">
        <v>2671.69</v>
      </c>
      <c r="I195" s="110">
        <v>12808.87</v>
      </c>
      <c r="J195" s="110">
        <v>6076.45</v>
      </c>
      <c r="K195" s="110">
        <v>31820.16</v>
      </c>
      <c r="L195" s="110">
        <v>7984.35</v>
      </c>
      <c r="M195" s="110">
        <v>5367.5</v>
      </c>
      <c r="N195" s="110"/>
      <c r="O195" s="110">
        <v>3417.49</v>
      </c>
      <c r="P195" s="122">
        <v>-5261.03</v>
      </c>
    </row>
    <row r="196" spans="1:16" x14ac:dyDescent="0.3">
      <c r="A196" s="146"/>
      <c r="B196" s="94">
        <v>44166</v>
      </c>
      <c r="C196" s="105">
        <f t="shared" si="3"/>
        <v>143768.16999999998</v>
      </c>
      <c r="D196" s="110">
        <v>37636.199999999997</v>
      </c>
      <c r="E196" s="110">
        <v>3111.67</v>
      </c>
      <c r="F196" s="110">
        <v>13429.48</v>
      </c>
      <c r="G196" s="110">
        <v>798.33</v>
      </c>
      <c r="H196" s="110">
        <v>6868.86</v>
      </c>
      <c r="I196" s="110">
        <v>22758.71</v>
      </c>
      <c r="J196" s="110">
        <v>15947</v>
      </c>
      <c r="K196" s="110">
        <v>29629.68</v>
      </c>
      <c r="L196" s="110">
        <v>8514.3799999999992</v>
      </c>
      <c r="M196" s="110">
        <v>-361.2</v>
      </c>
      <c r="N196" s="110"/>
      <c r="O196" s="110">
        <v>2236.4899999999998</v>
      </c>
      <c r="P196" s="122">
        <v>3198.57</v>
      </c>
    </row>
    <row r="197" spans="1:16" x14ac:dyDescent="0.3">
      <c r="A197" s="146"/>
      <c r="B197" s="94">
        <v>44197</v>
      </c>
      <c r="C197" s="105">
        <f t="shared" si="3"/>
        <v>132602.57</v>
      </c>
      <c r="D197" s="105">
        <v>49338.219999999994</v>
      </c>
      <c r="E197" s="105">
        <v>4906.29</v>
      </c>
      <c r="F197" s="105">
        <v>5177.87</v>
      </c>
      <c r="G197" s="105">
        <v>258.51</v>
      </c>
      <c r="H197" s="105">
        <v>13378.96</v>
      </c>
      <c r="I197" s="105">
        <v>10098.41</v>
      </c>
      <c r="J197" s="105">
        <v>15311.55</v>
      </c>
      <c r="K197" s="105">
        <v>26935.11</v>
      </c>
      <c r="L197" s="105">
        <v>5708.44</v>
      </c>
      <c r="M197" s="105">
        <v>-1383.49</v>
      </c>
      <c r="N197" s="105"/>
      <c r="O197" s="105">
        <v>954</v>
      </c>
      <c r="P197" s="119">
        <v>1918.7</v>
      </c>
    </row>
    <row r="198" spans="1:16" x14ac:dyDescent="0.3">
      <c r="A198" s="146"/>
      <c r="B198" s="94">
        <v>44228</v>
      </c>
      <c r="C198" s="105">
        <f t="shared" ref="C198:C204" si="4">SUM(D198:P198)</f>
        <v>155747.90999999997</v>
      </c>
      <c r="D198" s="110">
        <v>70670.009999999995</v>
      </c>
      <c r="E198" s="110">
        <v>5893.75</v>
      </c>
      <c r="F198" s="110">
        <v>10552.5</v>
      </c>
      <c r="G198" s="110">
        <v>2208.39</v>
      </c>
      <c r="H198" s="110">
        <v>7285.68</v>
      </c>
      <c r="I198" s="110">
        <v>8551.93</v>
      </c>
      <c r="J198" s="110">
        <v>3733.83</v>
      </c>
      <c r="K198" s="110">
        <v>24380.68</v>
      </c>
      <c r="L198" s="110">
        <v>13697.53</v>
      </c>
      <c r="M198" s="110">
        <v>5659.53</v>
      </c>
      <c r="N198" s="110"/>
      <c r="O198" s="110">
        <v>2569.08</v>
      </c>
      <c r="P198" s="122">
        <v>545</v>
      </c>
    </row>
    <row r="199" spans="1:16" x14ac:dyDescent="0.3">
      <c r="A199" s="146"/>
      <c r="B199" s="94">
        <v>44256</v>
      </c>
      <c r="C199" s="105">
        <f t="shared" si="4"/>
        <v>185947.08000000002</v>
      </c>
      <c r="D199" s="110">
        <v>76917.22</v>
      </c>
      <c r="E199" s="110">
        <v>8186.38</v>
      </c>
      <c r="F199" s="110">
        <v>8314.27</v>
      </c>
      <c r="G199" s="110">
        <v>990.74</v>
      </c>
      <c r="H199" s="110">
        <v>9499.7000000000007</v>
      </c>
      <c r="I199" s="110">
        <v>9476.02</v>
      </c>
      <c r="J199" s="110">
        <v>5867.4</v>
      </c>
      <c r="K199" s="110">
        <v>34720.410000000003</v>
      </c>
      <c r="L199" s="110">
        <v>14123.93</v>
      </c>
      <c r="M199" s="110">
        <v>13978.78</v>
      </c>
      <c r="N199" s="110"/>
      <c r="O199" s="110">
        <v>2483.48</v>
      </c>
      <c r="P199" s="110">
        <v>1388.75</v>
      </c>
    </row>
    <row r="200" spans="1:16" x14ac:dyDescent="0.3">
      <c r="A200" s="146"/>
      <c r="B200" s="94">
        <v>44287</v>
      </c>
      <c r="C200" s="105">
        <f t="shared" si="4"/>
        <v>213059.71000000002</v>
      </c>
      <c r="D200" s="110">
        <v>44744.75</v>
      </c>
      <c r="E200" s="110">
        <v>8896.1200000000008</v>
      </c>
      <c r="F200" s="110">
        <v>12289.01</v>
      </c>
      <c r="G200" s="110">
        <v>1828.16</v>
      </c>
      <c r="H200" s="110">
        <v>6553.75</v>
      </c>
      <c r="I200" s="110">
        <v>44842.06</v>
      </c>
      <c r="J200" s="110">
        <v>4741.8</v>
      </c>
      <c r="K200" s="110">
        <v>34156.44</v>
      </c>
      <c r="L200" s="110">
        <v>7595.17</v>
      </c>
      <c r="M200" s="110">
        <v>33323.06</v>
      </c>
      <c r="N200" s="110"/>
      <c r="O200" s="110">
        <v>12639.39</v>
      </c>
      <c r="P200" s="110">
        <v>1450</v>
      </c>
    </row>
    <row r="201" spans="1:16" x14ac:dyDescent="0.3">
      <c r="A201" s="146"/>
      <c r="B201" s="94">
        <v>44317</v>
      </c>
      <c r="C201" s="105">
        <f t="shared" si="4"/>
        <v>130891.80999999998</v>
      </c>
      <c r="D201" s="110">
        <v>40117.31</v>
      </c>
      <c r="E201" s="110">
        <v>9899.76</v>
      </c>
      <c r="F201" s="110">
        <v>3834.24</v>
      </c>
      <c r="G201" s="110">
        <v>284.42</v>
      </c>
      <c r="H201" s="110">
        <v>10865.89</v>
      </c>
      <c r="I201" s="110">
        <v>22900.38</v>
      </c>
      <c r="J201" s="110">
        <v>5940.7</v>
      </c>
      <c r="K201" s="110">
        <v>19998.64</v>
      </c>
      <c r="L201" s="110">
        <v>7597.04</v>
      </c>
      <c r="M201" s="110">
        <v>1075.6199999999999</v>
      </c>
      <c r="N201" s="110"/>
      <c r="O201" s="110">
        <v>7585.31</v>
      </c>
      <c r="P201" s="110">
        <v>792.5</v>
      </c>
    </row>
    <row r="202" spans="1:16" x14ac:dyDescent="0.3">
      <c r="A202" s="146"/>
      <c r="B202" s="94">
        <v>44348</v>
      </c>
      <c r="C202" s="105">
        <f t="shared" si="4"/>
        <v>213577.72</v>
      </c>
      <c r="D202" s="110">
        <v>69996.509999999995</v>
      </c>
      <c r="E202" s="110">
        <v>9465.5400000000009</v>
      </c>
      <c r="F202" s="110">
        <v>11980.41</v>
      </c>
      <c r="G202" s="110">
        <v>1759.9</v>
      </c>
      <c r="H202" s="110">
        <v>23997.98</v>
      </c>
      <c r="I202" s="110">
        <v>22430.68</v>
      </c>
      <c r="J202" s="110">
        <v>13342.8</v>
      </c>
      <c r="K202" s="110">
        <v>38779.300000000003</v>
      </c>
      <c r="L202" s="110">
        <v>9619.5499999999993</v>
      </c>
      <c r="M202" s="110">
        <v>8536.4499999999971</v>
      </c>
      <c r="N202" s="110"/>
      <c r="O202" s="110">
        <v>2506.1000000000035</v>
      </c>
      <c r="P202" s="110">
        <v>1162.5</v>
      </c>
    </row>
    <row r="203" spans="1:16" x14ac:dyDescent="0.3">
      <c r="A203" s="146"/>
      <c r="B203" s="94">
        <v>44378</v>
      </c>
      <c r="C203" s="105">
        <f t="shared" si="4"/>
        <v>135727.06999999998</v>
      </c>
      <c r="D203" s="110">
        <v>30842.93</v>
      </c>
      <c r="E203" s="110">
        <v>10223.6</v>
      </c>
      <c r="F203" s="110">
        <v>6784.7</v>
      </c>
      <c r="G203" s="110">
        <v>1260.42</v>
      </c>
      <c r="H203" s="110">
        <v>12463.57</v>
      </c>
      <c r="I203" s="110">
        <v>12844.94</v>
      </c>
      <c r="J203" s="110">
        <v>17254.72</v>
      </c>
      <c r="K203" s="110">
        <v>26037.66</v>
      </c>
      <c r="L203" s="110">
        <v>5464.12</v>
      </c>
      <c r="M203" s="110">
        <v>9893.32</v>
      </c>
      <c r="N203" s="110"/>
      <c r="O203" s="110">
        <v>1099.3399999999999</v>
      </c>
      <c r="P203" s="110">
        <v>1557.75</v>
      </c>
    </row>
    <row r="204" spans="1:16" x14ac:dyDescent="0.3">
      <c r="A204" s="146"/>
      <c r="B204" s="94">
        <v>44409</v>
      </c>
      <c r="C204" s="105">
        <f t="shared" si="4"/>
        <v>184205.23</v>
      </c>
      <c r="D204" s="110">
        <v>59839.6</v>
      </c>
      <c r="E204" s="110">
        <v>5242.26</v>
      </c>
      <c r="F204" s="110">
        <v>4094.92</v>
      </c>
      <c r="G204" s="110">
        <v>23691.38</v>
      </c>
      <c r="H204" s="110">
        <v>23691.38</v>
      </c>
      <c r="I204" s="110">
        <v>25916.38</v>
      </c>
      <c r="J204" s="110">
        <v>4058</v>
      </c>
      <c r="K204" s="110">
        <v>16973.900000000001</v>
      </c>
      <c r="L204" s="110">
        <v>7442.63</v>
      </c>
      <c r="M204" s="110">
        <v>11838.86</v>
      </c>
      <c r="N204" s="110"/>
      <c r="O204" s="110">
        <v>452.92</v>
      </c>
      <c r="P204" s="110">
        <v>963</v>
      </c>
    </row>
    <row r="205" spans="1:16" x14ac:dyDescent="0.3">
      <c r="A205" s="146"/>
      <c r="B205" s="94">
        <v>44440</v>
      </c>
      <c r="C205" s="105">
        <f t="shared" ref="C205:C210" si="5">SUM(D205:P205)</f>
        <v>215998.43</v>
      </c>
      <c r="D205" s="105">
        <f>GETPIVOTDATA("CA",[1]Feuil1!$A$1,"Agence","Colombes","Catégorie","Petit Format Couleur")</f>
        <v>76106.759999999995</v>
      </c>
      <c r="E205" s="105">
        <f>GETPIVOTDATA("CA",[1]Feuil1!$A$1,"Agence","Colombes","Catégorie","Petit Format N&amp;B")</f>
        <v>15250.68</v>
      </c>
      <c r="F205" s="105">
        <f>GETPIVOTDATA("CA",[1]Feuil1!$A$1,"Agence","Colombes","Catégorie","Grand Format Couleur")</f>
        <v>8563.65</v>
      </c>
      <c r="G205" s="105">
        <f>GETPIVOTDATA("CA",[1]Feuil1!$A$1,"Agence","Colombes","Catégorie","Grand Format n&amp;b")</f>
        <v>5669.35</v>
      </c>
      <c r="H205" s="105">
        <f>GETPIVOTDATA("CA",[1]Feuil1!$A$1,"Agence","Colombes","Catégorie","imagerie")</f>
        <v>15223.9</v>
      </c>
      <c r="I205" s="105">
        <f>GETPIVOTDATA("CA",[1]Feuil1!$A$1,"Agence","Colombes","Catégorie","Numérisation")</f>
        <v>28396.59</v>
      </c>
      <c r="J205" s="105">
        <f>GETPIVOTDATA("CA",[1]Feuil1!$A$1,"Agence","Colombes","Catégorie","Sous Traitance")</f>
        <v>4557</v>
      </c>
      <c r="K205" s="105">
        <f>GETPIVOTDATA("CA",[1]Feuil1!$A$1,"Agence","Colombes","Catégorie","finition")</f>
        <v>40344.25</v>
      </c>
      <c r="L205" s="105">
        <f>GETPIVOTDATA("CA",[1]Feuil1!$A$1,"Agence","Colombes","Catégorie","Livraison")</f>
        <v>7768.4</v>
      </c>
      <c r="M205" s="105">
        <f>GETPIVOTDATA("CA",[1]Feuil1!$A$1,"Agence","Colombes","Catégorie","divers")</f>
        <v>9665.24</v>
      </c>
      <c r="N205" s="105">
        <f>GETPIVOTDATA("CA",[1]Feuil1!$A$1,"Agence","Colombes","Catégorie","Cross Media")</f>
        <v>0</v>
      </c>
      <c r="O205" s="105">
        <f>GETPIVOTDATA("CA",[1]Feuil1!$A$1,"Agence","Colombes","Catégorie","affranchissement")</f>
        <v>2068.16</v>
      </c>
      <c r="P205" s="105">
        <f>GETPIVOTDATA("CA",[1]Feuil1!$A$1,"Agence","Colombes","Catégorie","STUDIO GRAPHIQUE")</f>
        <v>2384.4499999999998</v>
      </c>
    </row>
    <row r="206" spans="1:16" x14ac:dyDescent="0.3">
      <c r="A206" s="146"/>
      <c r="B206" s="94">
        <v>44470</v>
      </c>
      <c r="C206" s="105">
        <f t="shared" si="5"/>
        <v>187115.68000000002</v>
      </c>
      <c r="D206" s="105">
        <f>GETPIVOTDATA("CA",[2]Feuil1!$A$1,"Agence","Colombes","Catégorie","Petit Format Couleur")</f>
        <v>54349.63</v>
      </c>
      <c r="E206" s="105">
        <f>GETPIVOTDATA("CA",[2]Feuil1!$A$1,"Agence","Colombes","Catégorie","Petit Format N&amp;B")</f>
        <v>12723.4</v>
      </c>
      <c r="F206" s="105">
        <f>GETPIVOTDATA("CA",[2]Feuil1!$A$1,"Agence","Colombes","Catégorie","Grand Format Couleur")</f>
        <v>16700.03</v>
      </c>
      <c r="G206" s="105">
        <f>GETPIVOTDATA("CA",[2]Feuil1!$A$1,"Agence","Colombes","Catégorie","Grand Format n&amp;b")</f>
        <v>920.3</v>
      </c>
      <c r="H206" s="105">
        <f>GETPIVOTDATA("CA",[2]Feuil1!$A$1,"Agence","Colombes","Catégorie","imagerie")</f>
        <v>19233.12</v>
      </c>
      <c r="I206" s="105">
        <f>GETPIVOTDATA("CA",[2]Feuil1!$A$1,"Agence","Colombes","Catégorie","Numérisation")</f>
        <v>15268.46</v>
      </c>
      <c r="J206" s="105">
        <f>GETPIVOTDATA("CA",[2]Feuil1!$A$1,"Agence","Colombes","Catégorie","Sous Traitance")</f>
        <v>11926</v>
      </c>
      <c r="K206" s="105">
        <f>GETPIVOTDATA("CA",[2]Feuil1!$A$1,"Agence","Colombes","Catégorie","finition")</f>
        <v>36532.51</v>
      </c>
      <c r="L206" s="105">
        <f>GETPIVOTDATA("CA",[2]Feuil1!$A$1,"Agence","Colombes","Catégorie","Livraison")</f>
        <v>9789.77</v>
      </c>
      <c r="M206" s="105">
        <f>GETPIVOTDATA("CA",[2]Feuil1!$A$1,"Agence","Colombes","Catégorie","divers")</f>
        <v>3054.1699999999996</v>
      </c>
      <c r="N206" s="105">
        <f>GETPIVOTDATA("CA",[2]Feuil1!$A$1,"Agence","Colombes","Catégorie","Cross Media")</f>
        <v>0</v>
      </c>
      <c r="O206" s="105">
        <f>GETPIVOTDATA("CA",[2]Feuil1!$A$1,"Agence","Colombes","Catégorie","affranchissement")</f>
        <v>2760.79</v>
      </c>
      <c r="P206" s="105">
        <f>GETPIVOTDATA("CA",[2]Feuil1!$A$1,"Agence","Colombes","Catégorie","STUDIO GRAPHIQUE")</f>
        <v>3857.5</v>
      </c>
    </row>
    <row r="207" spans="1:16" x14ac:dyDescent="0.3">
      <c r="A207" s="146"/>
      <c r="B207" s="94">
        <v>44501</v>
      </c>
      <c r="C207" s="105">
        <f t="shared" si="5"/>
        <v>176904.38</v>
      </c>
      <c r="D207" s="110">
        <f>GETPIVOTDATA("CA",[3]Feuil1!$A$1,"Agence","Colombes","Catégorie","Petit Format Couleur")</f>
        <v>72916.23000000001</v>
      </c>
      <c r="E207" s="110">
        <f>GETPIVOTDATA("CA",[3]Feuil1!$A$1,"Agence","Colombes","Catégorie","Petit Format N&amp;B")</f>
        <v>5877.45</v>
      </c>
      <c r="F207" s="110">
        <f>GETPIVOTDATA("CA",[3]Feuil1!$A$1,"Agence","Colombes","Catégorie","Grand Format Couleur")</f>
        <v>9042.32</v>
      </c>
      <c r="G207" s="110">
        <f>GETPIVOTDATA("CA",[3]Feuil1!$A$1,"Agence","Colombes","Catégorie","Grand Format n&amp;b")</f>
        <v>267.45999999999998</v>
      </c>
      <c r="H207" s="110">
        <f>GETPIVOTDATA("CA",[3]Feuil1!$A$1,"Agence","Colombes","Catégorie","imagerie")</f>
        <v>11117.24</v>
      </c>
      <c r="I207" s="110">
        <f>GETPIVOTDATA("CA",[3]Feuil1!$A$1,"Agence","Colombes","Catégorie","Numérisation")</f>
        <v>16705.490000000002</v>
      </c>
      <c r="J207" s="110">
        <f>GETPIVOTDATA("CA",[3]Feuil1!$A$1,"Agence","Colombes","Catégorie","Sous Traitance")</f>
        <v>7363</v>
      </c>
      <c r="K207" s="110">
        <f>GETPIVOTDATA("CA",[3]Feuil1!$A$1,"Agence","Colombes","Catégorie","finition")</f>
        <v>36075.51</v>
      </c>
      <c r="L207" s="110">
        <f>GETPIVOTDATA("CA",[3]Feuil1!$A$1,"Agence","Colombes","Catégorie","Livraison")</f>
        <v>8059.58</v>
      </c>
      <c r="M207" s="110">
        <f>GETPIVOTDATA("CA",[3]Feuil1!$A$1,"Agence","Colombes","Catégorie","divers")</f>
        <v>7541.35</v>
      </c>
      <c r="N207" s="110">
        <f>GETPIVOTDATA("CA",[3]Feuil1!$A$1,"Agence","Colombes","Catégorie","Cross Media")</f>
        <v>0</v>
      </c>
      <c r="O207" s="110">
        <f>GETPIVOTDATA("CA",[3]Feuil1!$A$1,"Agence","Colombes","Catégorie","affranchissement")</f>
        <v>1517</v>
      </c>
      <c r="P207" s="122">
        <f>GETPIVOTDATA("CA",[3]Feuil1!$A$1,"Agence","Colombes","Catégorie","STUDIO GRAPHIQUE")</f>
        <v>421.75</v>
      </c>
    </row>
    <row r="208" spans="1:16" x14ac:dyDescent="0.3">
      <c r="A208" s="146"/>
      <c r="B208" s="94">
        <v>44531</v>
      </c>
      <c r="C208" s="105">
        <f t="shared" si="5"/>
        <v>196973.33000000002</v>
      </c>
      <c r="D208" s="110">
        <f>GETPIVOTDATA("CA",[4]Feuil1!$A$1,"Agence","Colombes","Catégorie","Petit Format Couleur")</f>
        <v>77419.66</v>
      </c>
      <c r="E208" s="110">
        <f>GETPIVOTDATA("CA",[4]Feuil1!$A$1,"Agence","Colombes","Catégorie","Petit Format N&amp;B")</f>
        <v>9891.7900000000009</v>
      </c>
      <c r="F208" s="110">
        <f>GETPIVOTDATA("CA",[4]Feuil1!$A$1,"Agence","Colombes","Catégorie","Grand Format Couleur")</f>
        <v>7961.08</v>
      </c>
      <c r="G208" s="110">
        <f>GETPIVOTDATA("CA",[4]Feuil1!$A$1,"Agence","Colombes","Catégorie","Grand Format n&amp;b")</f>
        <v>322.3</v>
      </c>
      <c r="H208" s="110">
        <f>GETPIVOTDATA("CA",[4]Feuil1!$A$1,"Agence","Colombes","Catégorie","imagerie")</f>
        <v>8230.24</v>
      </c>
      <c r="I208" s="110">
        <f>GETPIVOTDATA("CA",[4]Feuil1!$A$1,"Agence","Colombes","Catégorie","Numérisation")</f>
        <v>25729.51</v>
      </c>
      <c r="J208" s="110">
        <f>GETPIVOTDATA("CA",[4]Feuil1!$A$1,"Agence","Colombes","Catégorie","Sous Traitance")</f>
        <v>13144.08</v>
      </c>
      <c r="K208" s="110">
        <f>GETPIVOTDATA("CA",[4]Feuil1!$A$1,"Agence","Colombes","Catégorie","finition")</f>
        <v>30018.799999999999</v>
      </c>
      <c r="L208" s="110">
        <f>GETPIVOTDATA("CA",[4]Feuil1!$A$1,"Agence","Colombes","Catégorie","Livraison")</f>
        <v>6424.48</v>
      </c>
      <c r="M208" s="110">
        <f>GETPIVOTDATA("CA",[4]Feuil1!$A$1,"Agence","Colombes","Catégorie","divers")</f>
        <v>13906.95</v>
      </c>
      <c r="N208" s="110">
        <f>GETPIVOTDATA("CA",[4]Feuil1!$A$1,"Agence","Colombes","Catégorie","Cross Media")</f>
        <v>0</v>
      </c>
      <c r="O208" s="110">
        <f>GETPIVOTDATA("CA",[4]Feuil1!$A$1,"Agence","Colombes","Catégorie","affranchissement")</f>
        <v>1543.44</v>
      </c>
      <c r="P208" s="122">
        <f>GETPIVOTDATA("CA",[4]Feuil1!$A$1,"Agence","Colombes","Catégorie","STUDIO GRAPHIQUE")</f>
        <v>2381</v>
      </c>
    </row>
    <row r="209" spans="1:16" x14ac:dyDescent="0.3">
      <c r="A209" s="146"/>
      <c r="B209" s="94">
        <v>44562</v>
      </c>
      <c r="C209" s="105">
        <f t="shared" si="5"/>
        <v>245057.19</v>
      </c>
      <c r="D209" s="110">
        <f>GETPIVOTDATA("CA",[5]Feuil1!$A$1,"Agence","Colombes","Catégorie","Petit Format Couleur")</f>
        <v>85345.19</v>
      </c>
      <c r="E209" s="110">
        <f>GETPIVOTDATA("CA",[5]Feuil1!$A$1,"Agence","Colombes","Catégorie","Petit Format N&amp;B")</f>
        <v>7609.59</v>
      </c>
      <c r="F209" s="110">
        <f>GETPIVOTDATA("CA",[5]Feuil1!$A$1,"Agence","Colombes","Catégorie","Grand Format Couleur")</f>
        <v>7560.61</v>
      </c>
      <c r="G209" s="110">
        <f>GETPIVOTDATA("CA",[5]Feuil1!$A$1,"Agence","Colombes","Catégorie","Grand Format n&amp;b")</f>
        <v>362.14</v>
      </c>
      <c r="H209" s="110">
        <f>GETPIVOTDATA("CA",[5]Feuil1!$A$1,"Agence","Colombes","Catégorie","imagerie")</f>
        <v>21597.54</v>
      </c>
      <c r="I209" s="110">
        <f>GETPIVOTDATA("CA",[5]Feuil1!$A$1,"Agence","Colombes","Catégorie","Numérisation")</f>
        <v>39668.870000000003</v>
      </c>
      <c r="J209" s="110">
        <f>GETPIVOTDATA("CA",[5]Feuil1!$A$1,"Agence","Colombes","Catégorie","Sous Traitance")</f>
        <v>27670</v>
      </c>
      <c r="K209" s="110">
        <f>GETPIVOTDATA("CA",[5]Feuil1!$A$1,"Agence","Colombes","Catégorie","finition")</f>
        <v>40125.46</v>
      </c>
      <c r="L209" s="110">
        <f>GETPIVOTDATA("CA",[5]Feuil1!$A$1,"Agence","Colombes","Catégorie","Livraison")</f>
        <v>6955.96</v>
      </c>
      <c r="M209" s="110">
        <f>GETPIVOTDATA("CA",[5]Feuil1!$A$1,"Agence","Colombes","Catégorie","divers")</f>
        <v>-5603.06</v>
      </c>
      <c r="N209" s="110">
        <f>GETPIVOTDATA("CA",[5]Feuil1!$A$1,"Agence","Colombes","Catégorie","Cross Media")</f>
        <v>0</v>
      </c>
      <c r="O209" s="110">
        <f>GETPIVOTDATA("CA",[5]Feuil1!$A$1,"Agence","Colombes","Catégorie","affranchissement")</f>
        <v>12596.89</v>
      </c>
      <c r="P209" s="122">
        <f>GETPIVOTDATA("CA",[5]Feuil1!$A$1,"Agence","Colombes","Catégorie","STUDIO GRAPHIQUE")</f>
        <v>1168</v>
      </c>
    </row>
    <row r="210" spans="1:16" x14ac:dyDescent="0.3">
      <c r="A210" s="146"/>
      <c r="B210" s="94">
        <v>44593</v>
      </c>
      <c r="C210" s="105">
        <f t="shared" si="5"/>
        <v>164384.26</v>
      </c>
      <c r="D210" s="110">
        <f>GETPIVOTDATA("CA",[6]Feuil1!$A$1,"Agence","Colombes","Catégorie","Petit Format Couleur")</f>
        <v>50851.23</v>
      </c>
      <c r="E210" s="110">
        <f>GETPIVOTDATA("CA",[6]Feuil1!$A$1,"Agence","Colombes","Catégorie","Petit Format N&amp;B")</f>
        <v>4353.3900000000003</v>
      </c>
      <c r="F210" s="110">
        <f>GETPIVOTDATA("CA",[6]Feuil1!$A$1,"Agence","Colombes","Catégorie","Grand Format Couleur")</f>
        <v>16917.669999999998</v>
      </c>
      <c r="G210" s="110">
        <f>GETPIVOTDATA("CA",[6]Feuil1!$A$1,"Agence","Colombes","Catégorie","Grand Format n&amp;b")</f>
        <v>164.43</v>
      </c>
      <c r="H210" s="110">
        <f>GETPIVOTDATA("CA",[6]Feuil1!$A$1,"Agence","Colombes","Catégorie","imagerie")</f>
        <v>5256.68</v>
      </c>
      <c r="I210" s="110">
        <f>GETPIVOTDATA("CA",[6]Feuil1!$A$1,"Agence","Colombes","Catégorie","Numérisation")</f>
        <v>33023.03</v>
      </c>
      <c r="J210" s="110">
        <f>GETPIVOTDATA("CA",[6]Feuil1!$A$1,"Agence","Colombes","Catégorie","Sous Traitance")</f>
        <v>13249</v>
      </c>
      <c r="K210" s="110">
        <f>GETPIVOTDATA("CA",[6]Feuil1!$A$1,"Agence","Colombes","Catégorie","finition")</f>
        <v>28991.18</v>
      </c>
      <c r="L210" s="110">
        <f>GETPIVOTDATA("CA",[6]Feuil1!$A$1,"Agence","Colombes","Catégorie","Livraison")</f>
        <v>4927.67</v>
      </c>
      <c r="M210" s="110">
        <f>GETPIVOTDATA("CA",[6]Feuil1!$A$1,"Agence","Colombes","Catégorie","divers")</f>
        <v>2443.5300000000002</v>
      </c>
      <c r="N210" s="110">
        <f>GETPIVOTDATA("CA",[6]Feuil1!$A$1,"Agence","Colombes","Catégorie","Cross Media")</f>
        <v>0</v>
      </c>
      <c r="O210" s="110">
        <f>GETPIVOTDATA("CA",[6]Feuil1!$A$1,"Agence","Colombes","Catégorie","affranchissement")</f>
        <v>2805.45</v>
      </c>
      <c r="P210" s="122">
        <f>GETPIVOTDATA("CA",[6]Feuil1!$A$1,"Agence","Colombes","Catégorie","STUDIO GRAPHIQUE")</f>
        <v>1401</v>
      </c>
    </row>
    <row r="211" spans="1:16" x14ac:dyDescent="0.3">
      <c r="A211" s="146"/>
      <c r="B211" s="94">
        <v>44621</v>
      </c>
      <c r="C211" s="105">
        <f>SUM(D211:P211)</f>
        <v>205833.35</v>
      </c>
      <c r="D211" s="110">
        <f>GETPIVOTDATA("Montant",[7]Feuil1!$A$1,"Agence","Colombes","Catégorie","Petit Format Couleur")</f>
        <v>85602.05</v>
      </c>
      <c r="E211" s="110">
        <f>GETPIVOTDATA("Montant",[7]Feuil1!$A$1,"Agence","Colombes","Catégorie","Petit Format N&amp;B")</f>
        <v>3451.3</v>
      </c>
      <c r="F211" s="110">
        <f>GETPIVOTDATA("Montant",[7]Feuil1!$A$1,"Agence","Colombes","Catégorie","Grand Format Couleur")</f>
        <v>7777.36</v>
      </c>
      <c r="G211" s="110">
        <f>GETPIVOTDATA("Montant",[7]Feuil1!$A$1,"Agence","Colombes","Catégorie","Grand Format n&amp;b")</f>
        <v>133.91</v>
      </c>
      <c r="H211" s="110">
        <f>GETPIVOTDATA("Montant",[7]Feuil1!$A$1,"Agence","Colombes","Catégorie","imagerie")</f>
        <v>13007.26</v>
      </c>
      <c r="I211" s="110">
        <f>GETPIVOTDATA("Montant",[7]Feuil1!$A$1,"Agence","Colombes","Catégorie","Numérisation")</f>
        <v>21144.33</v>
      </c>
      <c r="J211" s="110">
        <f>GETPIVOTDATA("Montant",[7]Feuil1!$A$1,"Agence","Colombes","Catégorie","Sous Traitance")</f>
        <v>7855</v>
      </c>
      <c r="K211" s="110">
        <f>GETPIVOTDATA("Montant",[7]Feuil1!$A$1,"Agence","Colombes","Catégorie","finition")</f>
        <v>35473.07</v>
      </c>
      <c r="L211" s="110">
        <f>GETPIVOTDATA("Montant",[7]Feuil1!$A$1,"Agence","Colombes","Catégorie","Livraison")</f>
        <v>9885.15</v>
      </c>
      <c r="M211" s="110">
        <f>GETPIVOTDATA("Montant",[7]Feuil1!$A$1,"Agence","Colombes","Catégorie","divers")</f>
        <v>4586.3</v>
      </c>
      <c r="N211" s="110">
        <f>GETPIVOTDATA("Montant",[7]Feuil1!$A$1,"Agence","Colombes","Catégorie","Cross Media")</f>
        <v>0</v>
      </c>
      <c r="O211" s="110">
        <f>GETPIVOTDATA("Montant",[7]Feuil1!$A$1,"Agence","Colombes","Catégorie","affranchissement")</f>
        <v>15150.62</v>
      </c>
      <c r="P211" s="122">
        <f>GETPIVOTDATA("Montant",[7]Feuil1!$A$1,"Agence","Colombes","Catégorie","STUDIO GRAPHIQUE")</f>
        <v>1767</v>
      </c>
    </row>
    <row r="212" spans="1:16" x14ac:dyDescent="0.3">
      <c r="A212" s="146"/>
      <c r="B212" s="94">
        <v>44652</v>
      </c>
      <c r="C212" s="105">
        <f>SUM(D212:P212)</f>
        <v>155687.16</v>
      </c>
      <c r="D212" s="110">
        <f>GETPIVOTDATA("CA",[8]Feuil1!$A$1,"Agence","Colombes","Catégorie","Petit Format Couleur")</f>
        <v>48862.42</v>
      </c>
      <c r="E212" s="110">
        <f>GETPIVOTDATA("CA",[8]Feuil1!$A$1,"Agence","Colombes","Catégorie","Petit Format N&amp;B")</f>
        <v>1832.11</v>
      </c>
      <c r="F212" s="110">
        <f>GETPIVOTDATA("CA",[8]Feuil1!$A$1,"Agence","Colombes","Catégorie","Grand Format Couleur")</f>
        <v>11964.75</v>
      </c>
      <c r="G212" s="110">
        <f>GETPIVOTDATA("CA",[8]Feuil1!$A$1,"Agence","Colombes","Catégorie","Grand Format n&amp;b")</f>
        <v>42.85</v>
      </c>
      <c r="H212" s="110">
        <f>GETPIVOTDATA("CA",[8]Feuil1!$A$1,"Agence","Colombes","Catégorie","imagerie")</f>
        <v>7647.95</v>
      </c>
      <c r="I212" s="110">
        <f>GETPIVOTDATA("CA",[8]Feuil1!$A$1,"Agence","Colombes","Catégorie","Numérisation")</f>
        <v>24874.71</v>
      </c>
      <c r="J212" s="110">
        <f>GETPIVOTDATA("CA",[8]Feuil1!$A$1,"Agence","Colombes","Catégorie","Sous Traitance")</f>
        <v>20098.78</v>
      </c>
      <c r="K212" s="110">
        <f>GETPIVOTDATA("CA",[8]Feuil1!$A$1,"Agence","Colombes","Catégorie","finition")</f>
        <v>24984.93</v>
      </c>
      <c r="L212" s="110">
        <f>GETPIVOTDATA("CA",[8]Feuil1!$A$1,"Agence","Colombes","Catégorie","Livraison")</f>
        <v>4649.1899999999996</v>
      </c>
      <c r="M212" s="110">
        <f>GETPIVOTDATA("CA",[8]Feuil1!$A$1,"Agence","Colombes","Catégorie","divers")</f>
        <v>3780</v>
      </c>
      <c r="N212" s="110">
        <v>0</v>
      </c>
      <c r="O212" s="110">
        <f>GETPIVOTDATA("CA",[8]Feuil1!$A$1,"Agence","Colombes","Catégorie","affranchissement")</f>
        <v>4636.82</v>
      </c>
      <c r="P212" s="122">
        <f>GETPIVOTDATA("CA",[8]Feuil1!$A$1,"Agence","Colombes","Catégorie","STUDIO GRAPHIQUE")</f>
        <v>2312.65</v>
      </c>
    </row>
    <row r="213" spans="1:16" x14ac:dyDescent="0.3">
      <c r="A213" s="146"/>
      <c r="B213" s="94">
        <v>44682</v>
      </c>
      <c r="C213" s="105">
        <f>SUM(D213:P213)</f>
        <v>180415.77</v>
      </c>
      <c r="D213" s="110">
        <f>GETPIVOTDATA("CA",[9]Feuil1!$A$1,"Agence","Colombes","Catégorie","Petit Format Couleur")</f>
        <v>63526.97</v>
      </c>
      <c r="E213" s="110">
        <f>GETPIVOTDATA("CA",[9]Feuil1!$A$1,"Agence","Colombes","Catégorie","Petit Format N&amp;B")</f>
        <v>-881.31</v>
      </c>
      <c r="F213" s="110">
        <f>GETPIVOTDATA("CA",[9]Feuil1!$A$1,"Agence","Colombes","Catégorie","Grand Format Couleur")</f>
        <v>13568.32</v>
      </c>
      <c r="G213" s="110">
        <f>GETPIVOTDATA("CA",[9]Feuil1!$A$1,"Agence","Colombes","Catégorie","Grand Format n&amp;b")</f>
        <v>242.17</v>
      </c>
      <c r="H213" s="110">
        <f>GETPIVOTDATA("CA",[9]Feuil1!$A$1,"Agence","Colombes","Catégorie","imagerie")</f>
        <v>11894.48</v>
      </c>
      <c r="I213" s="110">
        <f>GETPIVOTDATA("CA",[9]Feuil1!$A$1,"Agence","Colombes","Catégorie","Numérisation")</f>
        <v>28368.87</v>
      </c>
      <c r="J213" s="110">
        <f>GETPIVOTDATA("CA",[9]Feuil1!$A$1,"Agence","Colombes","Catégorie","Sous Traitance")</f>
        <v>12354.51</v>
      </c>
      <c r="K213" s="110">
        <f>GETPIVOTDATA("CA",[9]Feuil1!$A$1,"Agence","Colombes","Catégorie","finition")</f>
        <v>26601.25</v>
      </c>
      <c r="L213" s="110">
        <f>GETPIVOTDATA("CA",[9]Feuil1!$A$1,"Agence","Colombes","Catégorie","Livraison")</f>
        <v>6083.11</v>
      </c>
      <c r="M213" s="110">
        <f>GETPIVOTDATA("CA",[9]Feuil1!$A$1,"Agence","Colombes","Catégorie","divers")</f>
        <v>3953.53</v>
      </c>
      <c r="N213" s="110">
        <f>GETPIVOTDATA("CA",[9]Feuil1!$A$1,"Agence","Colombes","Catégorie","Cross Media")</f>
        <v>0</v>
      </c>
      <c r="O213" s="110">
        <f>GETPIVOTDATA("CA",[9]Feuil1!$A$1,"Agence","Colombes","Catégorie","affranchissement")</f>
        <v>12046.37</v>
      </c>
      <c r="P213" s="122">
        <f>GETPIVOTDATA("CA",[9]Feuil1!$A$1,"Agence","Colombes","Catégorie","STUDIO GRAPHIQUE")</f>
        <v>2657.5</v>
      </c>
    </row>
    <row r="214" spans="1:16" x14ac:dyDescent="0.3">
      <c r="A214" s="146"/>
      <c r="B214" s="94">
        <v>44713</v>
      </c>
      <c r="C214" s="105">
        <f>SUM(D214:P214)</f>
        <v>227732.31</v>
      </c>
      <c r="D214" s="110">
        <f>GETPIVOTDATA("Montant",[10]Feuil1!$A$1,"Agence","Colombes","Catégorie","Petit Format Couleur")</f>
        <v>91214.3</v>
      </c>
      <c r="E214" s="110">
        <f>GETPIVOTDATA("Montant",[10]Feuil1!$A$1,"Agence","Colombes","Catégorie","Petit Format N&amp;B")</f>
        <v>7069.22</v>
      </c>
      <c r="F214" s="110">
        <f>GETPIVOTDATA("Montant",[10]Feuil1!$A$1,"Agence","Colombes","Catégorie","Grand Format Couleur")</f>
        <v>10177.26</v>
      </c>
      <c r="G214" s="110">
        <f>GETPIVOTDATA("Montant",[10]Feuil1!$A$1,"Agence","Colombes","Catégorie","Grand Format n&amp;b")</f>
        <v>263.68</v>
      </c>
      <c r="H214" s="110">
        <f>GETPIVOTDATA("Montant",[10]Feuil1!$A$1,"Agence","Colombes","Catégorie","imagerie")</f>
        <v>22871.15</v>
      </c>
      <c r="I214" s="110">
        <f>GETPIVOTDATA("Montant",[10]Feuil1!$A$1,"Agence","Colombes","Catégorie","Numérisation")</f>
        <v>4159.62</v>
      </c>
      <c r="J214" s="110">
        <f>GETPIVOTDATA("Montant",[10]Feuil1!$A$1,"Agence","Colombes","Catégorie","Sous Traitance")</f>
        <v>19803.5</v>
      </c>
      <c r="K214" s="110">
        <f>GETPIVOTDATA("Montant",[10]Feuil1!$A$1,"Agence","Colombes","Catégorie","finition")</f>
        <v>40890.04</v>
      </c>
      <c r="L214" s="110">
        <f>GETPIVOTDATA("Montant",[10]Feuil1!$A$1,"Agence","Colombes","Catégorie","Livraison")</f>
        <v>7129.9</v>
      </c>
      <c r="M214" s="110">
        <f>GETPIVOTDATA("Montant",[10]Feuil1!$A$1,"Agence","Colombes","Catégorie","divers")</f>
        <v>4726.79</v>
      </c>
      <c r="N214" s="110">
        <f>GETPIVOTDATA("Montant",[10]Feuil1!$A$1,"Agence","Colombes","Catégorie","Cross Media")</f>
        <v>0</v>
      </c>
      <c r="O214" s="110">
        <f>GETPIVOTDATA("Montant",[10]Feuil1!$A$1,"Agence","Colombes","Catégorie","affranchissement")</f>
        <v>12786.95</v>
      </c>
      <c r="P214" s="122">
        <f>GETPIVOTDATA("Montant",[10]Feuil1!$A$1,"Agence","Colombes","Catégorie","STUDIO GRAPHIQUE")</f>
        <v>6639.9</v>
      </c>
    </row>
    <row r="215" spans="1:16" x14ac:dyDescent="0.3">
      <c r="A215" s="146"/>
      <c r="B215" s="94">
        <v>44743</v>
      </c>
      <c r="C215" s="105"/>
      <c r="D215" s="110"/>
      <c r="E215" s="110"/>
      <c r="F215" s="110"/>
      <c r="G215" s="110"/>
      <c r="H215" s="110"/>
      <c r="I215" s="110"/>
      <c r="J215" s="110"/>
      <c r="K215" s="110"/>
      <c r="L215" s="110"/>
      <c r="M215" s="110"/>
      <c r="N215" s="110"/>
      <c r="O215" s="110"/>
      <c r="P215" s="122"/>
    </row>
    <row r="216" spans="1:16" x14ac:dyDescent="0.3">
      <c r="A216" s="146"/>
      <c r="B216" s="94">
        <v>44774</v>
      </c>
      <c r="C216" s="105"/>
      <c r="D216" s="110"/>
      <c r="E216" s="110"/>
      <c r="F216" s="110"/>
      <c r="G216" s="110"/>
      <c r="H216" s="110"/>
      <c r="I216" s="110"/>
      <c r="J216" s="110"/>
      <c r="K216" s="110"/>
      <c r="L216" s="110"/>
      <c r="M216" s="110"/>
      <c r="N216" s="110"/>
      <c r="O216" s="110"/>
      <c r="P216" s="122"/>
    </row>
    <row r="217" spans="1:16" x14ac:dyDescent="0.3">
      <c r="A217" s="146"/>
      <c r="B217" s="94">
        <v>44805</v>
      </c>
      <c r="C217" s="105"/>
      <c r="D217" s="110"/>
      <c r="E217" s="110"/>
      <c r="F217" s="110"/>
      <c r="G217" s="110"/>
      <c r="H217" s="110"/>
      <c r="I217" s="110"/>
      <c r="J217" s="110"/>
      <c r="K217" s="110"/>
      <c r="L217" s="110"/>
      <c r="M217" s="110"/>
      <c r="N217" s="110"/>
      <c r="O217" s="110"/>
      <c r="P217" s="122"/>
    </row>
    <row r="218" spans="1:16" x14ac:dyDescent="0.3">
      <c r="A218" s="146"/>
      <c r="B218" s="94">
        <v>44835</v>
      </c>
      <c r="C218" s="105"/>
      <c r="D218" s="110"/>
      <c r="E218" s="110"/>
      <c r="F218" s="110"/>
      <c r="G218" s="110"/>
      <c r="H218" s="110"/>
      <c r="I218" s="110"/>
      <c r="J218" s="110"/>
      <c r="K218" s="110"/>
      <c r="L218" s="110"/>
      <c r="M218" s="110"/>
      <c r="N218" s="110"/>
      <c r="O218" s="110"/>
      <c r="P218" s="122"/>
    </row>
    <row r="219" spans="1:16" x14ac:dyDescent="0.3">
      <c r="A219" s="146"/>
      <c r="B219" s="94">
        <v>44866</v>
      </c>
      <c r="C219" s="105"/>
      <c r="D219" s="110"/>
      <c r="E219" s="110"/>
      <c r="F219" s="110"/>
      <c r="G219" s="110"/>
      <c r="H219" s="110"/>
      <c r="I219" s="110"/>
      <c r="J219" s="110"/>
      <c r="K219" s="110"/>
      <c r="L219" s="110"/>
      <c r="M219" s="110"/>
      <c r="N219" s="110"/>
      <c r="O219" s="110"/>
      <c r="P219" s="122"/>
    </row>
    <row r="220" spans="1:16" x14ac:dyDescent="0.3">
      <c r="A220" s="146"/>
      <c r="B220" s="94">
        <v>44896</v>
      </c>
      <c r="C220" s="105"/>
      <c r="D220" s="110"/>
      <c r="E220" s="110"/>
      <c r="F220" s="110"/>
      <c r="G220" s="110"/>
      <c r="H220" s="110"/>
      <c r="I220" s="110"/>
      <c r="J220" s="110"/>
      <c r="K220" s="110"/>
      <c r="L220" s="110"/>
      <c r="M220" s="110"/>
      <c r="N220" s="110"/>
      <c r="O220" s="110"/>
      <c r="P220" s="122"/>
    </row>
    <row r="221" spans="1:16" ht="15" thickBot="1" x14ac:dyDescent="0.35">
      <c r="A221" s="146"/>
      <c r="B221" s="94"/>
      <c r="C221" s="105"/>
      <c r="D221" s="110"/>
      <c r="E221" s="110"/>
      <c r="F221" s="110"/>
      <c r="G221" s="110"/>
      <c r="H221" s="110"/>
      <c r="I221" s="110"/>
      <c r="J221" s="110"/>
      <c r="K221" s="110"/>
      <c r="L221" s="110"/>
      <c r="M221" s="110"/>
      <c r="N221" s="110"/>
      <c r="O221" s="110"/>
      <c r="P221" s="122"/>
    </row>
    <row r="222" spans="1:16" s="124" customFormat="1" ht="14.7" customHeight="1" x14ac:dyDescent="0.3">
      <c r="A222" s="146" t="s">
        <v>30</v>
      </c>
      <c r="B222" s="96">
        <v>41640</v>
      </c>
      <c r="C222" s="95">
        <f t="shared" si="3"/>
        <v>70459.58</v>
      </c>
      <c r="D222" s="95">
        <v>23990.28</v>
      </c>
      <c r="E222" s="95">
        <v>9523.9199999999983</v>
      </c>
      <c r="F222" s="95">
        <v>6747.0999999999995</v>
      </c>
      <c r="G222" s="95">
        <v>1251.9399999999996</v>
      </c>
      <c r="H222" s="95">
        <v>11.19</v>
      </c>
      <c r="I222" s="95">
        <v>4180.9799999999996</v>
      </c>
      <c r="J222" s="95">
        <v>15402</v>
      </c>
      <c r="K222" s="95">
        <v>6045.0600000000022</v>
      </c>
      <c r="L222" s="95">
        <v>2709.6</v>
      </c>
      <c r="M222" s="95">
        <v>597.51</v>
      </c>
      <c r="N222" s="95">
        <v>0</v>
      </c>
      <c r="O222" s="95"/>
      <c r="P222" s="116"/>
    </row>
    <row r="223" spans="1:16" x14ac:dyDescent="0.3">
      <c r="A223" s="146"/>
      <c r="B223" s="94">
        <v>41671</v>
      </c>
      <c r="C223" s="92">
        <f t="shared" si="3"/>
        <v>47743.359999999993</v>
      </c>
      <c r="D223" s="92">
        <v>19938.399999999998</v>
      </c>
      <c r="E223" s="92">
        <v>7145.0299999999988</v>
      </c>
      <c r="F223" s="92">
        <v>3608.8499999999995</v>
      </c>
      <c r="G223" s="92">
        <v>1506.5099999999998</v>
      </c>
      <c r="H223" s="92">
        <v>82</v>
      </c>
      <c r="I223" s="92">
        <v>3485.1800000000007</v>
      </c>
      <c r="J223" s="92">
        <v>4178</v>
      </c>
      <c r="K223" s="92">
        <v>5024.2</v>
      </c>
      <c r="L223" s="92">
        <v>1045.28</v>
      </c>
      <c r="M223" s="92">
        <v>1729.9100000000005</v>
      </c>
      <c r="N223" s="92">
        <v>0</v>
      </c>
    </row>
    <row r="224" spans="1:16" x14ac:dyDescent="0.3">
      <c r="A224" s="146"/>
      <c r="B224" s="94">
        <v>41699</v>
      </c>
      <c r="C224" s="92">
        <f t="shared" si="3"/>
        <v>54931.44000000001</v>
      </c>
      <c r="D224" s="92">
        <v>28994.920000000013</v>
      </c>
      <c r="E224" s="92">
        <v>7142.4199999999964</v>
      </c>
      <c r="F224" s="92">
        <v>2554.89</v>
      </c>
      <c r="G224" s="92">
        <v>1248.3100000000004</v>
      </c>
      <c r="H224" s="92">
        <v>0</v>
      </c>
      <c r="I224" s="92">
        <v>3601.4800000000009</v>
      </c>
      <c r="J224" s="92">
        <v>4135.75</v>
      </c>
      <c r="K224" s="92">
        <v>5758.91</v>
      </c>
      <c r="L224" s="92">
        <v>1219.26</v>
      </c>
      <c r="M224" s="92">
        <v>275.5</v>
      </c>
      <c r="N224" s="92">
        <v>0</v>
      </c>
    </row>
    <row r="225" spans="1:14" x14ac:dyDescent="0.3">
      <c r="A225" s="146"/>
      <c r="B225" s="94">
        <v>41730</v>
      </c>
      <c r="C225" s="92">
        <f t="shared" si="3"/>
        <v>45808.15</v>
      </c>
      <c r="D225" s="92">
        <v>22714.470000000005</v>
      </c>
      <c r="E225" s="92">
        <v>6537.1200000000008</v>
      </c>
      <c r="F225" s="92">
        <v>3122.74</v>
      </c>
      <c r="G225" s="92">
        <v>644.19999999999993</v>
      </c>
      <c r="H225" s="92">
        <v>2130</v>
      </c>
      <c r="I225" s="92">
        <v>1694.0800000000002</v>
      </c>
      <c r="J225" s="92">
        <v>500</v>
      </c>
      <c r="K225" s="92">
        <v>6774.3799999999992</v>
      </c>
      <c r="L225" s="92">
        <v>1487.12</v>
      </c>
      <c r="M225" s="92">
        <v>204.03999999999996</v>
      </c>
      <c r="N225" s="92">
        <v>0</v>
      </c>
    </row>
    <row r="226" spans="1:14" x14ac:dyDescent="0.3">
      <c r="A226" s="146"/>
      <c r="B226" s="94">
        <v>41760</v>
      </c>
      <c r="C226" s="92">
        <f t="shared" si="3"/>
        <v>48572.24</v>
      </c>
      <c r="D226" s="92">
        <v>19462.87999999999</v>
      </c>
      <c r="E226" s="92">
        <v>7647.1899999999978</v>
      </c>
      <c r="F226" s="92">
        <v>3066.15</v>
      </c>
      <c r="G226" s="92">
        <v>600.42999999999995</v>
      </c>
      <c r="H226" s="92">
        <v>197.56</v>
      </c>
      <c r="I226" s="92">
        <v>5711.16</v>
      </c>
      <c r="J226" s="92">
        <v>4208</v>
      </c>
      <c r="K226" s="92">
        <v>6226.8</v>
      </c>
      <c r="L226" s="92">
        <v>1127.44</v>
      </c>
      <c r="M226" s="92">
        <v>324.63</v>
      </c>
      <c r="N226" s="92">
        <v>0</v>
      </c>
    </row>
    <row r="227" spans="1:14" x14ac:dyDescent="0.3">
      <c r="A227" s="146"/>
      <c r="B227" s="94">
        <v>41791</v>
      </c>
      <c r="C227" s="92">
        <f t="shared" si="3"/>
        <v>44800.109999999993</v>
      </c>
      <c r="D227" s="92">
        <v>19744.169999999998</v>
      </c>
      <c r="E227" s="92">
        <v>12093.220000000001</v>
      </c>
      <c r="F227" s="92">
        <v>446.86</v>
      </c>
      <c r="G227" s="92">
        <v>2157.17</v>
      </c>
      <c r="H227" s="92">
        <v>908</v>
      </c>
      <c r="I227" s="92">
        <v>2574.6000000000004</v>
      </c>
      <c r="J227" s="92">
        <v>1590</v>
      </c>
      <c r="K227" s="92">
        <v>4696.3099999999986</v>
      </c>
      <c r="L227" s="92">
        <v>307.63999999999993</v>
      </c>
      <c r="M227" s="92">
        <v>282.14</v>
      </c>
      <c r="N227" s="92">
        <v>0</v>
      </c>
    </row>
    <row r="228" spans="1:14" x14ac:dyDescent="0.3">
      <c r="A228" s="146"/>
      <c r="B228" s="94">
        <v>41821</v>
      </c>
      <c r="C228" s="92">
        <f t="shared" si="3"/>
        <v>25766.659999999996</v>
      </c>
      <c r="D228" s="92">
        <v>13778.579999999998</v>
      </c>
      <c r="E228" s="92">
        <v>4090.9599999999996</v>
      </c>
      <c r="F228" s="92">
        <v>482.01000000000005</v>
      </c>
      <c r="G228" s="92">
        <v>617.8900000000001</v>
      </c>
      <c r="H228" s="92">
        <v>0</v>
      </c>
      <c r="I228" s="92">
        <v>1121.4699999999998</v>
      </c>
      <c r="J228" s="92">
        <v>1250</v>
      </c>
      <c r="K228" s="92">
        <v>2906.37</v>
      </c>
      <c r="L228" s="92">
        <v>533.25</v>
      </c>
      <c r="M228" s="92">
        <v>986.13000000000011</v>
      </c>
      <c r="N228" s="92">
        <v>0</v>
      </c>
    </row>
    <row r="229" spans="1:14" x14ac:dyDescent="0.3">
      <c r="A229" s="146"/>
      <c r="B229" s="94">
        <v>41852</v>
      </c>
      <c r="C229" s="92">
        <f t="shared" si="3"/>
        <v>15058.369999999999</v>
      </c>
      <c r="D229" s="92">
        <v>4181.7999999999993</v>
      </c>
      <c r="E229" s="92">
        <v>2135.2000000000007</v>
      </c>
      <c r="F229" s="92">
        <v>1517.93</v>
      </c>
      <c r="G229" s="92">
        <v>628.87999999999988</v>
      </c>
      <c r="H229" s="92">
        <v>0</v>
      </c>
      <c r="I229" s="92">
        <v>1606.27</v>
      </c>
      <c r="J229" s="92">
        <v>2185</v>
      </c>
      <c r="K229" s="92">
        <v>2038.93</v>
      </c>
      <c r="L229" s="92">
        <v>305.3</v>
      </c>
      <c r="M229" s="92">
        <v>459.06</v>
      </c>
      <c r="N229" s="92">
        <v>0</v>
      </c>
    </row>
    <row r="230" spans="1:14" x14ac:dyDescent="0.3">
      <c r="A230" s="146"/>
      <c r="B230" s="94">
        <v>41883</v>
      </c>
      <c r="C230" s="92">
        <f t="shared" si="3"/>
        <v>71326.609999999986</v>
      </c>
      <c r="D230" s="92">
        <v>27578.310000000005</v>
      </c>
      <c r="E230" s="92">
        <v>8883.9399999999987</v>
      </c>
      <c r="F230" s="92">
        <v>4662.76</v>
      </c>
      <c r="G230" s="92">
        <v>1026.06</v>
      </c>
      <c r="H230" s="92">
        <v>476.6</v>
      </c>
      <c r="I230" s="92">
        <v>3927.88</v>
      </c>
      <c r="J230" s="92">
        <v>16505</v>
      </c>
      <c r="K230" s="92">
        <v>6850.0200000000023</v>
      </c>
      <c r="L230" s="92">
        <v>243.04</v>
      </c>
      <c r="M230" s="92">
        <v>1173</v>
      </c>
      <c r="N230" s="92">
        <v>0</v>
      </c>
    </row>
    <row r="231" spans="1:14" x14ac:dyDescent="0.3">
      <c r="A231" s="146"/>
      <c r="B231" s="94">
        <v>41913</v>
      </c>
      <c r="C231" s="92">
        <f t="shared" si="3"/>
        <v>62258.790000000015</v>
      </c>
      <c r="D231" s="92">
        <v>35058.820000000014</v>
      </c>
      <c r="E231" s="92">
        <v>7985.9900000000034</v>
      </c>
      <c r="F231" s="92">
        <v>1250.6199999999999</v>
      </c>
      <c r="G231" s="92">
        <v>565.64</v>
      </c>
      <c r="H231" s="92">
        <v>4075.29</v>
      </c>
      <c r="I231" s="92">
        <v>3023.2</v>
      </c>
      <c r="J231" s="92">
        <v>2566</v>
      </c>
      <c r="K231" s="92">
        <v>6980.28</v>
      </c>
      <c r="L231" s="92">
        <v>633.30999999999995</v>
      </c>
      <c r="M231" s="92">
        <v>119.64000000000001</v>
      </c>
      <c r="N231" s="92">
        <v>0</v>
      </c>
    </row>
    <row r="232" spans="1:14" x14ac:dyDescent="0.3">
      <c r="A232" s="146"/>
      <c r="B232" s="94">
        <v>41944</v>
      </c>
      <c r="C232" s="92">
        <f t="shared" si="3"/>
        <v>42051.80999999999</v>
      </c>
      <c r="D232" s="92">
        <v>19248.599999999999</v>
      </c>
      <c r="E232" s="92">
        <v>7073.9599999999964</v>
      </c>
      <c r="F232" s="92">
        <v>800.16000000000008</v>
      </c>
      <c r="G232" s="92">
        <v>962.4899999999999</v>
      </c>
      <c r="H232" s="92">
        <v>1876.83</v>
      </c>
      <c r="I232" s="92">
        <v>816.27999999999986</v>
      </c>
      <c r="J232" s="92">
        <v>5057.5</v>
      </c>
      <c r="K232" s="92">
        <v>5685.74</v>
      </c>
      <c r="L232" s="92">
        <v>407.15</v>
      </c>
      <c r="M232" s="92">
        <v>123.1</v>
      </c>
      <c r="N232" s="92">
        <v>0</v>
      </c>
    </row>
    <row r="233" spans="1:14" x14ac:dyDescent="0.3">
      <c r="A233" s="146"/>
      <c r="B233" s="94">
        <v>41974</v>
      </c>
      <c r="C233" s="92">
        <f t="shared" si="3"/>
        <v>53103.57</v>
      </c>
      <c r="D233" s="92">
        <v>25790.550000000003</v>
      </c>
      <c r="E233" s="92">
        <v>8346.7399999999961</v>
      </c>
      <c r="F233" s="92">
        <v>946.3</v>
      </c>
      <c r="G233" s="92">
        <v>551.71999999999991</v>
      </c>
      <c r="H233" s="92">
        <v>1085</v>
      </c>
      <c r="I233" s="92">
        <v>2461.5700000000002</v>
      </c>
      <c r="J233" s="92">
        <v>7312.36</v>
      </c>
      <c r="K233" s="92">
        <v>5708.0700000000006</v>
      </c>
      <c r="L233" s="92">
        <v>122.7</v>
      </c>
      <c r="M233" s="92">
        <v>778.56</v>
      </c>
      <c r="N233" s="92">
        <v>0</v>
      </c>
    </row>
    <row r="234" spans="1:14" x14ac:dyDescent="0.3">
      <c r="A234" s="146"/>
      <c r="B234" s="94">
        <v>42005</v>
      </c>
      <c r="C234" s="92">
        <f t="shared" si="3"/>
        <v>37553.020000000004</v>
      </c>
      <c r="D234" s="92">
        <v>22316.39</v>
      </c>
      <c r="E234" s="92">
        <v>5739.2499999999964</v>
      </c>
      <c r="F234" s="92">
        <v>643.46</v>
      </c>
      <c r="G234" s="92">
        <v>311.13</v>
      </c>
      <c r="H234" s="92">
        <v>738.22</v>
      </c>
      <c r="I234" s="92">
        <v>1568.1700000000003</v>
      </c>
      <c r="J234" s="92">
        <v>384.00000000000023</v>
      </c>
      <c r="K234" s="92">
        <v>5429.2999999999993</v>
      </c>
      <c r="L234" s="92">
        <v>317.05</v>
      </c>
      <c r="M234" s="92">
        <v>106.05</v>
      </c>
      <c r="N234" s="92">
        <v>0</v>
      </c>
    </row>
    <row r="235" spans="1:14" x14ac:dyDescent="0.3">
      <c r="A235" s="146"/>
      <c r="B235" s="94">
        <v>42036</v>
      </c>
      <c r="C235" s="92">
        <f t="shared" si="3"/>
        <v>31883.610000000004</v>
      </c>
      <c r="D235" s="92">
        <v>18709.140000000003</v>
      </c>
      <c r="E235" s="92">
        <v>3332.72</v>
      </c>
      <c r="F235" s="92">
        <v>834.58</v>
      </c>
      <c r="G235" s="92">
        <v>366.23</v>
      </c>
      <c r="H235" s="92">
        <v>102</v>
      </c>
      <c r="I235" s="92">
        <v>1626.54</v>
      </c>
      <c r="J235" s="92">
        <v>2962.21</v>
      </c>
      <c r="K235" s="92">
        <v>3867.619999999999</v>
      </c>
      <c r="L235" s="92">
        <v>55.9</v>
      </c>
      <c r="M235" s="92">
        <v>26.670000000000005</v>
      </c>
      <c r="N235" s="92">
        <v>0</v>
      </c>
    </row>
    <row r="236" spans="1:14" x14ac:dyDescent="0.3">
      <c r="A236" s="146"/>
      <c r="B236" s="94">
        <v>42064</v>
      </c>
      <c r="C236" s="92">
        <f t="shared" si="3"/>
        <v>36731.919999999998</v>
      </c>
      <c r="D236" s="92">
        <v>21626.969999999998</v>
      </c>
      <c r="E236" s="92">
        <v>4613.2199999999975</v>
      </c>
      <c r="F236" s="92">
        <v>984.19</v>
      </c>
      <c r="G236" s="92">
        <v>768.99999999999989</v>
      </c>
      <c r="H236" s="92">
        <v>884.35</v>
      </c>
      <c r="I236" s="92">
        <v>2116.5700000000006</v>
      </c>
      <c r="J236" s="92">
        <v>224.07999999999998</v>
      </c>
      <c r="K236" s="92">
        <v>5244.1600000000026</v>
      </c>
      <c r="L236" s="92">
        <v>106.8</v>
      </c>
      <c r="M236" s="92">
        <v>162.57999999999998</v>
      </c>
      <c r="N236" s="92">
        <v>0</v>
      </c>
    </row>
    <row r="237" spans="1:14" x14ac:dyDescent="0.3">
      <c r="A237" s="146"/>
      <c r="B237" s="94">
        <v>42095</v>
      </c>
      <c r="C237" s="92">
        <f t="shared" si="3"/>
        <v>35214.46</v>
      </c>
      <c r="D237" s="92">
        <v>20443.089999999997</v>
      </c>
      <c r="E237" s="92">
        <v>4699.7499999999982</v>
      </c>
      <c r="F237" s="92">
        <v>969.13</v>
      </c>
      <c r="G237" s="92">
        <v>758.91</v>
      </c>
      <c r="H237" s="92">
        <v>411.4</v>
      </c>
      <c r="I237" s="92">
        <v>2362.9800000000005</v>
      </c>
      <c r="J237" s="92">
        <v>164.5</v>
      </c>
      <c r="K237" s="92">
        <v>4940.63</v>
      </c>
      <c r="L237" s="92">
        <v>391.76</v>
      </c>
      <c r="M237" s="92">
        <v>72.31</v>
      </c>
      <c r="N237" s="92">
        <v>0</v>
      </c>
    </row>
    <row r="238" spans="1:14" x14ac:dyDescent="0.3">
      <c r="A238" s="146"/>
      <c r="B238" s="94">
        <v>42125</v>
      </c>
      <c r="C238" s="92">
        <f t="shared" si="3"/>
        <v>38550.58</v>
      </c>
      <c r="D238" s="92">
        <v>19896.710000000003</v>
      </c>
      <c r="E238" s="92">
        <v>4005.37</v>
      </c>
      <c r="F238" s="92">
        <v>1421.7800000000002</v>
      </c>
      <c r="G238" s="92">
        <v>1143.04</v>
      </c>
      <c r="H238" s="92">
        <v>344.47999999999996</v>
      </c>
      <c r="I238" s="92">
        <v>2111.2100000000005</v>
      </c>
      <c r="J238" s="92">
        <v>2505</v>
      </c>
      <c r="K238" s="92">
        <v>5256.9100000000008</v>
      </c>
      <c r="L238" s="92">
        <v>1786.04</v>
      </c>
      <c r="M238" s="92">
        <v>80.039999999999992</v>
      </c>
      <c r="N238" s="92">
        <v>0</v>
      </c>
    </row>
    <row r="239" spans="1:14" x14ac:dyDescent="0.3">
      <c r="A239" s="146"/>
      <c r="B239" s="94">
        <v>42156</v>
      </c>
      <c r="C239" s="92">
        <f t="shared" si="3"/>
        <v>47002.390000000007</v>
      </c>
      <c r="D239" s="92">
        <v>21694.840000000004</v>
      </c>
      <c r="E239" s="92">
        <v>7768.4700000000021</v>
      </c>
      <c r="F239" s="92">
        <v>1996.33</v>
      </c>
      <c r="G239" s="92">
        <v>2158.38</v>
      </c>
      <c r="H239" s="92">
        <v>757.05</v>
      </c>
      <c r="I239" s="92">
        <v>3387.0699999999997</v>
      </c>
      <c r="J239" s="92">
        <v>3592.48</v>
      </c>
      <c r="K239" s="92">
        <v>4838.16</v>
      </c>
      <c r="L239" s="92">
        <v>318.84000000000003</v>
      </c>
      <c r="M239" s="92">
        <v>490.77</v>
      </c>
      <c r="N239" s="92">
        <v>0</v>
      </c>
    </row>
    <row r="240" spans="1:14" x14ac:dyDescent="0.3">
      <c r="A240" s="146"/>
      <c r="B240" s="94">
        <v>42186</v>
      </c>
      <c r="C240" s="92">
        <f t="shared" si="3"/>
        <v>31289.35999999999</v>
      </c>
      <c r="D240" s="92">
        <v>16758.019999999997</v>
      </c>
      <c r="E240" s="92">
        <v>3273.7999999999988</v>
      </c>
      <c r="F240" s="92">
        <v>906.92000000000007</v>
      </c>
      <c r="G240" s="92">
        <v>331.67</v>
      </c>
      <c r="H240" s="92">
        <v>41</v>
      </c>
      <c r="I240" s="92">
        <v>2391.0500000000002</v>
      </c>
      <c r="J240" s="92">
        <v>1526</v>
      </c>
      <c r="K240" s="92">
        <v>3775.7399999999993</v>
      </c>
      <c r="L240" s="92">
        <v>2113.6499999999996</v>
      </c>
      <c r="M240" s="92">
        <v>171.51000000000002</v>
      </c>
      <c r="N240" s="92">
        <v>0</v>
      </c>
    </row>
    <row r="241" spans="1:14" x14ac:dyDescent="0.3">
      <c r="A241" s="146"/>
      <c r="B241" s="94">
        <v>42217</v>
      </c>
      <c r="C241" s="92">
        <f t="shared" si="3"/>
        <v>17455.740000000002</v>
      </c>
      <c r="D241" s="92">
        <v>5997.9000000000005</v>
      </c>
      <c r="E241" s="92">
        <v>2728.85</v>
      </c>
      <c r="F241" s="92">
        <v>1533.05</v>
      </c>
      <c r="G241" s="92">
        <v>1102.5200000000002</v>
      </c>
      <c r="H241" s="92">
        <v>65.599999999999994</v>
      </c>
      <c r="I241" s="92">
        <v>1914.4</v>
      </c>
      <c r="J241" s="92">
        <v>1231</v>
      </c>
      <c r="K241" s="92">
        <v>1765.0700000000002</v>
      </c>
      <c r="L241" s="92">
        <v>728.88000000000011</v>
      </c>
      <c r="M241" s="92">
        <v>388.46999999999997</v>
      </c>
      <c r="N241" s="92">
        <v>0</v>
      </c>
    </row>
    <row r="242" spans="1:14" x14ac:dyDescent="0.3">
      <c r="A242" s="146"/>
      <c r="B242" s="94">
        <v>42248</v>
      </c>
      <c r="C242" s="92">
        <f t="shared" si="3"/>
        <v>56292.289999999986</v>
      </c>
      <c r="D242" s="92">
        <v>22889.670000000006</v>
      </c>
      <c r="E242" s="92">
        <v>12911.149999999991</v>
      </c>
      <c r="F242" s="92">
        <v>3082.3800000000006</v>
      </c>
      <c r="G242" s="92">
        <v>2470.56</v>
      </c>
      <c r="H242" s="92">
        <v>614.80000000000007</v>
      </c>
      <c r="I242" s="92">
        <v>4318.8099999999986</v>
      </c>
      <c r="J242" s="92">
        <v>2461</v>
      </c>
      <c r="K242" s="92">
        <v>7041.8099999999995</v>
      </c>
      <c r="L242" s="92">
        <v>361.09999999999997</v>
      </c>
      <c r="M242" s="92">
        <v>141.01000000000002</v>
      </c>
      <c r="N242" s="92">
        <v>0</v>
      </c>
    </row>
    <row r="243" spans="1:14" x14ac:dyDescent="0.3">
      <c r="A243" s="146"/>
      <c r="B243" s="94">
        <v>42278</v>
      </c>
      <c r="C243" s="92">
        <f t="shared" ref="C243:C313" si="6">SUM(D243:P243)</f>
        <v>54689.609999999993</v>
      </c>
      <c r="D243" s="92">
        <v>29434.04</v>
      </c>
      <c r="E243" s="92">
        <v>5011.88</v>
      </c>
      <c r="F243" s="92">
        <v>1187.1999999999998</v>
      </c>
      <c r="G243" s="92">
        <v>1294.67</v>
      </c>
      <c r="H243" s="92">
        <v>4665.7300000000005</v>
      </c>
      <c r="I243" s="92">
        <v>1706.2900000000004</v>
      </c>
      <c r="J243" s="92">
        <v>45</v>
      </c>
      <c r="K243" s="92">
        <v>8342.239999999998</v>
      </c>
      <c r="L243" s="92">
        <v>2959.7200000000007</v>
      </c>
      <c r="M243" s="92">
        <v>42.84</v>
      </c>
      <c r="N243" s="92">
        <v>0</v>
      </c>
    </row>
    <row r="244" spans="1:14" x14ac:dyDescent="0.3">
      <c r="A244" s="146"/>
      <c r="B244" s="94">
        <v>42309</v>
      </c>
      <c r="C244" s="92">
        <f t="shared" si="6"/>
        <v>60466.62000000001</v>
      </c>
      <c r="D244" s="92">
        <v>24882.720000000001</v>
      </c>
      <c r="E244" s="92">
        <v>11608.079999999998</v>
      </c>
      <c r="F244" s="92">
        <v>3192.72</v>
      </c>
      <c r="G244" s="92">
        <v>1930.3999999999996</v>
      </c>
      <c r="H244" s="92">
        <v>807.4</v>
      </c>
      <c r="I244" s="92">
        <v>1934.1299999999997</v>
      </c>
      <c r="J244" s="92">
        <v>8223.69</v>
      </c>
      <c r="K244" s="92">
        <v>7244.9100000000008</v>
      </c>
      <c r="L244" s="92">
        <v>626.57000000000005</v>
      </c>
      <c r="M244" s="92">
        <v>16</v>
      </c>
      <c r="N244" s="92">
        <v>0</v>
      </c>
    </row>
    <row r="245" spans="1:14" x14ac:dyDescent="0.3">
      <c r="A245" s="146"/>
      <c r="B245" s="94">
        <v>42339</v>
      </c>
      <c r="C245" s="92">
        <f t="shared" si="6"/>
        <v>37515.239999999991</v>
      </c>
      <c r="D245" s="92">
        <v>15251.029999999999</v>
      </c>
      <c r="E245" s="92">
        <v>6119.6299999999974</v>
      </c>
      <c r="F245" s="92">
        <v>1409.65</v>
      </c>
      <c r="G245" s="92">
        <v>2090.2100000000005</v>
      </c>
      <c r="H245" s="92">
        <v>147.80000000000001</v>
      </c>
      <c r="I245" s="92">
        <v>2337.77</v>
      </c>
      <c r="J245" s="92">
        <v>2540.52</v>
      </c>
      <c r="K245" s="92">
        <v>5807.3899999999985</v>
      </c>
      <c r="L245" s="92">
        <v>1480.04</v>
      </c>
      <c r="M245" s="92">
        <v>85.53</v>
      </c>
      <c r="N245" s="92">
        <v>245.67000000000002</v>
      </c>
    </row>
    <row r="246" spans="1:14" x14ac:dyDescent="0.3">
      <c r="A246" s="146"/>
      <c r="B246" s="94">
        <v>42370</v>
      </c>
      <c r="C246" s="92">
        <f t="shared" si="6"/>
        <v>47331.64</v>
      </c>
      <c r="D246" s="92">
        <v>21385.530000000006</v>
      </c>
      <c r="E246" s="92">
        <v>5365.8300000000008</v>
      </c>
      <c r="F246" s="92">
        <v>1070.8</v>
      </c>
      <c r="G246" s="92">
        <v>551.71</v>
      </c>
      <c r="H246" s="92">
        <v>223</v>
      </c>
      <c r="I246" s="92">
        <v>4317.07</v>
      </c>
      <c r="J246" s="92">
        <v>6941.1299999999992</v>
      </c>
      <c r="K246" s="92">
        <v>5780.9299999999985</v>
      </c>
      <c r="L246" s="92">
        <v>1528.7600000000002</v>
      </c>
      <c r="M246" s="92">
        <v>166.88</v>
      </c>
      <c r="N246" s="92">
        <v>0</v>
      </c>
    </row>
    <row r="247" spans="1:14" x14ac:dyDescent="0.3">
      <c r="A247" s="146"/>
      <c r="B247" s="94">
        <v>42401</v>
      </c>
      <c r="C247" s="92">
        <f t="shared" si="6"/>
        <v>37259.519999999997</v>
      </c>
      <c r="D247" s="92">
        <v>16110.019999999997</v>
      </c>
      <c r="E247" s="92">
        <v>4447.7999999999993</v>
      </c>
      <c r="F247" s="92">
        <v>1811.5400000000002</v>
      </c>
      <c r="G247" s="92">
        <v>609.96999999999991</v>
      </c>
      <c r="H247" s="92">
        <v>76.400000000000006</v>
      </c>
      <c r="I247" s="92">
        <v>2765.7899999999995</v>
      </c>
      <c r="J247" s="92">
        <v>3409.77</v>
      </c>
      <c r="K247" s="92">
        <v>5375.39</v>
      </c>
      <c r="L247" s="92">
        <v>2611.4899999999998</v>
      </c>
      <c r="M247" s="92">
        <v>41.349999999999994</v>
      </c>
      <c r="N247" s="92">
        <v>0</v>
      </c>
    </row>
    <row r="248" spans="1:14" x14ac:dyDescent="0.3">
      <c r="A248" s="146"/>
      <c r="B248" s="94">
        <v>42430</v>
      </c>
      <c r="C248" s="92">
        <f t="shared" si="6"/>
        <v>53971.270000000004</v>
      </c>
      <c r="D248" s="92">
        <v>19666.330000000002</v>
      </c>
      <c r="E248" s="92">
        <v>8191.5399999999972</v>
      </c>
      <c r="F248" s="92">
        <v>1162.8499999999999</v>
      </c>
      <c r="G248" s="92">
        <v>3173.6799999999994</v>
      </c>
      <c r="H248" s="92">
        <v>393.7</v>
      </c>
      <c r="I248" s="92">
        <v>11282.770000000004</v>
      </c>
      <c r="J248" s="92">
        <v>630</v>
      </c>
      <c r="K248" s="92">
        <v>6282.1399999999994</v>
      </c>
      <c r="L248" s="92">
        <v>1933.1</v>
      </c>
      <c r="M248" s="92">
        <v>1135.1600000000001</v>
      </c>
      <c r="N248" s="92">
        <v>120</v>
      </c>
    </row>
    <row r="249" spans="1:14" x14ac:dyDescent="0.3">
      <c r="A249" s="146"/>
      <c r="B249" s="94">
        <v>42461</v>
      </c>
      <c r="C249" s="92">
        <f t="shared" si="6"/>
        <v>41628.589999999997</v>
      </c>
      <c r="D249" s="92">
        <v>23270.069999999996</v>
      </c>
      <c r="E249" s="92">
        <v>3819.5499999999988</v>
      </c>
      <c r="F249" s="92">
        <v>1513.7199999999996</v>
      </c>
      <c r="G249" s="92">
        <v>756.35</v>
      </c>
      <c r="H249" s="92">
        <v>74</v>
      </c>
      <c r="I249" s="92">
        <v>1418.78</v>
      </c>
      <c r="J249" s="92">
        <v>2185.2799999999997</v>
      </c>
      <c r="K249" s="92">
        <v>6824.2399999999989</v>
      </c>
      <c r="L249" s="92">
        <v>1548.37</v>
      </c>
      <c r="M249" s="92">
        <v>68.23</v>
      </c>
      <c r="N249" s="92">
        <v>150</v>
      </c>
    </row>
    <row r="250" spans="1:14" x14ac:dyDescent="0.3">
      <c r="A250" s="146"/>
      <c r="B250" s="94">
        <v>42491</v>
      </c>
      <c r="C250" s="92">
        <f t="shared" si="6"/>
        <v>41678.540000000008</v>
      </c>
      <c r="D250" s="92">
        <v>24855.420000000002</v>
      </c>
      <c r="E250" s="92">
        <v>4473.7999999999984</v>
      </c>
      <c r="F250" s="92">
        <v>470.33000000000004</v>
      </c>
      <c r="G250" s="92">
        <v>604.09</v>
      </c>
      <c r="H250" s="92">
        <v>378.09999999999997</v>
      </c>
      <c r="I250" s="92">
        <v>1260.2</v>
      </c>
      <c r="J250" s="92">
        <v>2013.91</v>
      </c>
      <c r="K250" s="92">
        <v>5379.58</v>
      </c>
      <c r="L250" s="92">
        <v>2215.54</v>
      </c>
      <c r="M250" s="92">
        <v>27.57</v>
      </c>
      <c r="N250" s="92">
        <v>0</v>
      </c>
    </row>
    <row r="251" spans="1:14" x14ac:dyDescent="0.3">
      <c r="A251" s="146"/>
      <c r="B251" s="94">
        <v>42522</v>
      </c>
      <c r="C251" s="92">
        <f t="shared" si="6"/>
        <v>61168.02</v>
      </c>
      <c r="D251" s="92">
        <v>26680.679999999997</v>
      </c>
      <c r="E251" s="92">
        <v>6315.130000000001</v>
      </c>
      <c r="F251" s="92">
        <v>1984.72</v>
      </c>
      <c r="G251" s="92">
        <v>1080.1099999999997</v>
      </c>
      <c r="H251" s="92">
        <v>292.2</v>
      </c>
      <c r="I251" s="92">
        <v>2180.13</v>
      </c>
      <c r="J251" s="92">
        <v>13545.84</v>
      </c>
      <c r="K251" s="92">
        <v>6645.02</v>
      </c>
      <c r="L251" s="92">
        <v>2036.3400000000001</v>
      </c>
      <c r="M251" s="92">
        <v>25.770000000000003</v>
      </c>
      <c r="N251" s="92">
        <v>382.08</v>
      </c>
    </row>
    <row r="252" spans="1:14" x14ac:dyDescent="0.3">
      <c r="A252" s="146"/>
      <c r="B252" s="94">
        <v>42552</v>
      </c>
      <c r="C252" s="92">
        <f t="shared" si="6"/>
        <v>26161.320000000003</v>
      </c>
      <c r="D252" s="92">
        <v>8377.2800000000025</v>
      </c>
      <c r="E252" s="92">
        <v>2754.7900000000004</v>
      </c>
      <c r="F252" s="92">
        <v>2503.8799999999997</v>
      </c>
      <c r="G252" s="92">
        <v>708.97000000000014</v>
      </c>
      <c r="H252" s="92">
        <v>30</v>
      </c>
      <c r="I252" s="92">
        <v>4279.590000000002</v>
      </c>
      <c r="J252" s="92">
        <v>2302.5</v>
      </c>
      <c r="K252" s="92">
        <v>3282.95</v>
      </c>
      <c r="L252" s="92">
        <v>1824.28</v>
      </c>
      <c r="M252" s="92">
        <v>97.08</v>
      </c>
      <c r="N252" s="92">
        <v>0</v>
      </c>
    </row>
    <row r="253" spans="1:14" x14ac:dyDescent="0.3">
      <c r="A253" s="146"/>
      <c r="B253" s="94">
        <v>42583</v>
      </c>
      <c r="C253" s="92">
        <f t="shared" si="6"/>
        <v>20642.170000000002</v>
      </c>
      <c r="D253" s="92">
        <v>8492.18</v>
      </c>
      <c r="E253" s="92">
        <v>2295.4999999999995</v>
      </c>
      <c r="F253" s="92">
        <v>569.15000000000009</v>
      </c>
      <c r="G253" s="92">
        <v>825.56999999999971</v>
      </c>
      <c r="H253" s="92">
        <v>1186.05</v>
      </c>
      <c r="I253" s="92">
        <v>951.37</v>
      </c>
      <c r="J253" s="92">
        <v>1010</v>
      </c>
      <c r="K253" s="92">
        <v>3347.7200000000003</v>
      </c>
      <c r="L253" s="92">
        <v>1871.4300000000003</v>
      </c>
      <c r="M253" s="92">
        <v>93.2</v>
      </c>
      <c r="N253" s="92">
        <v>0</v>
      </c>
    </row>
    <row r="254" spans="1:14" x14ac:dyDescent="0.3">
      <c r="A254" s="146"/>
      <c r="B254" s="94">
        <v>42614</v>
      </c>
      <c r="C254" s="92">
        <f t="shared" si="6"/>
        <v>50802.499999999985</v>
      </c>
      <c r="D254" s="92">
        <v>24674.589999999993</v>
      </c>
      <c r="E254" s="92">
        <v>4744.58</v>
      </c>
      <c r="F254" s="92">
        <v>1826.05</v>
      </c>
      <c r="G254" s="92">
        <v>1580.8</v>
      </c>
      <c r="H254" s="92">
        <v>681.6</v>
      </c>
      <c r="I254" s="92">
        <v>1903.96</v>
      </c>
      <c r="J254" s="92">
        <v>6511.5</v>
      </c>
      <c r="K254" s="92">
        <v>6728.17</v>
      </c>
      <c r="L254" s="92">
        <v>2019.75</v>
      </c>
      <c r="M254" s="92">
        <v>131.5</v>
      </c>
      <c r="N254" s="92">
        <v>0</v>
      </c>
    </row>
    <row r="255" spans="1:14" x14ac:dyDescent="0.3">
      <c r="A255" s="146"/>
      <c r="B255" s="94">
        <v>42644</v>
      </c>
      <c r="C255" s="92">
        <f t="shared" si="6"/>
        <v>33725.82</v>
      </c>
      <c r="D255" s="92">
        <v>14980.299999999997</v>
      </c>
      <c r="E255" s="92">
        <v>2255.9600000000005</v>
      </c>
      <c r="F255" s="92">
        <v>1511.88</v>
      </c>
      <c r="G255" s="92">
        <v>241.55999999999997</v>
      </c>
      <c r="H255" s="92">
        <v>948.78</v>
      </c>
      <c r="I255" s="92">
        <v>2485.3099999999995</v>
      </c>
      <c r="J255" s="92">
        <v>4031</v>
      </c>
      <c r="K255" s="92">
        <v>4683.57</v>
      </c>
      <c r="L255" s="92">
        <v>2505.5099999999998</v>
      </c>
      <c r="M255" s="92">
        <v>81.949999999999989</v>
      </c>
      <c r="N255" s="92">
        <v>0</v>
      </c>
    </row>
    <row r="256" spans="1:14" x14ac:dyDescent="0.3">
      <c r="A256" s="146"/>
      <c r="B256" s="94">
        <v>42675</v>
      </c>
      <c r="C256" s="92">
        <f t="shared" si="6"/>
        <v>32733.179999999997</v>
      </c>
      <c r="D256" s="92">
        <v>16543.139999999996</v>
      </c>
      <c r="E256" s="92">
        <v>3895.22</v>
      </c>
      <c r="F256" s="92">
        <v>716.88</v>
      </c>
      <c r="G256" s="92">
        <v>923.63000000000011</v>
      </c>
      <c r="H256" s="92">
        <v>196</v>
      </c>
      <c r="I256" s="92">
        <v>1642.1600000000003</v>
      </c>
      <c r="J256" s="92">
        <v>1584</v>
      </c>
      <c r="K256" s="92">
        <v>5248.6800000000021</v>
      </c>
      <c r="L256" s="92">
        <v>1877.67</v>
      </c>
      <c r="M256" s="92">
        <v>105.80000000000001</v>
      </c>
      <c r="N256" s="92">
        <v>0</v>
      </c>
    </row>
    <row r="257" spans="1:16" x14ac:dyDescent="0.3">
      <c r="A257" s="146"/>
      <c r="B257" s="94">
        <v>42705</v>
      </c>
      <c r="C257" s="105">
        <f t="shared" si="6"/>
        <v>31026.880000000001</v>
      </c>
      <c r="D257" s="105">
        <v>11416.71</v>
      </c>
      <c r="E257" s="105">
        <v>3740.57</v>
      </c>
      <c r="F257" s="105">
        <v>1672.7</v>
      </c>
      <c r="G257" s="105">
        <v>1039.43</v>
      </c>
      <c r="H257" s="105">
        <v>851.48</v>
      </c>
      <c r="I257" s="105">
        <v>2075.9</v>
      </c>
      <c r="J257" s="105">
        <v>32</v>
      </c>
      <c r="K257" s="105">
        <v>7326.54</v>
      </c>
      <c r="L257" s="105">
        <v>2400.02</v>
      </c>
      <c r="M257" s="105">
        <v>78.349999999999994</v>
      </c>
      <c r="N257" s="105">
        <v>393.18</v>
      </c>
      <c r="O257" s="105"/>
      <c r="P257" s="119"/>
    </row>
    <row r="258" spans="1:16" x14ac:dyDescent="0.3">
      <c r="A258" s="146"/>
      <c r="B258" s="94">
        <v>42736</v>
      </c>
      <c r="C258" s="105">
        <f t="shared" si="6"/>
        <v>43847.030000000006</v>
      </c>
      <c r="D258" s="105">
        <v>25801.13</v>
      </c>
      <c r="E258" s="105">
        <v>4591.3599999999997</v>
      </c>
      <c r="F258" s="105">
        <v>2081.63</v>
      </c>
      <c r="G258" s="105">
        <v>380.52</v>
      </c>
      <c r="H258" s="105">
        <v>148</v>
      </c>
      <c r="I258" s="105">
        <v>938.91</v>
      </c>
      <c r="J258" s="105">
        <v>840</v>
      </c>
      <c r="K258" s="105">
        <v>7144.4</v>
      </c>
      <c r="L258" s="105">
        <v>1598.94</v>
      </c>
      <c r="M258" s="105">
        <v>120</v>
      </c>
      <c r="N258" s="105">
        <v>202.14</v>
      </c>
      <c r="O258" s="105"/>
      <c r="P258" s="119"/>
    </row>
    <row r="259" spans="1:16" x14ac:dyDescent="0.3">
      <c r="A259" s="146"/>
      <c r="B259" s="94">
        <v>42767</v>
      </c>
      <c r="C259" s="105">
        <f t="shared" si="6"/>
        <v>34304.42</v>
      </c>
      <c r="D259" s="105">
        <v>15444.45</v>
      </c>
      <c r="E259" s="105">
        <v>4834.13</v>
      </c>
      <c r="F259" s="105">
        <v>1304.19</v>
      </c>
      <c r="G259" s="105">
        <v>733.7</v>
      </c>
      <c r="H259" s="105">
        <v>671.13</v>
      </c>
      <c r="I259" s="105">
        <v>1632.58</v>
      </c>
      <c r="J259" s="105">
        <v>530</v>
      </c>
      <c r="K259" s="105">
        <v>6214.96</v>
      </c>
      <c r="L259" s="105">
        <v>1560.13</v>
      </c>
      <c r="M259" s="105">
        <v>1379.15</v>
      </c>
      <c r="N259" s="92">
        <v>0</v>
      </c>
    </row>
    <row r="260" spans="1:16" x14ac:dyDescent="0.3">
      <c r="A260" s="146"/>
      <c r="B260" s="94">
        <v>42795</v>
      </c>
      <c r="C260" s="105">
        <f t="shared" si="6"/>
        <v>43038.780000000006</v>
      </c>
      <c r="D260" s="105">
        <v>20520.150000000001</v>
      </c>
      <c r="E260" s="105">
        <v>5481.88</v>
      </c>
      <c r="F260" s="105">
        <v>1215.7</v>
      </c>
      <c r="G260" s="105">
        <v>834.24</v>
      </c>
      <c r="H260" s="105">
        <v>235</v>
      </c>
      <c r="I260" s="105">
        <v>4314.67</v>
      </c>
      <c r="J260" s="105">
        <v>808</v>
      </c>
      <c r="K260" s="105">
        <v>7563.32</v>
      </c>
      <c r="L260" s="105">
        <v>1761.4</v>
      </c>
      <c r="M260" s="105">
        <v>304.42</v>
      </c>
      <c r="N260" s="92">
        <v>0</v>
      </c>
    </row>
    <row r="261" spans="1:16" x14ac:dyDescent="0.3">
      <c r="A261" s="146"/>
      <c r="B261" s="94">
        <v>42826</v>
      </c>
      <c r="C261" s="105">
        <f t="shared" si="6"/>
        <v>34458.239999999998</v>
      </c>
      <c r="D261" s="105">
        <v>15834.34</v>
      </c>
      <c r="E261" s="105">
        <v>3748.94</v>
      </c>
      <c r="F261" s="105">
        <v>1983.87</v>
      </c>
      <c r="G261" s="105">
        <v>325.37</v>
      </c>
      <c r="H261" s="105">
        <v>10</v>
      </c>
      <c r="I261" s="105">
        <v>3031.13</v>
      </c>
      <c r="J261" s="105">
        <v>2242</v>
      </c>
      <c r="K261" s="105">
        <v>5162.63</v>
      </c>
      <c r="L261" s="105">
        <v>1993.56</v>
      </c>
      <c r="M261" s="105">
        <v>126.4</v>
      </c>
      <c r="N261" s="92">
        <v>0</v>
      </c>
    </row>
    <row r="262" spans="1:16" x14ac:dyDescent="0.3">
      <c r="A262" s="146"/>
      <c r="B262" s="94">
        <v>42856</v>
      </c>
      <c r="C262" s="105">
        <f t="shared" si="6"/>
        <v>30093.980000000003</v>
      </c>
      <c r="D262" s="105">
        <v>10585.72</v>
      </c>
      <c r="E262" s="105">
        <v>3734.65</v>
      </c>
      <c r="F262" s="105">
        <v>1440.5</v>
      </c>
      <c r="G262" s="105">
        <v>971.43</v>
      </c>
      <c r="H262" s="105">
        <v>733.4</v>
      </c>
      <c r="I262" s="105">
        <v>4645.04</v>
      </c>
      <c r="J262" s="105">
        <v>864</v>
      </c>
      <c r="K262" s="105">
        <v>4383.59</v>
      </c>
      <c r="L262" s="105">
        <v>2083.4499999999998</v>
      </c>
      <c r="M262" s="105">
        <v>652.20000000000005</v>
      </c>
      <c r="N262" s="105"/>
      <c r="O262" s="105"/>
      <c r="P262" s="119"/>
    </row>
    <row r="263" spans="1:16" x14ac:dyDescent="0.3">
      <c r="A263" s="146"/>
      <c r="B263" s="94">
        <v>42887</v>
      </c>
      <c r="C263" s="105">
        <f t="shared" si="6"/>
        <v>37994.950000000004</v>
      </c>
      <c r="D263" s="105">
        <v>14307.2</v>
      </c>
      <c r="E263" s="105">
        <v>5507.08</v>
      </c>
      <c r="F263" s="105">
        <v>1607.6</v>
      </c>
      <c r="G263" s="105">
        <v>1062.83</v>
      </c>
      <c r="H263" s="105">
        <v>21</v>
      </c>
      <c r="I263" s="105">
        <v>2141.0500000000002</v>
      </c>
      <c r="J263" s="105">
        <v>4156</v>
      </c>
      <c r="K263" s="105">
        <v>5599.62</v>
      </c>
      <c r="L263" s="105">
        <v>2195.59</v>
      </c>
      <c r="M263" s="105">
        <v>71</v>
      </c>
      <c r="N263" s="105">
        <v>1325.98</v>
      </c>
      <c r="O263" s="105"/>
      <c r="P263" s="119"/>
    </row>
    <row r="264" spans="1:16" x14ac:dyDescent="0.3">
      <c r="A264" s="146"/>
      <c r="B264" s="94">
        <v>42917</v>
      </c>
      <c r="C264" s="105">
        <f t="shared" si="6"/>
        <v>22932.980000000003</v>
      </c>
      <c r="D264" s="105">
        <v>7210.23</v>
      </c>
      <c r="E264" s="105">
        <v>1279</v>
      </c>
      <c r="F264" s="105">
        <v>3458</v>
      </c>
      <c r="G264" s="105">
        <v>506.7</v>
      </c>
      <c r="H264" s="105">
        <v>972</v>
      </c>
      <c r="I264" s="105">
        <v>2416.06</v>
      </c>
      <c r="J264" s="105"/>
      <c r="K264" s="105">
        <v>4615.58</v>
      </c>
      <c r="L264" s="105">
        <v>2288.0100000000002</v>
      </c>
      <c r="M264" s="105">
        <v>187.4</v>
      </c>
      <c r="N264" s="105"/>
      <c r="O264" s="105"/>
      <c r="P264" s="119"/>
    </row>
    <row r="265" spans="1:16" x14ac:dyDescent="0.3">
      <c r="A265" s="146"/>
      <c r="B265" s="94">
        <v>42948</v>
      </c>
      <c r="C265" s="105">
        <f t="shared" si="6"/>
        <v>13973.660000000002</v>
      </c>
      <c r="D265" s="105">
        <v>2616.2399999999998</v>
      </c>
      <c r="E265" s="105">
        <v>2054.27</v>
      </c>
      <c r="F265" s="105">
        <v>863.03</v>
      </c>
      <c r="G265" s="105">
        <v>445.38</v>
      </c>
      <c r="H265" s="105">
        <v>137.91</v>
      </c>
      <c r="I265" s="105">
        <v>1860.14</v>
      </c>
      <c r="J265" s="105">
        <v>1035</v>
      </c>
      <c r="K265" s="105">
        <v>2519.52</v>
      </c>
      <c r="L265" s="105">
        <v>2055.2800000000002</v>
      </c>
      <c r="M265" s="105">
        <v>386.89</v>
      </c>
      <c r="N265" s="105"/>
      <c r="O265" s="105"/>
      <c r="P265" s="119"/>
    </row>
    <row r="266" spans="1:16" x14ac:dyDescent="0.3">
      <c r="A266" s="146"/>
      <c r="B266" s="94">
        <v>42979</v>
      </c>
      <c r="C266" s="105">
        <f t="shared" si="6"/>
        <v>57143.739999999991</v>
      </c>
      <c r="D266" s="105">
        <v>18471.82</v>
      </c>
      <c r="E266" s="105">
        <v>4214.3599999999997</v>
      </c>
      <c r="F266" s="105">
        <v>1195.9000000000001</v>
      </c>
      <c r="G266" s="105">
        <v>540.6</v>
      </c>
      <c r="H266" s="105">
        <v>877.47</v>
      </c>
      <c r="I266" s="105">
        <v>2861.05</v>
      </c>
      <c r="J266" s="105">
        <v>20139</v>
      </c>
      <c r="K266" s="105">
        <v>6541.81</v>
      </c>
      <c r="L266" s="105">
        <v>2033.13</v>
      </c>
      <c r="M266" s="105">
        <v>268.60000000000002</v>
      </c>
      <c r="N266" s="105"/>
      <c r="O266" s="105"/>
      <c r="P266" s="119"/>
    </row>
    <row r="267" spans="1:16" x14ac:dyDescent="0.3">
      <c r="A267" s="146"/>
      <c r="B267" s="94">
        <v>43009</v>
      </c>
      <c r="C267" s="105">
        <f t="shared" si="6"/>
        <v>51246.119999999988</v>
      </c>
      <c r="D267" s="105">
        <v>26756.78</v>
      </c>
      <c r="E267" s="105">
        <v>3282.43</v>
      </c>
      <c r="F267" s="105">
        <v>1158.8</v>
      </c>
      <c r="G267" s="105">
        <v>1059.73</v>
      </c>
      <c r="H267" s="105">
        <v>893.99</v>
      </c>
      <c r="I267" s="105">
        <v>3386.06</v>
      </c>
      <c r="J267" s="105">
        <v>-75</v>
      </c>
      <c r="K267" s="105">
        <v>12662.38</v>
      </c>
      <c r="L267" s="105">
        <v>1352.96</v>
      </c>
      <c r="M267" s="105">
        <v>767.99</v>
      </c>
      <c r="N267" s="105"/>
      <c r="O267" s="105"/>
      <c r="P267" s="119"/>
    </row>
    <row r="268" spans="1:16" x14ac:dyDescent="0.3">
      <c r="A268" s="146"/>
      <c r="B268" s="94">
        <v>43040</v>
      </c>
      <c r="C268" s="92">
        <f t="shared" si="6"/>
        <v>48503.05</v>
      </c>
      <c r="D268" s="92">
        <v>23896.09</v>
      </c>
      <c r="E268" s="92">
        <v>2352.4699999999998</v>
      </c>
      <c r="F268" s="92">
        <v>1181.42</v>
      </c>
      <c r="G268" s="92">
        <v>800</v>
      </c>
      <c r="H268" s="92">
        <v>69.33</v>
      </c>
      <c r="I268" s="92">
        <v>3928.03</v>
      </c>
      <c r="J268" s="92">
        <v>2016</v>
      </c>
      <c r="K268" s="92">
        <v>12639.46</v>
      </c>
      <c r="L268" s="92">
        <v>1183.43</v>
      </c>
      <c r="M268" s="92">
        <v>436.82</v>
      </c>
    </row>
    <row r="269" spans="1:16" x14ac:dyDescent="0.3">
      <c r="A269" s="146"/>
      <c r="B269" s="94">
        <v>43070</v>
      </c>
      <c r="C269" s="92">
        <f t="shared" si="6"/>
        <v>30597.199999999993</v>
      </c>
      <c r="D269" s="92">
        <v>9711.91</v>
      </c>
      <c r="E269" s="92">
        <v>3662.23</v>
      </c>
      <c r="F269" s="92">
        <v>607.88</v>
      </c>
      <c r="G269" s="92">
        <v>331.31</v>
      </c>
      <c r="H269" s="92">
        <v>201</v>
      </c>
      <c r="I269" s="92">
        <v>2469.71</v>
      </c>
      <c r="J269" s="92">
        <v>6042</v>
      </c>
      <c r="K269" s="92">
        <v>5998.9</v>
      </c>
      <c r="L269" s="92">
        <v>849.21</v>
      </c>
      <c r="M269" s="92">
        <v>723.05</v>
      </c>
    </row>
    <row r="270" spans="1:16" x14ac:dyDescent="0.3">
      <c r="A270" s="146"/>
      <c r="B270" s="94">
        <v>43101</v>
      </c>
      <c r="C270" s="92">
        <f t="shared" si="6"/>
        <v>45158.530000000006</v>
      </c>
      <c r="D270" s="92">
        <v>17777.36</v>
      </c>
      <c r="E270" s="92">
        <v>4409.1400000000003</v>
      </c>
      <c r="F270" s="92">
        <v>3602.95</v>
      </c>
      <c r="G270" s="92">
        <v>1922</v>
      </c>
      <c r="H270" s="92">
        <v>36</v>
      </c>
      <c r="I270" s="92">
        <v>4996.6000000000004</v>
      </c>
      <c r="J270" s="92">
        <v>2972.5</v>
      </c>
      <c r="K270" s="92">
        <v>8047.69</v>
      </c>
      <c r="L270" s="92">
        <v>1049.75</v>
      </c>
      <c r="M270" s="92">
        <v>176.04</v>
      </c>
      <c r="P270" s="117">
        <v>168.5</v>
      </c>
    </row>
    <row r="271" spans="1:16" x14ac:dyDescent="0.3">
      <c r="A271" s="146"/>
      <c r="B271" s="94">
        <v>43132</v>
      </c>
      <c r="C271" s="92">
        <f t="shared" si="6"/>
        <v>29151.450000000004</v>
      </c>
      <c r="D271" s="92">
        <v>11492.05</v>
      </c>
      <c r="E271" s="92">
        <v>2241.44</v>
      </c>
      <c r="F271" s="92">
        <v>2454.3200000000002</v>
      </c>
      <c r="G271" s="92">
        <v>898.69</v>
      </c>
      <c r="H271" s="92">
        <v>202.2</v>
      </c>
      <c r="I271" s="92">
        <v>3131.19</v>
      </c>
      <c r="J271" s="92">
        <v>940.2</v>
      </c>
      <c r="K271" s="92">
        <v>5079.1000000000004</v>
      </c>
      <c r="L271" s="92">
        <v>1346.05</v>
      </c>
      <c r="M271" s="92">
        <v>826.4</v>
      </c>
      <c r="N271" s="92">
        <v>383.91</v>
      </c>
      <c r="P271" s="117">
        <v>155.9</v>
      </c>
    </row>
    <row r="272" spans="1:16" x14ac:dyDescent="0.3">
      <c r="A272" s="146"/>
      <c r="B272" s="94">
        <v>43160</v>
      </c>
      <c r="C272" s="92">
        <f t="shared" si="6"/>
        <v>43454.200000000004</v>
      </c>
      <c r="D272" s="92">
        <v>18971.689999999999</v>
      </c>
      <c r="E272" s="92">
        <v>3194.04</v>
      </c>
      <c r="F272" s="92">
        <v>812.71</v>
      </c>
      <c r="G272" s="92">
        <v>761.37</v>
      </c>
      <c r="H272" s="92">
        <v>601</v>
      </c>
      <c r="I272" s="92">
        <v>4516.8900000000003</v>
      </c>
      <c r="J272" s="92">
        <v>2018</v>
      </c>
      <c r="K272" s="92">
        <v>8856.83</v>
      </c>
      <c r="L272" s="92">
        <v>1232.26</v>
      </c>
      <c r="M272" s="92">
        <v>1634.41</v>
      </c>
      <c r="P272" s="117">
        <v>855</v>
      </c>
    </row>
    <row r="273" spans="1:16" x14ac:dyDescent="0.3">
      <c r="A273" s="146"/>
      <c r="B273" s="94">
        <v>43191</v>
      </c>
      <c r="C273" s="92">
        <f t="shared" si="6"/>
        <v>32099.18</v>
      </c>
      <c r="D273" s="92">
        <v>10005.030000000001</v>
      </c>
      <c r="E273" s="92">
        <v>2522.63</v>
      </c>
      <c r="F273" s="92">
        <v>1803.75</v>
      </c>
      <c r="G273" s="92">
        <v>491.7</v>
      </c>
      <c r="H273" s="92">
        <v>497.68</v>
      </c>
      <c r="I273" s="92">
        <v>2967.29</v>
      </c>
      <c r="J273" s="92">
        <v>6816.03</v>
      </c>
      <c r="K273" s="92">
        <v>5291.57</v>
      </c>
      <c r="L273" s="92">
        <v>1016.86</v>
      </c>
      <c r="M273" s="92">
        <v>68.14</v>
      </c>
      <c r="P273" s="117">
        <v>618.5</v>
      </c>
    </row>
    <row r="274" spans="1:16" x14ac:dyDescent="0.3">
      <c r="A274" s="146"/>
      <c r="B274" s="94">
        <v>43221</v>
      </c>
      <c r="C274" s="92">
        <f t="shared" si="6"/>
        <v>26937.14</v>
      </c>
      <c r="D274" s="92">
        <v>10959</v>
      </c>
      <c r="E274" s="92">
        <v>2046.68</v>
      </c>
      <c r="F274" s="92">
        <v>2342.75</v>
      </c>
      <c r="G274" s="92">
        <v>425.4</v>
      </c>
      <c r="H274" s="92">
        <v>72</v>
      </c>
      <c r="I274" s="92">
        <v>1341.61</v>
      </c>
      <c r="J274" s="92">
        <v>495.21</v>
      </c>
      <c r="K274" s="92">
        <v>5585.54</v>
      </c>
      <c r="L274" s="92">
        <v>1017.9</v>
      </c>
      <c r="M274" s="92">
        <v>70.55</v>
      </c>
      <c r="N274" s="92">
        <v>2318.1</v>
      </c>
      <c r="P274" s="117">
        <v>262.39999999999998</v>
      </c>
    </row>
    <row r="275" spans="1:16" x14ac:dyDescent="0.3">
      <c r="A275" s="146"/>
      <c r="B275" s="94">
        <v>43252</v>
      </c>
      <c r="C275" s="92">
        <f t="shared" si="6"/>
        <v>32732.749999999996</v>
      </c>
      <c r="D275" s="92">
        <v>13986.65</v>
      </c>
      <c r="E275" s="92">
        <v>4598.99</v>
      </c>
      <c r="F275" s="92">
        <v>677.7</v>
      </c>
      <c r="G275" s="92">
        <v>354.64</v>
      </c>
      <c r="H275" s="92">
        <v>162</v>
      </c>
      <c r="I275" s="92">
        <v>3661.23</v>
      </c>
      <c r="J275" s="92">
        <v>1020</v>
      </c>
      <c r="K275" s="92">
        <v>6675.03</v>
      </c>
      <c r="L275" s="92">
        <v>1325.96</v>
      </c>
      <c r="M275" s="92">
        <v>268.55</v>
      </c>
      <c r="P275" s="117">
        <v>2</v>
      </c>
    </row>
    <row r="276" spans="1:16" x14ac:dyDescent="0.3">
      <c r="A276" s="146"/>
      <c r="B276" s="94">
        <v>43282</v>
      </c>
      <c r="C276" s="92">
        <f t="shared" si="6"/>
        <v>28185.759999999998</v>
      </c>
      <c r="D276" s="92">
        <v>11094.76</v>
      </c>
      <c r="E276" s="92">
        <v>2664.27</v>
      </c>
      <c r="F276" s="92">
        <v>1505.23</v>
      </c>
      <c r="G276" s="92">
        <v>1045.94</v>
      </c>
      <c r="H276" s="92">
        <v>23.34</v>
      </c>
      <c r="I276" s="92">
        <v>3675.74</v>
      </c>
      <c r="J276" s="92">
        <v>1028</v>
      </c>
      <c r="K276" s="92">
        <v>4896.53</v>
      </c>
      <c r="L276" s="92">
        <v>1871.48</v>
      </c>
      <c r="M276" s="92">
        <v>35.47</v>
      </c>
      <c r="P276" s="117">
        <v>345</v>
      </c>
    </row>
    <row r="277" spans="1:16" x14ac:dyDescent="0.3">
      <c r="A277" s="146"/>
      <c r="B277" s="94">
        <v>43313</v>
      </c>
      <c r="C277" s="92">
        <f t="shared" si="6"/>
        <v>18873.84</v>
      </c>
      <c r="D277" s="92">
        <v>7055.87</v>
      </c>
      <c r="E277" s="92">
        <v>1798.06</v>
      </c>
      <c r="F277" s="92">
        <v>746.68</v>
      </c>
      <c r="G277" s="92">
        <v>532.53</v>
      </c>
      <c r="I277" s="92">
        <v>2003.3</v>
      </c>
      <c r="J277" s="92">
        <v>930</v>
      </c>
      <c r="K277" s="92">
        <v>4480.67</v>
      </c>
      <c r="L277" s="92">
        <v>1233.73</v>
      </c>
      <c r="M277" s="92">
        <v>3</v>
      </c>
      <c r="P277" s="117">
        <v>90</v>
      </c>
    </row>
    <row r="278" spans="1:16" x14ac:dyDescent="0.3">
      <c r="A278" s="146"/>
      <c r="B278" s="94">
        <v>43344</v>
      </c>
      <c r="C278" s="92">
        <f t="shared" si="6"/>
        <v>43445.02</v>
      </c>
      <c r="D278" s="92">
        <v>13796.03</v>
      </c>
      <c r="E278" s="92">
        <v>5033.91</v>
      </c>
      <c r="F278" s="92">
        <v>1305.5999999999999</v>
      </c>
      <c r="G278" s="92">
        <v>638.84</v>
      </c>
      <c r="H278" s="92">
        <v>641.04999999999995</v>
      </c>
      <c r="I278" s="92">
        <v>3564.69</v>
      </c>
      <c r="J278" s="92">
        <v>10815</v>
      </c>
      <c r="K278" s="92">
        <v>6002.72</v>
      </c>
      <c r="L278" s="92">
        <v>1526.38</v>
      </c>
      <c r="M278" s="92">
        <v>14.8</v>
      </c>
      <c r="P278" s="117">
        <v>106</v>
      </c>
    </row>
    <row r="279" spans="1:16" x14ac:dyDescent="0.3">
      <c r="A279" s="146"/>
      <c r="B279" s="94">
        <v>43374</v>
      </c>
      <c r="C279" s="92">
        <f t="shared" si="6"/>
        <v>40098.18</v>
      </c>
      <c r="D279" s="92">
        <v>19337.7</v>
      </c>
      <c r="E279" s="92">
        <v>2579.5</v>
      </c>
      <c r="F279" s="92">
        <v>1338.8</v>
      </c>
      <c r="G279" s="92">
        <v>603.27</v>
      </c>
      <c r="H279" s="92">
        <v>416.84</v>
      </c>
      <c r="I279" s="92">
        <v>3207.11</v>
      </c>
      <c r="J279" s="92">
        <v>1649</v>
      </c>
      <c r="K279" s="92">
        <v>7971.15</v>
      </c>
      <c r="L279" s="92">
        <v>1675.65</v>
      </c>
      <c r="M279" s="92">
        <v>1111.46</v>
      </c>
      <c r="P279" s="117">
        <v>207.7</v>
      </c>
    </row>
    <row r="280" spans="1:16" x14ac:dyDescent="0.3">
      <c r="A280" s="146"/>
      <c r="B280" s="94">
        <v>43405</v>
      </c>
      <c r="C280" s="92">
        <f t="shared" si="6"/>
        <v>40146.639999999999</v>
      </c>
      <c r="D280" s="92">
        <v>17671.349999999999</v>
      </c>
      <c r="E280" s="92">
        <v>3683.59</v>
      </c>
      <c r="F280" s="92">
        <v>1478.8</v>
      </c>
      <c r="G280" s="92">
        <v>266.67</v>
      </c>
      <c r="H280" s="92">
        <v>1237.1099999999999</v>
      </c>
      <c r="I280" s="92">
        <v>2512.9</v>
      </c>
      <c r="J280" s="92">
        <v>3788</v>
      </c>
      <c r="K280" s="92">
        <v>7449.36</v>
      </c>
      <c r="L280" s="92">
        <v>1515.15</v>
      </c>
      <c r="M280" s="92">
        <v>57.71</v>
      </c>
      <c r="P280" s="117">
        <v>486</v>
      </c>
    </row>
    <row r="281" spans="1:16" x14ac:dyDescent="0.3">
      <c r="A281" s="146"/>
      <c r="B281" s="94">
        <v>43435</v>
      </c>
      <c r="C281" s="92">
        <f t="shared" si="6"/>
        <v>41650.54</v>
      </c>
      <c r="D281" s="105">
        <v>17704.150000000001</v>
      </c>
      <c r="E281" s="105">
        <v>2871.86</v>
      </c>
      <c r="F281" s="105">
        <v>1463.55</v>
      </c>
      <c r="G281" s="105">
        <v>290.02999999999997</v>
      </c>
      <c r="H281" s="105">
        <v>609.1</v>
      </c>
      <c r="I281" s="105">
        <v>6225.64</v>
      </c>
      <c r="J281" s="105">
        <v>4547</v>
      </c>
      <c r="K281" s="105">
        <v>6836.9</v>
      </c>
      <c r="L281" s="105">
        <v>1088.6099999999999</v>
      </c>
      <c r="M281" s="105">
        <v>10.7</v>
      </c>
      <c r="N281" s="105"/>
      <c r="O281" s="105"/>
      <c r="P281" s="119">
        <v>3</v>
      </c>
    </row>
    <row r="282" spans="1:16" x14ac:dyDescent="0.3">
      <c r="A282" s="146"/>
      <c r="B282" s="94">
        <v>43466</v>
      </c>
      <c r="C282" s="105">
        <f t="shared" si="6"/>
        <v>36189.060000000005</v>
      </c>
      <c r="D282" s="105">
        <v>17915.240000000002</v>
      </c>
      <c r="E282" s="105">
        <v>2280.85</v>
      </c>
      <c r="F282" s="105">
        <v>1840.49</v>
      </c>
      <c r="G282" s="105">
        <v>463.66</v>
      </c>
      <c r="H282" s="105">
        <v>36</v>
      </c>
      <c r="I282" s="105">
        <v>4928.07</v>
      </c>
      <c r="J282" s="105">
        <v>116.48</v>
      </c>
      <c r="K282" s="105">
        <v>6990.78</v>
      </c>
      <c r="L282" s="105">
        <v>376.03</v>
      </c>
      <c r="M282" s="105">
        <v>134.80000000000001</v>
      </c>
      <c r="N282" s="105"/>
      <c r="O282" s="105">
        <v>1082.8599999999999</v>
      </c>
      <c r="P282" s="119">
        <v>23.8</v>
      </c>
    </row>
    <row r="283" spans="1:16" x14ac:dyDescent="0.3">
      <c r="A283" s="146"/>
      <c r="B283" s="94">
        <v>43497</v>
      </c>
      <c r="C283" s="105">
        <f t="shared" si="6"/>
        <v>25966.960000000003</v>
      </c>
      <c r="D283" s="105">
        <v>10037.34</v>
      </c>
      <c r="E283" s="105">
        <v>2548.08</v>
      </c>
      <c r="F283" s="105">
        <v>1025.3</v>
      </c>
      <c r="G283" s="105">
        <v>454.84</v>
      </c>
      <c r="H283" s="105">
        <v>232</v>
      </c>
      <c r="I283" s="105">
        <v>2749.05</v>
      </c>
      <c r="J283" s="105">
        <v>2118</v>
      </c>
      <c r="K283" s="105">
        <v>5487.95</v>
      </c>
      <c r="L283" s="105">
        <v>342.68</v>
      </c>
      <c r="M283" s="105">
        <v>13</v>
      </c>
      <c r="N283" s="105"/>
      <c r="O283" s="105">
        <v>860.72</v>
      </c>
      <c r="P283" s="119">
        <v>98</v>
      </c>
    </row>
    <row r="284" spans="1:16" x14ac:dyDescent="0.3">
      <c r="A284" s="146"/>
      <c r="B284" s="94">
        <v>43525</v>
      </c>
      <c r="C284" s="105">
        <f t="shared" si="6"/>
        <v>49081.04</v>
      </c>
      <c r="D284" s="105">
        <v>18820</v>
      </c>
      <c r="E284" s="105">
        <v>3500.59</v>
      </c>
      <c r="F284" s="105">
        <v>1406.18</v>
      </c>
      <c r="G284" s="105">
        <v>200.14</v>
      </c>
      <c r="H284" s="105">
        <v>72</v>
      </c>
      <c r="I284" s="105">
        <v>2401.06</v>
      </c>
      <c r="J284" s="105">
        <v>12062</v>
      </c>
      <c r="K284" s="105">
        <v>6980.67</v>
      </c>
      <c r="L284" s="105">
        <v>1707.53</v>
      </c>
      <c r="M284" s="105">
        <v>59</v>
      </c>
      <c r="N284" s="105"/>
      <c r="O284" s="105">
        <v>1010.47</v>
      </c>
      <c r="P284" s="119">
        <v>861.4</v>
      </c>
    </row>
    <row r="285" spans="1:16" x14ac:dyDescent="0.3">
      <c r="A285" s="146"/>
      <c r="B285" s="94">
        <v>43556</v>
      </c>
      <c r="C285" s="105">
        <f t="shared" si="6"/>
        <v>31903.940000000006</v>
      </c>
      <c r="D285" s="105">
        <v>13881.65</v>
      </c>
      <c r="E285" s="105">
        <v>3255.09</v>
      </c>
      <c r="F285" s="105">
        <v>1446.38</v>
      </c>
      <c r="G285" s="105">
        <v>530.86</v>
      </c>
      <c r="H285" s="105">
        <v>166</v>
      </c>
      <c r="I285" s="105">
        <v>2153.17</v>
      </c>
      <c r="J285" s="105">
        <v>1927.2</v>
      </c>
      <c r="K285" s="105">
        <v>5315.34</v>
      </c>
      <c r="L285" s="105">
        <v>300.31</v>
      </c>
      <c r="M285" s="105">
        <v>47.93</v>
      </c>
      <c r="N285" s="105"/>
      <c r="O285" s="105">
        <v>2611.61</v>
      </c>
      <c r="P285" s="119">
        <v>268.39999999999998</v>
      </c>
    </row>
    <row r="286" spans="1:16" x14ac:dyDescent="0.3">
      <c r="A286" s="146"/>
      <c r="B286" s="94">
        <v>43586</v>
      </c>
      <c r="C286" s="105">
        <f t="shared" si="6"/>
        <v>38209.609999999993</v>
      </c>
      <c r="D286" s="105">
        <v>20543.759999999998</v>
      </c>
      <c r="E286" s="105">
        <v>1287.54</v>
      </c>
      <c r="F286" s="105">
        <v>2059</v>
      </c>
      <c r="G286" s="105">
        <v>180.38</v>
      </c>
      <c r="H286" s="105">
        <v>72</v>
      </c>
      <c r="I286" s="105">
        <v>1667.96</v>
      </c>
      <c r="J286" s="105">
        <v>752</v>
      </c>
      <c r="K286" s="105">
        <v>7225.32</v>
      </c>
      <c r="L286" s="105">
        <v>768.49</v>
      </c>
      <c r="M286" s="105">
        <v>13.2</v>
      </c>
      <c r="N286" s="105"/>
      <c r="O286" s="105">
        <v>2962.96</v>
      </c>
      <c r="P286" s="119">
        <v>677</v>
      </c>
    </row>
    <row r="287" spans="1:16" x14ac:dyDescent="0.3">
      <c r="A287" s="146"/>
      <c r="B287" s="94">
        <v>43617</v>
      </c>
      <c r="C287" s="105">
        <f t="shared" si="6"/>
        <v>34482.51</v>
      </c>
      <c r="D287" s="105">
        <v>17287.25</v>
      </c>
      <c r="E287" s="105">
        <v>4837.59</v>
      </c>
      <c r="F287" s="105">
        <v>795.93</v>
      </c>
      <c r="G287" s="105">
        <v>379.51</v>
      </c>
      <c r="H287" s="105">
        <v>288.45</v>
      </c>
      <c r="I287" s="105">
        <v>744.4</v>
      </c>
      <c r="J287" s="105">
        <v>618</v>
      </c>
      <c r="K287" s="105">
        <v>7264.69</v>
      </c>
      <c r="L287" s="105">
        <v>-66.23</v>
      </c>
      <c r="M287" s="105">
        <v>81.48</v>
      </c>
      <c r="N287" s="105"/>
      <c r="O287" s="105">
        <v>2228.44</v>
      </c>
      <c r="P287" s="119">
        <v>23</v>
      </c>
    </row>
    <row r="288" spans="1:16" x14ac:dyDescent="0.3">
      <c r="A288" s="146"/>
      <c r="B288" s="94">
        <v>43647</v>
      </c>
      <c r="C288" s="105">
        <f t="shared" si="6"/>
        <v>22341.43</v>
      </c>
      <c r="D288" s="105">
        <v>6350.11</v>
      </c>
      <c r="E288" s="105">
        <v>1528.95</v>
      </c>
      <c r="F288" s="105">
        <v>2700.17</v>
      </c>
      <c r="G288" s="105">
        <v>488.46</v>
      </c>
      <c r="H288" s="105">
        <v>585</v>
      </c>
      <c r="I288" s="105">
        <v>1412.9</v>
      </c>
      <c r="J288" s="105">
        <v>1402</v>
      </c>
      <c r="K288" s="105">
        <v>4822.46</v>
      </c>
      <c r="L288" s="105">
        <v>168.4</v>
      </c>
      <c r="M288" s="105">
        <v>125.08</v>
      </c>
      <c r="N288" s="105">
        <v>488.85</v>
      </c>
      <c r="O288" s="105">
        <v>2269.0500000000002</v>
      </c>
      <c r="P288" s="119"/>
    </row>
    <row r="289" spans="1:16" x14ac:dyDescent="0.3">
      <c r="A289" s="146"/>
      <c r="B289" s="94">
        <v>43678</v>
      </c>
      <c r="C289" s="105">
        <f t="shared" si="6"/>
        <v>12487.900000000001</v>
      </c>
      <c r="D289" s="105">
        <v>3841.67</v>
      </c>
      <c r="E289" s="105">
        <v>572.75</v>
      </c>
      <c r="F289" s="105">
        <v>496</v>
      </c>
      <c r="G289" s="105">
        <v>305.99</v>
      </c>
      <c r="H289" s="105">
        <v>112</v>
      </c>
      <c r="I289" s="105">
        <v>654.66</v>
      </c>
      <c r="J289" s="105">
        <v>1336.89</v>
      </c>
      <c r="K289" s="105">
        <v>2132.29</v>
      </c>
      <c r="L289" s="105">
        <v>193.36</v>
      </c>
      <c r="M289" s="105">
        <v>75</v>
      </c>
      <c r="N289" s="105"/>
      <c r="O289" s="105">
        <v>2767.29</v>
      </c>
      <c r="P289" s="119"/>
    </row>
    <row r="290" spans="1:16" x14ac:dyDescent="0.3">
      <c r="A290" s="146"/>
      <c r="B290" s="94">
        <v>43709</v>
      </c>
      <c r="C290" s="105">
        <f t="shared" si="6"/>
        <v>30374.46</v>
      </c>
      <c r="D290" s="105">
        <v>14140.52</v>
      </c>
      <c r="E290" s="105">
        <v>3447.18</v>
      </c>
      <c r="F290" s="105">
        <v>734.57</v>
      </c>
      <c r="G290" s="105">
        <v>415.32</v>
      </c>
      <c r="H290" s="105">
        <v>578.46</v>
      </c>
      <c r="I290" s="105">
        <v>1459.89</v>
      </c>
      <c r="J290" s="105">
        <v>740.6</v>
      </c>
      <c r="K290" s="105">
        <v>6095.1</v>
      </c>
      <c r="L290" s="105">
        <v>509.19</v>
      </c>
      <c r="M290" s="105">
        <v>15</v>
      </c>
      <c r="N290" s="105"/>
      <c r="O290" s="105">
        <v>2205.63</v>
      </c>
      <c r="P290" s="119">
        <v>33</v>
      </c>
    </row>
    <row r="291" spans="1:16" x14ac:dyDescent="0.3">
      <c r="A291" s="146"/>
      <c r="B291" s="94">
        <v>43739</v>
      </c>
      <c r="C291" s="105">
        <f t="shared" si="6"/>
        <v>43423.88</v>
      </c>
      <c r="D291" s="105">
        <v>17181.14</v>
      </c>
      <c r="E291" s="105">
        <v>3041.99</v>
      </c>
      <c r="F291" s="105">
        <v>1168.2</v>
      </c>
      <c r="G291" s="105">
        <v>886.03</v>
      </c>
      <c r="H291" s="105">
        <v>1009.72</v>
      </c>
      <c r="I291" s="105">
        <v>611.19000000000005</v>
      </c>
      <c r="J291" s="105">
        <v>6751.8</v>
      </c>
      <c r="K291" s="105">
        <v>8496.86</v>
      </c>
      <c r="L291" s="105">
        <v>1396.94</v>
      </c>
      <c r="M291" s="105"/>
      <c r="N291" s="105"/>
      <c r="O291" s="105">
        <v>2447.5100000000002</v>
      </c>
      <c r="P291" s="119">
        <v>432.5</v>
      </c>
    </row>
    <row r="292" spans="1:16" x14ac:dyDescent="0.3">
      <c r="A292" s="146"/>
      <c r="B292" s="94">
        <v>43770</v>
      </c>
      <c r="C292" s="105">
        <f t="shared" si="6"/>
        <v>32839.950000000004</v>
      </c>
      <c r="D292" s="105">
        <v>15686.61</v>
      </c>
      <c r="E292" s="105">
        <v>2710.37</v>
      </c>
      <c r="F292" s="105">
        <v>1645.53</v>
      </c>
      <c r="G292" s="105">
        <v>731.52</v>
      </c>
      <c r="H292" s="105">
        <v>124.95</v>
      </c>
      <c r="I292" s="105">
        <v>1032.4000000000001</v>
      </c>
      <c r="J292" s="105">
        <v>480</v>
      </c>
      <c r="K292" s="105">
        <v>7483.3</v>
      </c>
      <c r="L292" s="105">
        <v>951.38</v>
      </c>
      <c r="M292" s="105"/>
      <c r="N292" s="105"/>
      <c r="O292" s="105">
        <v>1895.56</v>
      </c>
      <c r="P292" s="119">
        <v>98.33</v>
      </c>
    </row>
    <row r="293" spans="1:16" x14ac:dyDescent="0.3">
      <c r="A293" s="146"/>
      <c r="B293" s="94">
        <v>43800</v>
      </c>
      <c r="C293" s="105">
        <f t="shared" si="6"/>
        <v>34337.68</v>
      </c>
      <c r="D293" s="105">
        <v>12030.66</v>
      </c>
      <c r="E293" s="105">
        <v>4741.1499999999996</v>
      </c>
      <c r="F293" s="105">
        <v>1064.74</v>
      </c>
      <c r="G293" s="105">
        <v>1056.1199999999999</v>
      </c>
      <c r="H293" s="105"/>
      <c r="I293" s="105">
        <v>3194.7</v>
      </c>
      <c r="J293" s="105">
        <v>765</v>
      </c>
      <c r="K293" s="105">
        <v>8199.66</v>
      </c>
      <c r="L293" s="105">
        <v>687.35</v>
      </c>
      <c r="M293" s="105"/>
      <c r="N293" s="105"/>
      <c r="O293" s="105">
        <v>2313.3000000000002</v>
      </c>
      <c r="P293" s="119">
        <v>285</v>
      </c>
    </row>
    <row r="294" spans="1:16" x14ac:dyDescent="0.3">
      <c r="A294" s="146"/>
      <c r="B294" s="94">
        <v>43831</v>
      </c>
      <c r="C294" s="105">
        <f t="shared" si="6"/>
        <v>34168.15</v>
      </c>
      <c r="D294" s="105">
        <v>17483.59</v>
      </c>
      <c r="E294" s="105">
        <v>2562.09</v>
      </c>
      <c r="F294" s="105">
        <v>1394.02</v>
      </c>
      <c r="G294" s="105">
        <v>422.72</v>
      </c>
      <c r="H294" s="105">
        <v>110.54</v>
      </c>
      <c r="I294" s="105">
        <v>510.5</v>
      </c>
      <c r="J294" s="105">
        <v>746.44</v>
      </c>
      <c r="K294" s="105">
        <v>7944.16</v>
      </c>
      <c r="L294" s="105">
        <v>869.26</v>
      </c>
      <c r="M294" s="105"/>
      <c r="N294" s="105"/>
      <c r="O294" s="105">
        <v>1940.43</v>
      </c>
      <c r="P294" s="119">
        <v>184.4</v>
      </c>
    </row>
    <row r="295" spans="1:16" x14ac:dyDescent="0.3">
      <c r="A295" s="146"/>
      <c r="B295" s="94">
        <v>43862</v>
      </c>
      <c r="C295" s="105">
        <f t="shared" si="6"/>
        <v>25045.960000000003</v>
      </c>
      <c r="D295" s="105">
        <v>13321.12</v>
      </c>
      <c r="E295" s="105">
        <v>1069.1099999999999</v>
      </c>
      <c r="F295" s="105">
        <v>1301.72</v>
      </c>
      <c r="G295" s="105">
        <v>241.6</v>
      </c>
      <c r="H295" s="105"/>
      <c r="I295" s="105">
        <v>423.58</v>
      </c>
      <c r="J295" s="105">
        <v>1405</v>
      </c>
      <c r="K295" s="105">
        <v>4322.03</v>
      </c>
      <c r="L295" s="105">
        <v>203.97</v>
      </c>
      <c r="M295" s="105">
        <v>4.4000000000000004</v>
      </c>
      <c r="N295" s="105"/>
      <c r="O295" s="105">
        <v>2748.43</v>
      </c>
      <c r="P295" s="119">
        <v>5</v>
      </c>
    </row>
    <row r="296" spans="1:16" x14ac:dyDescent="0.3">
      <c r="A296" s="146"/>
      <c r="B296" s="94">
        <v>43891</v>
      </c>
      <c r="C296" s="92">
        <f t="shared" si="6"/>
        <v>24438.17</v>
      </c>
      <c r="D296" s="92">
        <v>16763.78</v>
      </c>
      <c r="E296" s="92">
        <v>2828.11</v>
      </c>
      <c r="F296" s="92">
        <v>473.55</v>
      </c>
      <c r="G296" s="92">
        <v>7.7</v>
      </c>
      <c r="H296" s="92">
        <v>106.21</v>
      </c>
      <c r="I296" s="92">
        <v>678.7</v>
      </c>
      <c r="J296" s="92">
        <v>825</v>
      </c>
      <c r="K296" s="92">
        <v>2585.12</v>
      </c>
      <c r="P296" s="117">
        <v>170</v>
      </c>
    </row>
    <row r="297" spans="1:16" x14ac:dyDescent="0.3">
      <c r="A297" s="146"/>
      <c r="B297" s="94">
        <v>43922</v>
      </c>
      <c r="C297" s="92">
        <f t="shared" si="6"/>
        <v>4614</v>
      </c>
      <c r="D297" s="92">
        <v>4510.7</v>
      </c>
      <c r="E297" s="92">
        <v>12.5</v>
      </c>
      <c r="F297" s="92">
        <v>28</v>
      </c>
      <c r="K297" s="92">
        <v>62.8</v>
      </c>
      <c r="L297" s="92">
        <v>0</v>
      </c>
    </row>
    <row r="298" spans="1:16" x14ac:dyDescent="0.3">
      <c r="A298" s="146"/>
      <c r="B298" s="94">
        <v>43952</v>
      </c>
      <c r="C298" s="92">
        <f t="shared" si="6"/>
        <v>12738.550000000001</v>
      </c>
      <c r="D298" s="92">
        <v>10845.38</v>
      </c>
      <c r="E298" s="92">
        <v>247.04</v>
      </c>
      <c r="F298" s="92">
        <v>386.1</v>
      </c>
      <c r="G298" s="92">
        <v>14.85</v>
      </c>
      <c r="H298" s="92">
        <v>40</v>
      </c>
      <c r="I298" s="92">
        <v>11.67</v>
      </c>
      <c r="J298" s="92">
        <v>810</v>
      </c>
      <c r="K298" s="92">
        <v>323.51</v>
      </c>
      <c r="L298" s="92">
        <v>60</v>
      </c>
    </row>
    <row r="299" spans="1:16" x14ac:dyDescent="0.3">
      <c r="A299" s="146"/>
      <c r="B299" s="94">
        <v>43983</v>
      </c>
      <c r="C299" s="92">
        <f t="shared" si="6"/>
        <v>18222.400000000001</v>
      </c>
      <c r="D299" s="109">
        <v>15494.14</v>
      </c>
      <c r="E299" s="109">
        <v>574.72</v>
      </c>
      <c r="F299" s="109">
        <v>9.5</v>
      </c>
      <c r="G299" s="109">
        <v>2.5</v>
      </c>
      <c r="H299" s="109"/>
      <c r="I299" s="109">
        <v>10</v>
      </c>
      <c r="J299" s="109">
        <v>1534</v>
      </c>
      <c r="K299" s="109">
        <v>428.9</v>
      </c>
      <c r="L299" s="109">
        <v>105.64</v>
      </c>
      <c r="M299" s="109">
        <v>3</v>
      </c>
      <c r="N299" s="109"/>
      <c r="O299" s="109"/>
      <c r="P299" s="121">
        <v>60</v>
      </c>
    </row>
    <row r="300" spans="1:16" x14ac:dyDescent="0.3">
      <c r="A300" s="146"/>
      <c r="B300" s="94">
        <v>44013</v>
      </c>
      <c r="C300" s="92">
        <f t="shared" si="6"/>
        <v>25766.879999999997</v>
      </c>
      <c r="D300" s="109">
        <v>21306.67</v>
      </c>
      <c r="E300" s="109">
        <v>60.67</v>
      </c>
      <c r="F300" s="109">
        <v>99.88</v>
      </c>
      <c r="G300" s="109"/>
      <c r="H300" s="109"/>
      <c r="I300" s="109">
        <v>-272.89999999999998</v>
      </c>
      <c r="J300" s="109">
        <v>1984</v>
      </c>
      <c r="K300" s="109">
        <v>956.94</v>
      </c>
      <c r="L300" s="109">
        <v>56.22</v>
      </c>
      <c r="M300" s="109"/>
      <c r="N300" s="109"/>
      <c r="O300" s="109">
        <v>1575.4</v>
      </c>
      <c r="P300" s="121"/>
    </row>
    <row r="301" spans="1:16" x14ac:dyDescent="0.3">
      <c r="A301" s="146"/>
      <c r="B301" s="94">
        <v>44044</v>
      </c>
      <c r="C301" s="92">
        <f t="shared" si="6"/>
        <v>15780.54</v>
      </c>
      <c r="D301" s="109">
        <v>14517.04</v>
      </c>
      <c r="E301" s="109">
        <v>141.84</v>
      </c>
      <c r="F301" s="109">
        <v>543.97</v>
      </c>
      <c r="G301" s="109">
        <v>62.25</v>
      </c>
      <c r="H301" s="109">
        <v>166.6</v>
      </c>
      <c r="I301" s="109"/>
      <c r="J301" s="109"/>
      <c r="K301" s="109">
        <v>325.83999999999997</v>
      </c>
      <c r="L301" s="109">
        <v>20</v>
      </c>
      <c r="M301" s="109">
        <v>3</v>
      </c>
      <c r="N301" s="109"/>
      <c r="O301" s="109"/>
      <c r="P301" s="121"/>
    </row>
    <row r="302" spans="1:16" x14ac:dyDescent="0.3">
      <c r="A302" s="146"/>
      <c r="B302" s="94">
        <v>44075</v>
      </c>
      <c r="C302" s="92">
        <f t="shared" si="6"/>
        <v>46048.639999999992</v>
      </c>
      <c r="D302" s="110">
        <v>15559.07</v>
      </c>
      <c r="E302" s="110">
        <v>5470.6</v>
      </c>
      <c r="F302" s="110">
        <v>3116.15</v>
      </c>
      <c r="G302" s="110">
        <v>544.6</v>
      </c>
      <c r="H302" s="110">
        <v>245</v>
      </c>
      <c r="I302" s="110">
        <v>1855.7</v>
      </c>
      <c r="J302" s="110">
        <v>7426</v>
      </c>
      <c r="K302" s="110">
        <v>9103.23</v>
      </c>
      <c r="L302" s="110">
        <v>2684.29</v>
      </c>
      <c r="M302" s="110">
        <v>44</v>
      </c>
      <c r="N302" s="110"/>
      <c r="O302" s="110"/>
      <c r="P302" s="122"/>
    </row>
    <row r="303" spans="1:16" x14ac:dyDescent="0.3">
      <c r="A303" s="146"/>
      <c r="B303" s="94">
        <v>44105</v>
      </c>
      <c r="C303" s="92">
        <f t="shared" si="6"/>
        <v>50211.97</v>
      </c>
      <c r="D303" s="110">
        <v>18993.099999999999</v>
      </c>
      <c r="E303" s="110">
        <v>3743.06</v>
      </c>
      <c r="F303" s="110">
        <v>3790.38</v>
      </c>
      <c r="G303" s="110">
        <v>431.03</v>
      </c>
      <c r="H303" s="110">
        <v>218</v>
      </c>
      <c r="I303" s="110">
        <v>425.95</v>
      </c>
      <c r="J303" s="110">
        <v>8860</v>
      </c>
      <c r="K303" s="110">
        <v>10130.24</v>
      </c>
      <c r="L303" s="110">
        <v>1262.9099999999999</v>
      </c>
      <c r="M303" s="110">
        <v>4.4000000000000004</v>
      </c>
      <c r="N303" s="110"/>
      <c r="O303" s="111">
        <v>2067.9</v>
      </c>
      <c r="P303" s="122">
        <v>285</v>
      </c>
    </row>
    <row r="304" spans="1:16" x14ac:dyDescent="0.3">
      <c r="A304" s="146"/>
      <c r="B304" s="94">
        <v>44136</v>
      </c>
      <c r="C304" s="105">
        <f t="shared" si="6"/>
        <v>21054.29</v>
      </c>
      <c r="D304" s="110">
        <v>7795.13</v>
      </c>
      <c r="E304" s="110">
        <v>3385.74</v>
      </c>
      <c r="F304" s="110">
        <v>1194.3499999999999</v>
      </c>
      <c r="G304" s="110">
        <v>430.03</v>
      </c>
      <c r="H304" s="110">
        <v>102</v>
      </c>
      <c r="I304" s="110">
        <v>335.75</v>
      </c>
      <c r="J304" s="110"/>
      <c r="K304" s="110">
        <v>5538.05</v>
      </c>
      <c r="L304" s="110">
        <v>755.53999999999974</v>
      </c>
      <c r="M304" s="110"/>
      <c r="N304" s="110"/>
      <c r="O304" s="110">
        <v>1517.7</v>
      </c>
      <c r="P304" s="122"/>
    </row>
    <row r="305" spans="1:16" x14ac:dyDescent="0.3">
      <c r="A305" s="146"/>
      <c r="B305" s="94">
        <v>44166</v>
      </c>
      <c r="C305" s="105">
        <f t="shared" si="6"/>
        <v>30054.170000000006</v>
      </c>
      <c r="D305" s="110">
        <v>10318.870000000001</v>
      </c>
      <c r="E305" s="110">
        <v>4142.0200000000004</v>
      </c>
      <c r="F305" s="110">
        <v>3722.04</v>
      </c>
      <c r="G305" s="110">
        <v>252.06</v>
      </c>
      <c r="H305" s="110"/>
      <c r="I305" s="110">
        <v>93.95</v>
      </c>
      <c r="J305" s="110">
        <v>1050</v>
      </c>
      <c r="K305" s="110">
        <v>7195.01</v>
      </c>
      <c r="L305" s="110">
        <v>3280.22</v>
      </c>
      <c r="M305" s="110"/>
      <c r="N305" s="110"/>
      <c r="O305" s="110"/>
      <c r="P305" s="122"/>
    </row>
    <row r="306" spans="1:16" x14ac:dyDescent="0.3">
      <c r="A306" s="146"/>
      <c r="B306" s="94">
        <v>44197</v>
      </c>
      <c r="C306" s="105">
        <f t="shared" si="6"/>
        <v>19852.59</v>
      </c>
      <c r="D306" s="110">
        <v>8527.39</v>
      </c>
      <c r="E306" s="110">
        <v>1143.54</v>
      </c>
      <c r="F306" s="110">
        <v>1257.8</v>
      </c>
      <c r="G306" s="110">
        <v>250.06</v>
      </c>
      <c r="H306" s="110"/>
      <c r="I306" s="110">
        <v>244</v>
      </c>
      <c r="J306" s="110">
        <v>490</v>
      </c>
      <c r="K306" s="110">
        <v>5668.64</v>
      </c>
      <c r="L306" s="110">
        <v>664.31</v>
      </c>
      <c r="M306" s="110"/>
      <c r="N306" s="110"/>
      <c r="O306" s="110">
        <v>1481.85</v>
      </c>
      <c r="P306" s="122">
        <v>125</v>
      </c>
    </row>
    <row r="307" spans="1:16" ht="15" customHeight="1" x14ac:dyDescent="0.3">
      <c r="A307" s="146"/>
      <c r="B307" s="94">
        <v>44228</v>
      </c>
      <c r="C307" s="105">
        <f t="shared" si="6"/>
        <v>39142.74</v>
      </c>
      <c r="D307" s="110">
        <v>20103.52</v>
      </c>
      <c r="E307" s="110">
        <v>1379.16</v>
      </c>
      <c r="F307" s="110">
        <v>1417.6</v>
      </c>
      <c r="G307" s="110">
        <v>445.75</v>
      </c>
      <c r="H307" s="110"/>
      <c r="I307" s="110">
        <v>2012.88</v>
      </c>
      <c r="J307" s="110">
        <v>380</v>
      </c>
      <c r="K307" s="110">
        <v>9965.08</v>
      </c>
      <c r="L307" s="110">
        <v>1751.52</v>
      </c>
      <c r="M307" s="110">
        <v>14.9</v>
      </c>
      <c r="N307" s="110"/>
      <c r="O307" s="110">
        <v>1332.33</v>
      </c>
      <c r="P307" s="122">
        <v>340</v>
      </c>
    </row>
    <row r="308" spans="1:16" ht="15" customHeight="1" x14ac:dyDescent="0.3">
      <c r="A308" s="146"/>
      <c r="B308" s="94">
        <v>44256</v>
      </c>
      <c r="C308" s="105">
        <f t="shared" si="6"/>
        <v>30852.810000000005</v>
      </c>
      <c r="D308" s="110">
        <v>15879.03</v>
      </c>
      <c r="E308" s="110">
        <v>2371.7600000000002</v>
      </c>
      <c r="F308" s="110">
        <v>2679.08</v>
      </c>
      <c r="G308" s="110">
        <v>317.25</v>
      </c>
      <c r="H308" s="110"/>
      <c r="I308" s="110">
        <v>98.47</v>
      </c>
      <c r="J308" s="110">
        <v>199.4</v>
      </c>
      <c r="K308" s="110">
        <v>6672.51</v>
      </c>
      <c r="L308" s="110">
        <v>957.94</v>
      </c>
      <c r="M308" s="110">
        <v>15</v>
      </c>
      <c r="N308" s="110"/>
      <c r="O308" s="110">
        <v>1542.37</v>
      </c>
      <c r="P308" s="110">
        <v>120</v>
      </c>
    </row>
    <row r="309" spans="1:16" ht="15" customHeight="1" x14ac:dyDescent="0.3">
      <c r="A309" s="146"/>
      <c r="B309" s="94">
        <v>44287</v>
      </c>
      <c r="C309" s="105">
        <f t="shared" si="6"/>
        <v>26140.600000000006</v>
      </c>
      <c r="D309" s="110">
        <v>15178.78</v>
      </c>
      <c r="E309" s="110">
        <v>1025.8599999999999</v>
      </c>
      <c r="F309" s="110">
        <v>485.95</v>
      </c>
      <c r="G309" s="110">
        <v>512.05999999999995</v>
      </c>
      <c r="H309" s="110">
        <v>130.13</v>
      </c>
      <c r="I309" s="110">
        <v>146.24</v>
      </c>
      <c r="J309" s="110">
        <v>199.4</v>
      </c>
      <c r="K309" s="110">
        <v>6007.44</v>
      </c>
      <c r="L309" s="110">
        <v>619.80999999999995</v>
      </c>
      <c r="M309" s="110">
        <v>168.85</v>
      </c>
      <c r="N309" s="110"/>
      <c r="O309" s="110">
        <v>1666.08</v>
      </c>
      <c r="P309" s="110"/>
    </row>
    <row r="310" spans="1:16" ht="15" customHeight="1" x14ac:dyDescent="0.3">
      <c r="A310" s="146"/>
      <c r="B310" s="94">
        <v>44317</v>
      </c>
      <c r="C310" s="105">
        <f t="shared" si="6"/>
        <v>21615.73</v>
      </c>
      <c r="D310" s="110">
        <v>8551.16</v>
      </c>
      <c r="E310" s="110">
        <v>951.83</v>
      </c>
      <c r="F310" s="110">
        <v>3236.59</v>
      </c>
      <c r="G310" s="110">
        <v>309.68</v>
      </c>
      <c r="H310" s="110">
        <v>433.29</v>
      </c>
      <c r="I310" s="110">
        <v>62.08</v>
      </c>
      <c r="J310" s="110"/>
      <c r="K310" s="110">
        <v>5477.41</v>
      </c>
      <c r="L310" s="110">
        <v>753.84</v>
      </c>
      <c r="M310" s="110">
        <v>2</v>
      </c>
      <c r="N310" s="110"/>
      <c r="O310" s="110">
        <v>1837.85</v>
      </c>
      <c r="P310" s="110"/>
    </row>
    <row r="311" spans="1:16" ht="15" customHeight="1" x14ac:dyDescent="0.3">
      <c r="A311" s="146"/>
      <c r="B311" s="94">
        <v>44348</v>
      </c>
      <c r="C311" s="105">
        <f t="shared" si="6"/>
        <v>26762.86</v>
      </c>
      <c r="D311" s="110">
        <v>7100.75</v>
      </c>
      <c r="E311" s="110">
        <v>3806.74</v>
      </c>
      <c r="F311" s="110">
        <v>3648.36</v>
      </c>
      <c r="G311" s="110">
        <v>480.05</v>
      </c>
      <c r="H311" s="110"/>
      <c r="I311" s="110">
        <v>19.760000000000002</v>
      </c>
      <c r="J311" s="110">
        <v>3234</v>
      </c>
      <c r="K311" s="110">
        <v>5433.97</v>
      </c>
      <c r="L311" s="110">
        <v>954.21</v>
      </c>
      <c r="M311" s="110"/>
      <c r="N311" s="110"/>
      <c r="O311" s="110">
        <v>1885.02</v>
      </c>
      <c r="P311" s="110">
        <v>200</v>
      </c>
    </row>
    <row r="312" spans="1:16" ht="15" customHeight="1" x14ac:dyDescent="0.3">
      <c r="A312" s="146"/>
      <c r="B312" s="94">
        <v>44378</v>
      </c>
      <c r="C312" s="105">
        <f t="shared" si="6"/>
        <v>17282.43</v>
      </c>
      <c r="D312" s="110">
        <v>7096.58</v>
      </c>
      <c r="E312" s="110">
        <v>890.87</v>
      </c>
      <c r="F312" s="110">
        <v>-489.49</v>
      </c>
      <c r="G312" s="110">
        <v>986.6</v>
      </c>
      <c r="H312" s="110">
        <v>639.88</v>
      </c>
      <c r="I312" s="110"/>
      <c r="J312" s="110">
        <v>99.7</v>
      </c>
      <c r="K312" s="110">
        <v>5364.34</v>
      </c>
      <c r="L312" s="110">
        <v>639.14</v>
      </c>
      <c r="M312" s="110">
        <v>18</v>
      </c>
      <c r="N312" s="110"/>
      <c r="O312" s="110">
        <v>1894.81</v>
      </c>
      <c r="P312" s="110">
        <v>142</v>
      </c>
    </row>
    <row r="313" spans="1:16" ht="15" customHeight="1" x14ac:dyDescent="0.3">
      <c r="A313" s="146"/>
      <c r="B313" s="94">
        <v>44409</v>
      </c>
      <c r="C313" s="105">
        <f t="shared" si="6"/>
        <v>29533.599999999999</v>
      </c>
      <c r="D313" s="110">
        <v>12105.63</v>
      </c>
      <c r="E313" s="110">
        <v>964.92</v>
      </c>
      <c r="F313" s="110">
        <v>151.35</v>
      </c>
      <c r="G313" s="110">
        <v>180.45</v>
      </c>
      <c r="H313" s="110"/>
      <c r="I313" s="110">
        <v>15.91</v>
      </c>
      <c r="J313" s="110">
        <v>338</v>
      </c>
      <c r="K313" s="110">
        <v>4429.66</v>
      </c>
      <c r="L313" s="110">
        <v>1615.1</v>
      </c>
      <c r="M313" s="110"/>
      <c r="N313" s="110"/>
      <c r="O313" s="110">
        <v>9672.58</v>
      </c>
      <c r="P313" s="110">
        <v>60</v>
      </c>
    </row>
    <row r="314" spans="1:16" ht="15" customHeight="1" x14ac:dyDescent="0.3">
      <c r="A314" s="146"/>
      <c r="B314" s="94">
        <v>44440</v>
      </c>
      <c r="C314" s="105">
        <f t="shared" ref="C314:C319" si="7">SUM(D314:P314)</f>
        <v>20564.46</v>
      </c>
      <c r="D314" s="105">
        <f>GETPIVOTDATA("CA",[1]Feuil1!$A$1,"Agence","Evreux","Catégorie","Petit Format Couleur")</f>
        <v>10527.66</v>
      </c>
      <c r="E314" s="105">
        <f>GETPIVOTDATA("CA",[1]Feuil1!$A$1,"Agence","Evreux","Catégorie","Petit Format N&amp;B")</f>
        <v>1286.92</v>
      </c>
      <c r="F314" s="105">
        <f>GETPIVOTDATA("CA",[1]Feuil1!$A$1,"Agence","Evreux","Catégorie","Grand Format Couleur")</f>
        <v>1000.4</v>
      </c>
      <c r="G314" s="105">
        <f>GETPIVOTDATA("CA",[1]Feuil1!$A$1,"Agence","Evreux","Catégorie","Grand Format n&amp;b")</f>
        <v>171.1</v>
      </c>
      <c r="H314" s="105">
        <f>GETPIVOTDATA("CA",[1]Feuil1!$A$1,"Agence","Evreux","Catégorie","imagerie")</f>
        <v>274.60000000000002</v>
      </c>
      <c r="I314" s="105">
        <f>GETPIVOTDATA("CA",[1]Feuil1!$A$1,"Agence","Evreux","Catégorie","Numérisation")</f>
        <v>339.84</v>
      </c>
      <c r="J314" s="105">
        <f>GETPIVOTDATA("CA",[1]Feuil1!$A$1,"Agence","Evreux","Catégorie","Sous Traitance")</f>
        <v>0</v>
      </c>
      <c r="K314" s="105">
        <f>GETPIVOTDATA("CA",[1]Feuil1!$A$1,"Agence","Evreux","Catégorie","finition")</f>
        <v>3884.08</v>
      </c>
      <c r="L314" s="105">
        <f>GETPIVOTDATA("CA",[1]Feuil1!$A$1,"Agence","Evreux","Catégorie","Livraison")</f>
        <v>1132.6600000000001</v>
      </c>
      <c r="M314" s="105">
        <f>GETPIVOTDATA("CA",[1]Feuil1!$A$1,"Agence","Evreux","Catégorie","divers")</f>
        <v>5</v>
      </c>
      <c r="N314" s="105">
        <f>GETPIVOTDATA("CA",[1]Feuil1!$A$1,"Agence","Evreux","Catégorie","Cross Media")</f>
        <v>0</v>
      </c>
      <c r="O314" s="105">
        <f>GETPIVOTDATA("CA",[1]Feuil1!$A$1,"Agence","Evreux","Catégorie","affranchissement")</f>
        <v>1762.2</v>
      </c>
      <c r="P314" s="105">
        <f>GETPIVOTDATA("CA",[1]Feuil1!$A$1,"Agence","Evreux","Catégorie","STUDIO GRAPHIQUE")</f>
        <v>180</v>
      </c>
    </row>
    <row r="315" spans="1:16" ht="15" customHeight="1" x14ac:dyDescent="0.3">
      <c r="A315" s="146"/>
      <c r="B315" s="94">
        <v>44470</v>
      </c>
      <c r="C315" s="105">
        <f t="shared" si="7"/>
        <v>42380.98</v>
      </c>
      <c r="D315" s="110">
        <f>GETPIVOTDATA("CA",[2]Feuil1!$A$1,"Agence","Evreux","Catégorie","Petit Format Couleur")</f>
        <v>22496.27</v>
      </c>
      <c r="E315" s="110">
        <f>GETPIVOTDATA("CA",[2]Feuil1!$A$1,"Agence","Evreux","Catégorie","Petit Format N&amp;B")</f>
        <v>1998.64</v>
      </c>
      <c r="F315" s="110">
        <f>GETPIVOTDATA("CA",[2]Feuil1!$A$1,"Agence","Evreux","Catégorie","Grand Format Couleur")</f>
        <v>1438.2</v>
      </c>
      <c r="G315" s="110">
        <f>GETPIVOTDATA("CA",[2]Feuil1!$A$1,"Agence","Evreux","Catégorie","Grand Format n&amp;b")</f>
        <v>653.41999999999996</v>
      </c>
      <c r="H315" s="110">
        <f>GETPIVOTDATA("CA",[2]Feuil1!$A$1,"Agence","Evreux","Catégorie","imagerie")</f>
        <v>3049.42</v>
      </c>
      <c r="I315" s="110">
        <f>GETPIVOTDATA("CA",[2]Feuil1!$A$1,"Agence","Evreux","Catégorie","Numérisation")</f>
        <v>608.24</v>
      </c>
      <c r="J315" s="110">
        <f>GETPIVOTDATA("CA",[2]Feuil1!$A$1,"Agence","Evreux","Catégorie","Sous Traitance")</f>
        <v>0</v>
      </c>
      <c r="K315" s="110">
        <f>GETPIVOTDATA("CA",[2]Feuil1!$A$1,"Agence","Evreux","Catégorie","finition")</f>
        <v>8965.0300000000007</v>
      </c>
      <c r="L315" s="110">
        <f>GETPIVOTDATA("CA",[2]Feuil1!$A$1,"Agence","Evreux","Catégorie","Livraison")</f>
        <v>1097.8499999999999</v>
      </c>
      <c r="M315" s="110">
        <f>GETPIVOTDATA("CA",[2]Feuil1!$A$1,"Agence","Evreux","Catégorie","divers")</f>
        <v>16</v>
      </c>
      <c r="N315" s="110">
        <f>GETPIVOTDATA("CA",[2]Feuil1!$A$1,"Agence","Evreux","Catégorie","Cross Media")</f>
        <v>0</v>
      </c>
      <c r="O315" s="110">
        <f>GETPIVOTDATA("CA",[2]Feuil1!$A$1,"Agence","Evreux","Catégorie","affranchissement")</f>
        <v>1930.41</v>
      </c>
      <c r="P315" s="122">
        <f>GETPIVOTDATA("CA",[2]Feuil1!$A$1,"Agence","Evreux","Catégorie","STUDIO GRAPHIQUE")</f>
        <v>127.5</v>
      </c>
    </row>
    <row r="316" spans="1:16" ht="15" customHeight="1" x14ac:dyDescent="0.3">
      <c r="A316" s="146"/>
      <c r="B316" s="94">
        <v>44501</v>
      </c>
      <c r="C316" s="105">
        <f t="shared" si="7"/>
        <v>48949.89</v>
      </c>
      <c r="D316" s="110">
        <f>GETPIVOTDATA("CA",[3]Feuil1!$A$1,"Agence","Evreux","Catégorie","Petit Format Couleur")</f>
        <v>23377.38</v>
      </c>
      <c r="E316" s="110">
        <f>GETPIVOTDATA("CA",[3]Feuil1!$A$1,"Agence","Evreux","Catégorie","Petit Format N&amp;B")</f>
        <v>2530.7800000000002</v>
      </c>
      <c r="F316" s="110">
        <f>GETPIVOTDATA("CA",[3]Feuil1!$A$1,"Agence","Evreux","Catégorie","Grand Format Couleur")</f>
        <v>1235.99</v>
      </c>
      <c r="G316" s="110">
        <f>GETPIVOTDATA("CA",[3]Feuil1!$A$1,"Agence","Evreux","Catégorie","Grand Format n&amp;b")</f>
        <v>354.49</v>
      </c>
      <c r="H316" s="110">
        <f>GETPIVOTDATA("CA",[3]Feuil1!$A$1,"Agence","Evreux","Catégorie","imagerie")</f>
        <v>2937.18</v>
      </c>
      <c r="I316" s="110">
        <f>GETPIVOTDATA("CA",[3]Feuil1!$A$1,"Agence","Evreux","Catégorie","Numérisation")</f>
        <v>586.6</v>
      </c>
      <c r="J316" s="110">
        <f>GETPIVOTDATA("CA",[3]Feuil1!$A$1,"Agence","Evreux","Catégorie","Sous Traitance")</f>
        <v>699</v>
      </c>
      <c r="K316" s="110">
        <f>GETPIVOTDATA("CA",[3]Feuil1!$A$1,"Agence","Evreux","Catégorie","finition")</f>
        <v>13104.9</v>
      </c>
      <c r="L316" s="110">
        <f>GETPIVOTDATA("CA",[3]Feuil1!$A$1,"Agence","Evreux","Catégorie","Livraison")</f>
        <v>1738.82</v>
      </c>
      <c r="M316" s="110">
        <f>GETPIVOTDATA("CA",[3]Feuil1!$A$1,"Agence","Evreux","Catégorie","divers")</f>
        <v>3</v>
      </c>
      <c r="N316" s="110">
        <f>GETPIVOTDATA("CA",[3]Feuil1!$A$1,"Agence","Evreux","Catégorie","Cross Media")</f>
        <v>0</v>
      </c>
      <c r="O316" s="110">
        <f>GETPIVOTDATA("CA",[3]Feuil1!$A$1,"Agence","Evreux","Catégorie","affranchissement")</f>
        <v>1511.75</v>
      </c>
      <c r="P316" s="122">
        <f>GETPIVOTDATA("CA",[3]Feuil1!$A$1,"Agence","Evreux","Catégorie","STUDIO GRAPHIQUE")</f>
        <v>870</v>
      </c>
    </row>
    <row r="317" spans="1:16" ht="15" customHeight="1" x14ac:dyDescent="0.3">
      <c r="A317" s="146"/>
      <c r="B317" s="94">
        <v>44531</v>
      </c>
      <c r="C317" s="105">
        <f t="shared" si="7"/>
        <v>34450.1</v>
      </c>
      <c r="D317" s="110">
        <f>GETPIVOTDATA("CA",[4]Feuil1!$A$1,"Agence","Evreux","Catégorie","Petit Format Couleur")</f>
        <v>12886.32</v>
      </c>
      <c r="E317" s="110">
        <f>GETPIVOTDATA("CA",[4]Feuil1!$A$1,"Agence","Evreux","Catégorie","Petit Format N&amp;B")</f>
        <v>2145.9699999999998</v>
      </c>
      <c r="F317" s="110">
        <f>GETPIVOTDATA("CA",[4]Feuil1!$A$1,"Agence","Evreux","Catégorie","Grand Format Couleur")</f>
        <v>599.4</v>
      </c>
      <c r="G317" s="110">
        <f>GETPIVOTDATA("CA",[4]Feuil1!$A$1,"Agence","Evreux","Catégorie","Grand Format n&amp;b")</f>
        <v>346.8</v>
      </c>
      <c r="H317" s="110">
        <f>GETPIVOTDATA("CA",[4]Feuil1!$A$1,"Agence","Evreux","Catégorie","imagerie")</f>
        <v>0</v>
      </c>
      <c r="I317" s="110">
        <f>GETPIVOTDATA("CA",[4]Feuil1!$A$1,"Agence","Evreux","Catégorie","Numérisation")</f>
        <v>447.6</v>
      </c>
      <c r="J317" s="110">
        <f>GETPIVOTDATA("CA",[4]Feuil1!$A$1,"Agence","Evreux","Catégorie","Sous Traitance")</f>
        <v>4673.8</v>
      </c>
      <c r="K317" s="110">
        <f>GETPIVOTDATA("CA",[4]Feuil1!$A$1,"Agence","Evreux","Catégorie","finition")</f>
        <v>9575.82</v>
      </c>
      <c r="L317" s="110">
        <f>GETPIVOTDATA("CA",[4]Feuil1!$A$1,"Agence","Evreux","Catégorie","Livraison")</f>
        <v>1543.95</v>
      </c>
      <c r="M317" s="110">
        <f>GETPIVOTDATA("CA",[4]Feuil1!$A$1,"Agence","Evreux","Catégorie","divers")</f>
        <v>15</v>
      </c>
      <c r="N317" s="110">
        <f>GETPIVOTDATA("CA",[4]Feuil1!$A$1,"Agence","Evreux","Catégorie","Cross Media")</f>
        <v>0</v>
      </c>
      <c r="O317" s="110">
        <f>GETPIVOTDATA("CA",[4]Feuil1!$A$1,"Agence","Evreux","Catégorie","affranchissement")</f>
        <v>2087.94</v>
      </c>
      <c r="P317" s="122">
        <f>GETPIVOTDATA("CA",[4]Feuil1!$A$1,"Agence","Evreux","Catégorie","STUDIO GRAPHIQUE")</f>
        <v>127.5</v>
      </c>
    </row>
    <row r="318" spans="1:16" ht="15" customHeight="1" x14ac:dyDescent="0.3">
      <c r="A318" s="146"/>
      <c r="B318" s="94">
        <v>44562</v>
      </c>
      <c r="C318" s="105">
        <f t="shared" si="7"/>
        <v>49007.159999999996</v>
      </c>
      <c r="D318" s="110">
        <f>GETPIVOTDATA("CA",[5]Feuil1!$A$1,"Agence","Evreux","Catégorie","Petit Format Couleur")</f>
        <v>28039.4</v>
      </c>
      <c r="E318" s="110">
        <f>GETPIVOTDATA("CA",[5]Feuil1!$A$1,"Agence","Evreux","Catégorie","Petit Format N&amp;B")</f>
        <v>2201.3200000000002</v>
      </c>
      <c r="F318" s="110">
        <f>GETPIVOTDATA("CA",[5]Feuil1!$A$1,"Agence","Evreux","Catégorie","Grand Format Couleur")</f>
        <v>931.9</v>
      </c>
      <c r="G318" s="110">
        <f>GETPIVOTDATA("CA",[5]Feuil1!$A$1,"Agence","Evreux","Catégorie","Grand Format n&amp;b")</f>
        <v>178.65</v>
      </c>
      <c r="H318" s="110">
        <f>GETPIVOTDATA("CA",[5]Feuil1!$A$1,"Agence","Evreux","Catégorie","imagerie")</f>
        <v>96</v>
      </c>
      <c r="I318" s="110">
        <f>GETPIVOTDATA("CA",[5]Feuil1!$A$1,"Agence","Evreux","Catégorie","Numérisation")</f>
        <v>70.78</v>
      </c>
      <c r="J318" s="110">
        <f>GETPIVOTDATA("CA",[5]Feuil1!$A$1,"Agence","Evreux","Catégorie","Sous Traitance")</f>
        <v>0</v>
      </c>
      <c r="K318" s="110">
        <f>GETPIVOTDATA("CA",[5]Feuil1!$A$1,"Agence","Evreux","Catégorie","finition")</f>
        <v>13159.49</v>
      </c>
      <c r="L318" s="110">
        <f>GETPIVOTDATA("CA",[5]Feuil1!$A$1,"Agence","Evreux","Catégorie","Livraison")</f>
        <v>2244.6999999999998</v>
      </c>
      <c r="M318" s="110">
        <f>GETPIVOTDATA("CA",[5]Feuil1!$A$1,"Agence","Evreux","Catégorie","divers")</f>
        <v>61</v>
      </c>
      <c r="N318" s="110">
        <f>GETPIVOTDATA("CA",[5]Feuil1!$A$1,"Agence","Evreux","Catégorie","Cross Media")</f>
        <v>0</v>
      </c>
      <c r="O318" s="110">
        <f>GETPIVOTDATA("CA",[5]Feuil1!$A$1,"Agence","Evreux","Catégorie","affranchissement")</f>
        <v>1513.92</v>
      </c>
      <c r="P318" s="122">
        <f>GETPIVOTDATA("CA",[5]Feuil1!$A$1,"Agence","Evreux","Catégorie","STUDIO GRAPHIQUE")</f>
        <v>510</v>
      </c>
    </row>
    <row r="319" spans="1:16" ht="15" customHeight="1" x14ac:dyDescent="0.3">
      <c r="A319" s="146"/>
      <c r="B319" s="94">
        <v>44593</v>
      </c>
      <c r="C319" s="105">
        <f t="shared" si="7"/>
        <v>34856.169999999991</v>
      </c>
      <c r="D319" s="110">
        <f>GETPIVOTDATA("CA",[6]Feuil1!$A$1,"Agence","Evreux","Catégorie","Petit Format Couleur")</f>
        <v>18413.919999999998</v>
      </c>
      <c r="E319" s="110">
        <f>GETPIVOTDATA("CA",[6]Feuil1!$A$1,"Agence","Evreux","Catégorie","Petit Format N&amp;B")</f>
        <v>836.48</v>
      </c>
      <c r="F319" s="110">
        <f>GETPIVOTDATA("CA",[6]Feuil1!$A$1,"Agence","Evreux","Catégorie","Grand Format Couleur")</f>
        <v>651.66999999999996</v>
      </c>
      <c r="G319" s="110">
        <f>GETPIVOTDATA("CA",[6]Feuil1!$A$1,"Agence","Evreux","Catégorie","Grand Format n&amp;b")</f>
        <v>129.94</v>
      </c>
      <c r="H319" s="110">
        <f>GETPIVOTDATA("CA",[6]Feuil1!$A$1,"Agence","Evreux","Catégorie","imagerie")</f>
        <v>3740</v>
      </c>
      <c r="I319" s="110">
        <f>GETPIVOTDATA("CA",[6]Feuil1!$A$1,"Agence","Evreux","Catégorie","Numérisation")</f>
        <v>97.81</v>
      </c>
      <c r="J319" s="110">
        <f>GETPIVOTDATA("CA",[6]Feuil1!$A$1,"Agence","Evreux","Catégorie","Sous Traitance")</f>
        <v>1292.7</v>
      </c>
      <c r="K319" s="110">
        <f>GETPIVOTDATA("CA",[6]Feuil1!$A$1,"Agence","Evreux","Catégorie","finition")</f>
        <v>7660.81</v>
      </c>
      <c r="L319" s="110">
        <f>GETPIVOTDATA("CA",[6]Feuil1!$A$1,"Agence","Evreux","Catégorie","Livraison")</f>
        <v>1403.21</v>
      </c>
      <c r="M319" s="110">
        <f>GETPIVOTDATA("CA",[6]Feuil1!$A$1,"Agence","Evreux","Catégorie","divers")</f>
        <v>46</v>
      </c>
      <c r="N319" s="110">
        <f>GETPIVOTDATA("CA",[6]Feuil1!$A$1,"Agence","Evreux","Catégorie","Cross Media")</f>
        <v>0</v>
      </c>
      <c r="O319" s="110">
        <f>GETPIVOTDATA("CA",[6]Feuil1!$A$1,"Agence","Evreux","Catégorie","affranchissement")</f>
        <v>408.63</v>
      </c>
      <c r="P319" s="122">
        <f>GETPIVOTDATA("CA",[6]Feuil1!$A$1,"Agence","Evreux","Catégorie","STUDIO GRAPHIQUE")</f>
        <v>175</v>
      </c>
    </row>
    <row r="320" spans="1:16" ht="15" customHeight="1" x14ac:dyDescent="0.3">
      <c r="A320" s="146"/>
      <c r="B320" s="94">
        <v>44621</v>
      </c>
      <c r="C320" s="105">
        <f>SUM(D320:P320)</f>
        <v>54932.139999999985</v>
      </c>
      <c r="D320" s="110">
        <f>GETPIVOTDATA("Montant",[7]Feuil1!$A$1,"Agence","Evreux","Catégorie","Petit Format Couleur")</f>
        <v>37963.919999999998</v>
      </c>
      <c r="E320" s="110">
        <f>GETPIVOTDATA("Montant",[7]Feuil1!$A$1,"Agence","Evreux","Catégorie","Petit Format N&amp;B")</f>
        <v>1598.63</v>
      </c>
      <c r="F320" s="110">
        <f>GETPIVOTDATA("Montant",[7]Feuil1!$A$1,"Agence","Evreux","Catégorie","Grand Format Couleur")</f>
        <v>516.04999999999995</v>
      </c>
      <c r="G320" s="110">
        <f>GETPIVOTDATA("Montant",[7]Feuil1!$A$1,"Agence","Evreux","Catégorie","Grand Format n&amp;b")</f>
        <v>350.86</v>
      </c>
      <c r="H320" s="110">
        <f>GETPIVOTDATA("Montant",[7]Feuil1!$A$1,"Agence","Evreux","Catégorie","imagerie")</f>
        <v>114.95</v>
      </c>
      <c r="I320" s="110">
        <f>GETPIVOTDATA("Montant",[7]Feuil1!$A$1,"Agence","Evreux","Catégorie","Numérisation")</f>
        <v>65.53</v>
      </c>
      <c r="J320" s="110">
        <f>GETPIVOTDATA("Montant",[7]Feuil1!$A$1,"Agence","Evreux","Catégorie","Sous Traitance")</f>
        <v>0</v>
      </c>
      <c r="K320" s="110">
        <f>GETPIVOTDATA("Montant",[7]Feuil1!$A$1,"Agence","Evreux","Catégorie","finition")</f>
        <v>10298.27</v>
      </c>
      <c r="L320" s="110">
        <f>GETPIVOTDATA("Montant",[7]Feuil1!$A$1,"Agence","Evreux","Catégorie","Livraison")</f>
        <v>946.35</v>
      </c>
      <c r="M320" s="110">
        <f>GETPIVOTDATA("Montant",[7]Feuil1!$A$1,"Agence","Evreux","Catégorie","divers")</f>
        <v>1130.02</v>
      </c>
      <c r="N320" s="110">
        <f>GETPIVOTDATA("Montant",[7]Feuil1!$A$1,"Agence","Evreux","Catégorie","Cross Media")</f>
        <v>0</v>
      </c>
      <c r="O320" s="110">
        <f>GETPIVOTDATA("Montant",[7]Feuil1!$A$1,"Agence","Evreux","Catégorie","affranchissement")</f>
        <v>1862.5600000000002</v>
      </c>
      <c r="P320" s="122">
        <f>GETPIVOTDATA("Montant",[7]Feuil1!$A$1,"Agence","Evreux","Catégorie","STUDIO GRAPHIQUE")</f>
        <v>85</v>
      </c>
    </row>
    <row r="321" spans="1:16" ht="15" customHeight="1" x14ac:dyDescent="0.3">
      <c r="A321" s="146"/>
      <c r="B321" s="94">
        <v>44652</v>
      </c>
      <c r="C321" s="105">
        <f>SUM(D321:P321)</f>
        <v>45104.240000000005</v>
      </c>
      <c r="D321" s="110">
        <f>GETPIVOTDATA("CA",[8]Feuil1!$A$1,"Agence","Evreux","Catégorie","Petit Format Couleur")</f>
        <v>28264.080000000002</v>
      </c>
      <c r="E321" s="110">
        <f>GETPIVOTDATA("CA",[8]Feuil1!$A$1,"Agence","Evreux","Catégorie","Petit Format N&amp;B")</f>
        <v>1170.51</v>
      </c>
      <c r="F321" s="110">
        <f>GETPIVOTDATA("CA",[8]Feuil1!$A$1,"Agence","Evreux","Catégorie","Grand Format Couleur")</f>
        <v>1302.7</v>
      </c>
      <c r="G321" s="110">
        <f>GETPIVOTDATA("CA",[8]Feuil1!$A$1,"Agence","Evreux","Catégorie","Grand Format n&amp;b")</f>
        <v>684.07</v>
      </c>
      <c r="H321" s="110">
        <f>GETPIVOTDATA("CA",[8]Feuil1!$A$1,"Agence","Evreux","Catégorie","imagerie")</f>
        <v>1007</v>
      </c>
      <c r="I321" s="110">
        <f>GETPIVOTDATA("CA",[8]Feuil1!$A$1,"Agence","Evreux","Catégorie","Numérisation")</f>
        <v>12.08</v>
      </c>
      <c r="J321" s="110">
        <f>GETPIVOTDATA("CA",[8]Feuil1!$A$1,"Agence","Evreux","Catégorie","Sous Traitance")</f>
        <v>379.9</v>
      </c>
      <c r="K321" s="110">
        <f>GETPIVOTDATA("CA",[8]Feuil1!$A$1,"Agence","Evreux","Catégorie","finition")</f>
        <v>9398.4599999999991</v>
      </c>
      <c r="L321" s="110">
        <f>GETPIVOTDATA("CA",[8]Feuil1!$A$1,"Agence","Evreux","Catégorie","Livraison")</f>
        <v>1090</v>
      </c>
      <c r="M321" s="110">
        <f>GETPIVOTDATA("CA",[8]Feuil1!$A$1,"Agence","Evreux","Catégorie","divers")</f>
        <v>146.76</v>
      </c>
      <c r="N321" s="110">
        <v>0</v>
      </c>
      <c r="O321" s="110">
        <f>GETPIVOTDATA("CA",[8]Feuil1!$A$1,"Agence","Evreux","Catégorie","affranchissement")</f>
        <v>1648.68</v>
      </c>
      <c r="P321" s="122">
        <f>GETPIVOTDATA("CA",[8]Feuil1!$A$1,"Agence","Evreux","Catégorie","STUDIO GRAPHIQUE")</f>
        <v>0</v>
      </c>
    </row>
    <row r="322" spans="1:16" ht="15" customHeight="1" x14ac:dyDescent="0.3">
      <c r="A322" s="146"/>
      <c r="B322" s="94">
        <v>44682</v>
      </c>
      <c r="C322" s="105">
        <f>SUM(D322:P322)</f>
        <v>43754.75</v>
      </c>
      <c r="D322" s="110">
        <f>GETPIVOTDATA("CA",[9]Feuil1!$A$1,"Agence","Evreux","Catégorie","Petit Format Couleur")</f>
        <v>22239.48</v>
      </c>
      <c r="E322" s="110">
        <f>GETPIVOTDATA("CA",[9]Feuil1!$A$1,"Agence","Evreux","Catégorie","Petit Format N&amp;B")</f>
        <v>903.07</v>
      </c>
      <c r="F322" s="110">
        <f>GETPIVOTDATA("CA",[9]Feuil1!$A$1,"Agence","Evreux","Catégorie","Grand Format Couleur")</f>
        <v>1774.55</v>
      </c>
      <c r="G322" s="110">
        <f>GETPIVOTDATA("CA",[9]Feuil1!$A$1,"Agence","Evreux","Catégorie","Grand Format n&amp;b")</f>
        <v>228.11</v>
      </c>
      <c r="H322" s="110">
        <f>GETPIVOTDATA("CA",[9]Feuil1!$A$1,"Agence","Evreux","Catégorie","imagerie")</f>
        <v>538</v>
      </c>
      <c r="I322" s="110">
        <f>GETPIVOTDATA("CA",[9]Feuil1!$A$1,"Agence","Evreux","Catégorie","Numérisation")</f>
        <v>39.200000000000003</v>
      </c>
      <c r="J322" s="110">
        <f>GETPIVOTDATA("CA",[9]Feuil1!$A$1,"Agence","Evreux","Catégorie","Sous Traitance")</f>
        <v>9190</v>
      </c>
      <c r="K322" s="110">
        <f>GETPIVOTDATA("CA",[9]Feuil1!$A$1,"Agence","Evreux","Catégorie","finition")</f>
        <v>6137.99</v>
      </c>
      <c r="L322" s="110">
        <f>GETPIVOTDATA("CA",[9]Feuil1!$A$1,"Agence","Evreux","Catégorie","Livraison")</f>
        <v>905.28</v>
      </c>
      <c r="M322" s="110">
        <f>GETPIVOTDATA("CA",[9]Feuil1!$A$1,"Agence","Evreux","Catégorie","divers")</f>
        <v>78</v>
      </c>
      <c r="N322" s="110">
        <f>GETPIVOTDATA("CA",[9]Feuil1!$A$1,"Agence","Evreux","Catégorie","Cross Media")</f>
        <v>0</v>
      </c>
      <c r="O322" s="110">
        <f>GETPIVOTDATA("CA",[9]Feuil1!$A$1,"Agence","Evreux","Catégorie","affranchissement")</f>
        <v>1721.07</v>
      </c>
      <c r="P322" s="122">
        <f>GETPIVOTDATA("CA",[9]Feuil1!$A$1,"Agence","Evreux","Catégorie","STUDIO GRAPHIQUE")</f>
        <v>0</v>
      </c>
    </row>
    <row r="323" spans="1:16" ht="15" customHeight="1" x14ac:dyDescent="0.3">
      <c r="A323" s="146"/>
      <c r="B323" s="94">
        <v>44713</v>
      </c>
      <c r="C323" s="105">
        <f>SUM(D323:P323)</f>
        <v>29186.760000000006</v>
      </c>
      <c r="D323" s="110">
        <f>GETPIVOTDATA("Montant",[10]Feuil1!$A$1,"Agence","Evreux","Catégorie","Petit Format Couleur")</f>
        <v>15472.18</v>
      </c>
      <c r="E323" s="110">
        <f>GETPIVOTDATA("Montant",[10]Feuil1!$A$1,"Agence","Evreux","Catégorie","Petit Format N&amp;B")</f>
        <v>2205.83</v>
      </c>
      <c r="F323" s="110">
        <f>GETPIVOTDATA("Montant",[10]Feuil1!$A$1,"Agence","Evreux","Catégorie","Grand Format Couleur")</f>
        <v>675.98</v>
      </c>
      <c r="G323" s="110">
        <f>GETPIVOTDATA("Montant",[10]Feuil1!$A$1,"Agence","Evreux","Catégorie","Grand Format n&amp;b")</f>
        <v>347.73</v>
      </c>
      <c r="H323" s="110">
        <f>GETPIVOTDATA("Montant",[10]Feuil1!$A$1,"Agence","Evreux","Catégorie","imagerie")</f>
        <v>261.66000000000003</v>
      </c>
      <c r="I323" s="110">
        <f>GETPIVOTDATA("Montant",[10]Feuil1!$A$1,"Agence","Evreux","Catégorie","Numérisation")</f>
        <v>19.47</v>
      </c>
      <c r="J323" s="110">
        <f>GETPIVOTDATA("Montant",[10]Feuil1!$A$1,"Agence","Evreux","Catégorie","Sous Traitance")</f>
        <v>366.4</v>
      </c>
      <c r="K323" s="110">
        <f>GETPIVOTDATA("Montant",[10]Feuil1!$A$1,"Agence","Evreux","Catégorie","finition")</f>
        <v>5966.81</v>
      </c>
      <c r="L323" s="110">
        <f>GETPIVOTDATA("Montant",[10]Feuil1!$A$1,"Agence","Evreux","Catégorie","Livraison")</f>
        <v>1019.3</v>
      </c>
      <c r="M323" s="110">
        <f>GETPIVOTDATA("Montant",[10]Feuil1!$A$1,"Agence","Evreux","Catégorie","divers")</f>
        <v>604</v>
      </c>
      <c r="N323" s="110">
        <f>GETPIVOTDATA("Montant",[10]Feuil1!$A$1,"Agence","Evreux","Catégorie","Cross Media")</f>
        <v>0</v>
      </c>
      <c r="O323" s="110">
        <f>GETPIVOTDATA("Montant",[10]Feuil1!$A$1,"Agence","Evreux","Catégorie","affranchissement")</f>
        <v>2182.4</v>
      </c>
      <c r="P323" s="122">
        <f>GETPIVOTDATA("Montant",[10]Feuil1!$A$1,"Agence","Evreux","Catégorie","STUDIO GRAPHIQUE")</f>
        <v>65</v>
      </c>
    </row>
    <row r="324" spans="1:16" ht="15" customHeight="1" x14ac:dyDescent="0.3">
      <c r="A324" s="146"/>
      <c r="B324" s="94">
        <v>44743</v>
      </c>
      <c r="C324" s="105"/>
      <c r="D324" s="110"/>
      <c r="E324" s="110"/>
      <c r="F324" s="110"/>
      <c r="G324" s="110"/>
      <c r="H324" s="110"/>
      <c r="I324" s="110"/>
      <c r="J324" s="110"/>
      <c r="K324" s="110"/>
      <c r="L324" s="110"/>
      <c r="M324" s="110"/>
      <c r="N324" s="110"/>
      <c r="O324" s="110"/>
      <c r="P324" s="122"/>
    </row>
    <row r="325" spans="1:16" ht="15" customHeight="1" x14ac:dyDescent="0.3">
      <c r="A325" s="146"/>
      <c r="B325" s="94">
        <v>44774</v>
      </c>
      <c r="C325" s="105"/>
      <c r="D325" s="110"/>
      <c r="E325" s="110"/>
      <c r="F325" s="110"/>
      <c r="G325" s="110"/>
      <c r="H325" s="110"/>
      <c r="I325" s="110"/>
      <c r="J325" s="110"/>
      <c r="K325" s="110"/>
      <c r="L325" s="110"/>
      <c r="M325" s="110"/>
      <c r="N325" s="110"/>
      <c r="O325" s="110"/>
      <c r="P325" s="122"/>
    </row>
    <row r="326" spans="1:16" ht="15" customHeight="1" x14ac:dyDescent="0.3">
      <c r="A326" s="146"/>
      <c r="B326" s="94">
        <v>44805</v>
      </c>
      <c r="C326" s="105"/>
      <c r="D326" s="110"/>
      <c r="E326" s="110"/>
      <c r="F326" s="110"/>
      <c r="G326" s="110"/>
      <c r="H326" s="110"/>
      <c r="I326" s="110"/>
      <c r="J326" s="110"/>
      <c r="K326" s="110"/>
      <c r="L326" s="110"/>
      <c r="M326" s="110"/>
      <c r="N326" s="110"/>
      <c r="O326" s="110"/>
      <c r="P326" s="122"/>
    </row>
    <row r="327" spans="1:16" ht="15" customHeight="1" x14ac:dyDescent="0.3">
      <c r="A327" s="146"/>
      <c r="B327" s="94">
        <v>44835</v>
      </c>
      <c r="C327" s="105"/>
      <c r="D327" s="110"/>
      <c r="E327" s="110"/>
      <c r="F327" s="110"/>
      <c r="G327" s="110"/>
      <c r="H327" s="110"/>
      <c r="I327" s="110"/>
      <c r="J327" s="110"/>
      <c r="K327" s="110"/>
      <c r="L327" s="110"/>
      <c r="M327" s="110"/>
      <c r="N327" s="110"/>
      <c r="O327" s="110"/>
      <c r="P327" s="122"/>
    </row>
    <row r="328" spans="1:16" ht="15" customHeight="1" x14ac:dyDescent="0.3">
      <c r="A328" s="146"/>
      <c r="B328" s="94">
        <v>44866</v>
      </c>
      <c r="C328" s="105"/>
      <c r="D328" s="110"/>
      <c r="E328" s="110"/>
      <c r="F328" s="110"/>
      <c r="G328" s="110"/>
      <c r="H328" s="110"/>
      <c r="I328" s="110"/>
      <c r="J328" s="110"/>
      <c r="K328" s="110"/>
      <c r="L328" s="110"/>
      <c r="M328" s="110"/>
      <c r="N328" s="110"/>
      <c r="O328" s="110"/>
      <c r="P328" s="122"/>
    </row>
    <row r="329" spans="1:16" ht="15" customHeight="1" x14ac:dyDescent="0.3">
      <c r="A329" s="146"/>
      <c r="B329" s="94">
        <v>44896</v>
      </c>
      <c r="C329" s="105"/>
      <c r="D329" s="110"/>
      <c r="E329" s="110"/>
      <c r="F329" s="110"/>
      <c r="G329" s="110"/>
      <c r="H329" s="110"/>
      <c r="I329" s="110"/>
      <c r="J329" s="110"/>
      <c r="K329" s="110"/>
      <c r="L329" s="110"/>
      <c r="M329" s="110"/>
      <c r="N329" s="110"/>
      <c r="O329" s="110"/>
      <c r="P329" s="122"/>
    </row>
    <row r="330" spans="1:16" s="125" customFormat="1" ht="15" customHeight="1" thickBot="1" x14ac:dyDescent="0.35">
      <c r="A330" s="157"/>
      <c r="B330" s="126"/>
      <c r="C330" s="127"/>
      <c r="D330" s="128"/>
      <c r="E330" s="128"/>
      <c r="F330" s="128"/>
      <c r="G330" s="128"/>
      <c r="H330" s="128"/>
      <c r="I330" s="128"/>
      <c r="J330" s="128"/>
      <c r="K330" s="128"/>
      <c r="L330" s="128"/>
      <c r="M330" s="128"/>
      <c r="N330" s="128"/>
      <c r="O330" s="128"/>
      <c r="P330" s="129"/>
    </row>
    <row r="331" spans="1:16" ht="18.45" customHeight="1" thickTop="1" x14ac:dyDescent="0.3">
      <c r="A331" s="147" t="s">
        <v>18</v>
      </c>
      <c r="B331" s="94">
        <v>41671</v>
      </c>
      <c r="C331" s="92">
        <f t="shared" ref="C331:C386" si="8">SUM(D331:P331)</f>
        <v>77864.540000000008</v>
      </c>
      <c r="D331" s="92">
        <v>12714.150000000003</v>
      </c>
      <c r="E331" s="92">
        <v>6510.9799999999977</v>
      </c>
      <c r="F331" s="92">
        <v>7389.5499999999993</v>
      </c>
      <c r="G331" s="92">
        <v>5846.6600000000008</v>
      </c>
      <c r="H331" s="92">
        <v>21</v>
      </c>
      <c r="I331" s="92">
        <v>11246.720000000001</v>
      </c>
      <c r="J331" s="92">
        <v>23844.1</v>
      </c>
      <c r="K331" s="92">
        <v>9902.7100000000009</v>
      </c>
      <c r="L331" s="92">
        <v>256.71999999999997</v>
      </c>
      <c r="M331" s="92">
        <v>131.94999999999999</v>
      </c>
      <c r="N331" s="92">
        <v>0</v>
      </c>
    </row>
    <row r="332" spans="1:16" x14ac:dyDescent="0.3">
      <c r="A332" s="146"/>
      <c r="B332" s="94">
        <v>41699</v>
      </c>
      <c r="C332" s="92">
        <f t="shared" si="8"/>
        <v>54013.849999999991</v>
      </c>
      <c r="D332" s="92">
        <v>14057.630000000003</v>
      </c>
      <c r="E332" s="92">
        <v>5335.1499999999987</v>
      </c>
      <c r="F332" s="92">
        <v>7594.16</v>
      </c>
      <c r="G332" s="92">
        <v>5566.7999999999947</v>
      </c>
      <c r="H332" s="92">
        <v>3.3</v>
      </c>
      <c r="I332" s="92">
        <v>8035.8599999999979</v>
      </c>
      <c r="J332" s="92">
        <v>6019.4299999999994</v>
      </c>
      <c r="K332" s="92">
        <v>7357.2400000000007</v>
      </c>
      <c r="L332" s="92">
        <v>27.95</v>
      </c>
      <c r="M332" s="92">
        <v>16.329999999999998</v>
      </c>
      <c r="N332" s="92">
        <v>0</v>
      </c>
    </row>
    <row r="333" spans="1:16" x14ac:dyDescent="0.3">
      <c r="A333" s="146"/>
      <c r="B333" s="94">
        <v>41730</v>
      </c>
      <c r="C333" s="92">
        <f t="shared" si="8"/>
        <v>45176.92</v>
      </c>
      <c r="D333" s="92">
        <v>11178.739999999994</v>
      </c>
      <c r="E333" s="92">
        <v>3967.6799999999994</v>
      </c>
      <c r="F333" s="92">
        <v>9383.57</v>
      </c>
      <c r="G333" s="92">
        <v>4986.6199999999972</v>
      </c>
      <c r="H333" s="92">
        <v>86.7</v>
      </c>
      <c r="I333" s="92">
        <v>1474.75</v>
      </c>
      <c r="J333" s="92">
        <v>8648.7200000000012</v>
      </c>
      <c r="K333" s="92">
        <v>5317.6</v>
      </c>
      <c r="L333" s="92">
        <v>49.17</v>
      </c>
      <c r="M333" s="92">
        <v>83.37</v>
      </c>
      <c r="N333" s="92">
        <v>0</v>
      </c>
    </row>
    <row r="334" spans="1:16" x14ac:dyDescent="0.3">
      <c r="A334" s="146"/>
      <c r="B334" s="94">
        <v>41760</v>
      </c>
      <c r="C334" s="92">
        <f t="shared" si="8"/>
        <v>30671.739999999998</v>
      </c>
      <c r="D334" s="92">
        <v>5263.82</v>
      </c>
      <c r="E334" s="92">
        <v>2830.6399999999985</v>
      </c>
      <c r="F334" s="92">
        <v>5759.9900000000052</v>
      </c>
      <c r="G334" s="92">
        <v>4715.7399999999989</v>
      </c>
      <c r="H334" s="92">
        <v>10.17</v>
      </c>
      <c r="I334" s="92">
        <v>5280.4200000000019</v>
      </c>
      <c r="J334" s="92">
        <v>733.6</v>
      </c>
      <c r="K334" s="92">
        <v>5949.0399999999981</v>
      </c>
      <c r="L334" s="92">
        <v>53.67</v>
      </c>
      <c r="M334" s="92">
        <v>74.650000000000006</v>
      </c>
      <c r="N334" s="92">
        <v>0</v>
      </c>
    </row>
    <row r="335" spans="1:16" x14ac:dyDescent="0.3">
      <c r="A335" s="146"/>
      <c r="B335" s="94">
        <v>41791</v>
      </c>
      <c r="C335" s="92">
        <f t="shared" si="8"/>
        <v>41365.139999999992</v>
      </c>
      <c r="D335" s="92">
        <v>5606.49</v>
      </c>
      <c r="E335" s="92">
        <v>6294.0700000000033</v>
      </c>
      <c r="F335" s="92">
        <v>5699.8</v>
      </c>
      <c r="G335" s="92">
        <v>6434.949999999988</v>
      </c>
      <c r="H335" s="92">
        <v>211.87</v>
      </c>
      <c r="I335" s="92">
        <v>1813.2699999999998</v>
      </c>
      <c r="J335" s="92">
        <v>6910</v>
      </c>
      <c r="K335" s="92">
        <v>8341.6799999999985</v>
      </c>
      <c r="L335" s="92">
        <v>30</v>
      </c>
      <c r="M335" s="92">
        <v>23.009999999999998</v>
      </c>
      <c r="N335" s="92">
        <v>0</v>
      </c>
    </row>
    <row r="336" spans="1:16" x14ac:dyDescent="0.3">
      <c r="A336" s="146"/>
      <c r="B336" s="94">
        <v>41821</v>
      </c>
      <c r="C336" s="92">
        <f t="shared" si="8"/>
        <v>48368.21</v>
      </c>
      <c r="D336" s="92">
        <v>13300.779999999999</v>
      </c>
      <c r="E336" s="92">
        <v>3937.099999999999</v>
      </c>
      <c r="F336" s="92">
        <v>6498.1</v>
      </c>
      <c r="G336" s="92">
        <v>4660.7999999999984</v>
      </c>
      <c r="H336" s="92">
        <v>156.42000000000002</v>
      </c>
      <c r="I336" s="92">
        <v>5335.8499999999995</v>
      </c>
      <c r="J336" s="92">
        <v>6321.1600000000008</v>
      </c>
      <c r="K336" s="92">
        <v>8117.0300000000016</v>
      </c>
      <c r="L336" s="92">
        <v>12.65</v>
      </c>
      <c r="M336" s="92">
        <v>28.32</v>
      </c>
      <c r="N336" s="92">
        <v>0</v>
      </c>
    </row>
    <row r="337" spans="1:14" x14ac:dyDescent="0.3">
      <c r="A337" s="146"/>
      <c r="B337" s="94">
        <v>41852</v>
      </c>
      <c r="C337" s="92">
        <f t="shared" si="8"/>
        <v>17861.350000000002</v>
      </c>
      <c r="D337" s="92">
        <v>6730.7900000000009</v>
      </c>
      <c r="E337" s="92">
        <v>1247.6999999999996</v>
      </c>
      <c r="F337" s="92">
        <v>4097.5899999999992</v>
      </c>
      <c r="G337" s="92">
        <v>2139.5300000000002</v>
      </c>
      <c r="H337" s="92">
        <v>125.05</v>
      </c>
      <c r="I337" s="92">
        <v>209.4</v>
      </c>
      <c r="J337" s="92">
        <v>545.19999999999993</v>
      </c>
      <c r="K337" s="92">
        <v>2696.7700000000013</v>
      </c>
      <c r="L337" s="92">
        <v>5</v>
      </c>
      <c r="M337" s="92">
        <v>64.319999999999993</v>
      </c>
      <c r="N337" s="92">
        <v>0</v>
      </c>
    </row>
    <row r="338" spans="1:14" x14ac:dyDescent="0.3">
      <c r="A338" s="146"/>
      <c r="B338" s="94">
        <v>41883</v>
      </c>
      <c r="C338" s="92">
        <f t="shared" si="8"/>
        <v>41414.479999999996</v>
      </c>
      <c r="D338" s="92">
        <v>6410.8599999999988</v>
      </c>
      <c r="E338" s="92">
        <v>3189.1399999999967</v>
      </c>
      <c r="F338" s="92">
        <v>3764.0699999999988</v>
      </c>
      <c r="G338" s="92">
        <v>4637.6100000000015</v>
      </c>
      <c r="H338" s="92">
        <v>631.27</v>
      </c>
      <c r="I338" s="92">
        <v>9046.75</v>
      </c>
      <c r="J338" s="92">
        <v>8209.5</v>
      </c>
      <c r="K338" s="92">
        <v>5405.51</v>
      </c>
      <c r="L338" s="92">
        <v>88.85</v>
      </c>
      <c r="M338" s="92">
        <v>30.92</v>
      </c>
      <c r="N338" s="92">
        <v>0</v>
      </c>
    </row>
    <row r="339" spans="1:14" x14ac:dyDescent="0.3">
      <c r="A339" s="146"/>
      <c r="B339" s="94">
        <v>41913</v>
      </c>
      <c r="C339" s="92">
        <f t="shared" si="8"/>
        <v>36155.410000000003</v>
      </c>
      <c r="D339" s="92">
        <v>7543.76</v>
      </c>
      <c r="E339" s="92">
        <v>3804.6000000000008</v>
      </c>
      <c r="F339" s="92">
        <v>7213.579999999999</v>
      </c>
      <c r="G339" s="92">
        <v>5086.7799999999979</v>
      </c>
      <c r="H339" s="92">
        <v>311.02</v>
      </c>
      <c r="I339" s="92">
        <v>1010.57</v>
      </c>
      <c r="J339" s="92">
        <v>5009.88</v>
      </c>
      <c r="K339" s="92">
        <v>6061.590000000002</v>
      </c>
      <c r="L339" s="92">
        <v>44.65</v>
      </c>
      <c r="M339" s="92">
        <v>68.97999999999999</v>
      </c>
      <c r="N339" s="92">
        <v>0</v>
      </c>
    </row>
    <row r="340" spans="1:14" x14ac:dyDescent="0.3">
      <c r="A340" s="146"/>
      <c r="B340" s="94">
        <v>41944</v>
      </c>
      <c r="C340" s="92">
        <f t="shared" si="8"/>
        <v>53131.490000000005</v>
      </c>
      <c r="D340" s="92">
        <v>12212.11</v>
      </c>
      <c r="E340" s="92">
        <v>3739.4799999999996</v>
      </c>
      <c r="F340" s="92">
        <v>4846.8200000000006</v>
      </c>
      <c r="G340" s="92">
        <v>3096.88</v>
      </c>
      <c r="H340" s="92">
        <v>2129.4300000000003</v>
      </c>
      <c r="I340" s="92">
        <v>1497.4900000000005</v>
      </c>
      <c r="J340" s="92">
        <v>17541.3</v>
      </c>
      <c r="K340" s="92">
        <v>7630.26</v>
      </c>
      <c r="L340" s="92">
        <v>60.900000000000006</v>
      </c>
      <c r="M340" s="92">
        <v>376.82</v>
      </c>
      <c r="N340" s="92">
        <v>0</v>
      </c>
    </row>
    <row r="341" spans="1:14" x14ac:dyDescent="0.3">
      <c r="A341" s="146"/>
      <c r="B341" s="94">
        <v>41974</v>
      </c>
      <c r="C341" s="92">
        <f t="shared" si="8"/>
        <v>48424.470000000008</v>
      </c>
      <c r="D341" s="92">
        <v>15012.670000000002</v>
      </c>
      <c r="E341" s="92">
        <v>3232.7400000000002</v>
      </c>
      <c r="F341" s="92">
        <v>4621.37</v>
      </c>
      <c r="G341" s="92">
        <v>3692.4100000000012</v>
      </c>
      <c r="H341" s="92">
        <v>1027.75</v>
      </c>
      <c r="I341" s="92">
        <v>2579.2999999999993</v>
      </c>
      <c r="J341" s="92">
        <v>8318.2000000000007</v>
      </c>
      <c r="K341" s="92">
        <v>9834.5600000000031</v>
      </c>
      <c r="L341" s="92">
        <v>91.08</v>
      </c>
      <c r="M341" s="92">
        <v>14.39</v>
      </c>
      <c r="N341" s="92">
        <v>0</v>
      </c>
    </row>
    <row r="342" spans="1:14" x14ac:dyDescent="0.3">
      <c r="A342" s="146"/>
      <c r="B342" s="94">
        <v>42005</v>
      </c>
      <c r="C342" s="92">
        <f t="shared" si="8"/>
        <v>36062.550000000003</v>
      </c>
      <c r="D342" s="92">
        <v>10960.840000000002</v>
      </c>
      <c r="E342" s="92">
        <v>2849.8199999999993</v>
      </c>
      <c r="F342" s="92">
        <v>5449.5900000000011</v>
      </c>
      <c r="G342" s="92">
        <v>4078.7499999999986</v>
      </c>
      <c r="H342" s="92">
        <v>251.45</v>
      </c>
      <c r="I342" s="92">
        <v>3825.23</v>
      </c>
      <c r="J342" s="92">
        <v>4157.22</v>
      </c>
      <c r="K342" s="92">
        <v>4404.2300000000023</v>
      </c>
      <c r="L342" s="92">
        <v>55.9</v>
      </c>
      <c r="M342" s="92">
        <v>29.519999999999996</v>
      </c>
      <c r="N342" s="92">
        <v>0</v>
      </c>
    </row>
    <row r="343" spans="1:14" x14ac:dyDescent="0.3">
      <c r="A343" s="146"/>
      <c r="B343" s="94">
        <v>42036</v>
      </c>
      <c r="C343" s="92">
        <f t="shared" si="8"/>
        <v>35011.5</v>
      </c>
      <c r="D343" s="92">
        <v>9459.3099999999977</v>
      </c>
      <c r="E343" s="92">
        <v>2450.6300000000006</v>
      </c>
      <c r="F343" s="92">
        <v>6537.9199999999992</v>
      </c>
      <c r="G343" s="92">
        <v>3610.0899999999997</v>
      </c>
      <c r="H343" s="92">
        <v>207.93</v>
      </c>
      <c r="I343" s="92">
        <v>2368.9499999999998</v>
      </c>
      <c r="J343" s="92">
        <v>4320</v>
      </c>
      <c r="K343" s="92">
        <v>5929.9999999999982</v>
      </c>
      <c r="L343" s="92">
        <v>89.94</v>
      </c>
      <c r="M343" s="92">
        <v>36.729999999999997</v>
      </c>
      <c r="N343" s="92">
        <v>0</v>
      </c>
    </row>
    <row r="344" spans="1:14" x14ac:dyDescent="0.3">
      <c r="A344" s="146"/>
      <c r="B344" s="94">
        <v>42064</v>
      </c>
      <c r="C344" s="92">
        <f t="shared" si="8"/>
        <v>66585.639999999985</v>
      </c>
      <c r="D344" s="92">
        <v>20906.449999999986</v>
      </c>
      <c r="E344" s="92">
        <v>4941.1900000000014</v>
      </c>
      <c r="F344" s="92">
        <v>7900.8899999999994</v>
      </c>
      <c r="G344" s="92">
        <v>4145.9700000000012</v>
      </c>
      <c r="H344" s="92">
        <v>1511.45</v>
      </c>
      <c r="I344" s="92">
        <v>7769.3300000000008</v>
      </c>
      <c r="J344" s="92">
        <v>7041.8</v>
      </c>
      <c r="K344" s="92">
        <v>11833.480000000001</v>
      </c>
      <c r="L344" s="92">
        <v>52.37</v>
      </c>
      <c r="M344" s="92">
        <v>482.71</v>
      </c>
      <c r="N344" s="92">
        <v>0</v>
      </c>
    </row>
    <row r="345" spans="1:14" x14ac:dyDescent="0.3">
      <c r="A345" s="146"/>
      <c r="B345" s="94">
        <v>42095</v>
      </c>
      <c r="C345" s="92">
        <f t="shared" si="8"/>
        <v>40847.060000000005</v>
      </c>
      <c r="D345" s="92">
        <v>13357.460000000001</v>
      </c>
      <c r="E345" s="92">
        <v>2497.8199999999993</v>
      </c>
      <c r="F345" s="92">
        <v>8362.5300000000007</v>
      </c>
      <c r="G345" s="92">
        <v>2530.9999999999995</v>
      </c>
      <c r="H345" s="92">
        <v>52.5</v>
      </c>
      <c r="I345" s="92">
        <v>2265.8500000000008</v>
      </c>
      <c r="J345" s="92">
        <v>5612</v>
      </c>
      <c r="K345" s="92">
        <v>5528.77</v>
      </c>
      <c r="L345" s="92">
        <v>95.95</v>
      </c>
      <c r="M345" s="92">
        <v>543.17999999999995</v>
      </c>
      <c r="N345" s="92">
        <v>0</v>
      </c>
    </row>
    <row r="346" spans="1:14" x14ac:dyDescent="0.3">
      <c r="A346" s="146"/>
      <c r="B346" s="94">
        <v>42125</v>
      </c>
      <c r="C346" s="92">
        <f t="shared" si="8"/>
        <v>33964.29</v>
      </c>
      <c r="D346" s="92">
        <v>7598.57</v>
      </c>
      <c r="E346" s="92">
        <v>3531.2400000000002</v>
      </c>
      <c r="F346" s="92">
        <v>7353.7400000000007</v>
      </c>
      <c r="G346" s="92">
        <v>4152.17</v>
      </c>
      <c r="H346" s="92">
        <v>640.99</v>
      </c>
      <c r="I346" s="92">
        <v>2888.6499999999996</v>
      </c>
      <c r="J346" s="92">
        <v>1000.25</v>
      </c>
      <c r="K346" s="92">
        <v>6248.7899999999991</v>
      </c>
      <c r="L346" s="92">
        <v>35.5</v>
      </c>
      <c r="M346" s="92">
        <v>514.38999999999987</v>
      </c>
      <c r="N346" s="92">
        <v>0</v>
      </c>
    </row>
    <row r="347" spans="1:14" x14ac:dyDescent="0.3">
      <c r="A347" s="146"/>
      <c r="B347" s="94">
        <v>42156</v>
      </c>
      <c r="C347" s="92">
        <f t="shared" si="8"/>
        <v>51024.229999999996</v>
      </c>
      <c r="D347" s="92">
        <v>11380.290000000003</v>
      </c>
      <c r="E347" s="92">
        <v>3716.56</v>
      </c>
      <c r="F347" s="92">
        <v>7989.9000000000015</v>
      </c>
      <c r="G347" s="92">
        <v>3732.4200000000005</v>
      </c>
      <c r="H347" s="92">
        <v>447.51</v>
      </c>
      <c r="I347" s="92">
        <v>2304.7700000000004</v>
      </c>
      <c r="J347" s="92">
        <v>9178.880000000001</v>
      </c>
      <c r="K347" s="92">
        <v>11988.359999999997</v>
      </c>
      <c r="L347" s="92">
        <v>82.95</v>
      </c>
      <c r="M347" s="92">
        <v>202.59000000000009</v>
      </c>
      <c r="N347" s="92">
        <v>0</v>
      </c>
    </row>
    <row r="348" spans="1:14" x14ac:dyDescent="0.3">
      <c r="A348" s="146"/>
      <c r="B348" s="94">
        <v>42186</v>
      </c>
      <c r="C348" s="92">
        <f t="shared" si="8"/>
        <v>60954.30999999999</v>
      </c>
      <c r="D348" s="92">
        <v>13209.060000000001</v>
      </c>
      <c r="E348" s="92">
        <v>3883.0799999999995</v>
      </c>
      <c r="F348" s="92">
        <v>14385.859999999995</v>
      </c>
      <c r="G348" s="92">
        <v>3066.0300000000038</v>
      </c>
      <c r="H348" s="92">
        <v>0</v>
      </c>
      <c r="I348" s="92">
        <v>2309.0700000000002</v>
      </c>
      <c r="J348" s="92">
        <v>15827.16</v>
      </c>
      <c r="K348" s="92">
        <v>9009.56</v>
      </c>
      <c r="L348" s="92">
        <v>131.44999999999999</v>
      </c>
      <c r="M348" s="92">
        <v>-866.95999999999981</v>
      </c>
      <c r="N348" s="92">
        <v>0</v>
      </c>
    </row>
    <row r="349" spans="1:14" x14ac:dyDescent="0.3">
      <c r="A349" s="146"/>
      <c r="B349" s="94">
        <v>42217</v>
      </c>
      <c r="C349" s="92">
        <f t="shared" si="8"/>
        <v>37624.089999999989</v>
      </c>
      <c r="D349" s="92">
        <v>7269.8699999999981</v>
      </c>
      <c r="E349" s="92">
        <v>1549.32</v>
      </c>
      <c r="F349" s="92">
        <v>13215.01</v>
      </c>
      <c r="G349" s="92">
        <v>1814.4600000000003</v>
      </c>
      <c r="H349" s="92">
        <v>165</v>
      </c>
      <c r="I349" s="92">
        <v>1139.6700000000003</v>
      </c>
      <c r="J349" s="92">
        <v>10466.43</v>
      </c>
      <c r="K349" s="92">
        <v>1812.75</v>
      </c>
      <c r="L349" s="92">
        <v>172.95</v>
      </c>
      <c r="M349" s="92">
        <v>18.630000000000003</v>
      </c>
      <c r="N349" s="92">
        <v>0</v>
      </c>
    </row>
    <row r="350" spans="1:14" x14ac:dyDescent="0.3">
      <c r="A350" s="146"/>
      <c r="B350" s="94">
        <v>42248</v>
      </c>
      <c r="C350" s="92">
        <f t="shared" si="8"/>
        <v>74171.249999999985</v>
      </c>
      <c r="D350" s="92">
        <v>18771.999999999996</v>
      </c>
      <c r="E350" s="92">
        <v>2912.0199999999986</v>
      </c>
      <c r="F350" s="92">
        <v>6230.0999999999995</v>
      </c>
      <c r="G350" s="92">
        <v>2785.7400000000002</v>
      </c>
      <c r="H350" s="92">
        <v>216.52999999999997</v>
      </c>
      <c r="I350" s="92">
        <v>1228.1399999999999</v>
      </c>
      <c r="J350" s="92">
        <v>31001.13</v>
      </c>
      <c r="K350" s="92">
        <v>10959.829999999994</v>
      </c>
      <c r="L350" s="92">
        <v>0</v>
      </c>
      <c r="M350" s="92">
        <v>65.759999999999991</v>
      </c>
      <c r="N350" s="92">
        <v>0</v>
      </c>
    </row>
    <row r="351" spans="1:14" x14ac:dyDescent="0.3">
      <c r="A351" s="146"/>
      <c r="B351" s="94">
        <v>42278</v>
      </c>
      <c r="C351" s="92">
        <f t="shared" si="8"/>
        <v>38949.4</v>
      </c>
      <c r="D351" s="92">
        <v>6680.3000000000011</v>
      </c>
      <c r="E351" s="92">
        <v>2920.3999999999992</v>
      </c>
      <c r="F351" s="92">
        <v>12997.020000000002</v>
      </c>
      <c r="G351" s="92">
        <v>2958.7800000000011</v>
      </c>
      <c r="H351" s="92">
        <v>325</v>
      </c>
      <c r="I351" s="92">
        <v>3246.4200000000005</v>
      </c>
      <c r="J351" s="92">
        <v>2168.6</v>
      </c>
      <c r="K351" s="92">
        <v>7219.31</v>
      </c>
      <c r="L351" s="92">
        <v>75.849999999999994</v>
      </c>
      <c r="M351" s="92">
        <v>357.71999999999991</v>
      </c>
      <c r="N351" s="92">
        <v>0</v>
      </c>
    </row>
    <row r="352" spans="1:14" x14ac:dyDescent="0.3">
      <c r="A352" s="146"/>
      <c r="B352" s="94">
        <v>42309</v>
      </c>
      <c r="C352" s="92">
        <f t="shared" si="8"/>
        <v>78986.75</v>
      </c>
      <c r="D352" s="92">
        <v>27808.17</v>
      </c>
      <c r="E352" s="92">
        <v>1465.4300000000003</v>
      </c>
      <c r="F352" s="92">
        <v>18097.620000000003</v>
      </c>
      <c r="G352" s="92">
        <v>2726.1299999999997</v>
      </c>
      <c r="H352" s="92">
        <v>1440.69</v>
      </c>
      <c r="I352" s="92">
        <v>7042.82</v>
      </c>
      <c r="J352" s="92">
        <v>9447.5</v>
      </c>
      <c r="K352" s="92">
        <v>10501.05</v>
      </c>
      <c r="L352" s="92">
        <v>37.950000000000003</v>
      </c>
      <c r="M352" s="92">
        <v>419.39</v>
      </c>
      <c r="N352" s="92">
        <v>0</v>
      </c>
    </row>
    <row r="353" spans="1:16" x14ac:dyDescent="0.3">
      <c r="A353" s="146"/>
      <c r="B353" s="94">
        <v>42339</v>
      </c>
      <c r="C353" s="92">
        <f t="shared" si="8"/>
        <v>65492.12</v>
      </c>
      <c r="D353" s="92">
        <v>25564.350000000002</v>
      </c>
      <c r="E353" s="92">
        <v>1933.18</v>
      </c>
      <c r="F353" s="92">
        <v>22294.32</v>
      </c>
      <c r="G353" s="92">
        <v>3014.5800000000008</v>
      </c>
      <c r="H353" s="92">
        <v>308.39</v>
      </c>
      <c r="I353" s="92">
        <v>1226.6599999999999</v>
      </c>
      <c r="J353" s="92">
        <v>928</v>
      </c>
      <c r="K353" s="92">
        <v>9650.98</v>
      </c>
      <c r="L353" s="92">
        <v>311.77</v>
      </c>
      <c r="M353" s="92">
        <v>259.89</v>
      </c>
      <c r="N353" s="92">
        <v>0</v>
      </c>
    </row>
    <row r="354" spans="1:16" x14ac:dyDescent="0.3">
      <c r="A354" s="146"/>
      <c r="B354" s="94">
        <v>42370</v>
      </c>
      <c r="C354" s="92">
        <f t="shared" si="8"/>
        <v>73899.229999999981</v>
      </c>
      <c r="D354" s="92">
        <v>26249.32</v>
      </c>
      <c r="E354" s="92">
        <v>1710.4100000000005</v>
      </c>
      <c r="F354" s="92">
        <v>6102.3200000000006</v>
      </c>
      <c r="G354" s="92">
        <v>2899.3900000000008</v>
      </c>
      <c r="H354" s="92">
        <v>113</v>
      </c>
      <c r="I354" s="92">
        <v>760.38000000000034</v>
      </c>
      <c r="J354" s="92">
        <v>20226.7</v>
      </c>
      <c r="K354" s="92">
        <v>15145.129999999997</v>
      </c>
      <c r="L354" s="92">
        <v>50</v>
      </c>
      <c r="M354" s="92">
        <v>269.65000000000003</v>
      </c>
      <c r="N354" s="92">
        <v>372.93</v>
      </c>
    </row>
    <row r="355" spans="1:16" x14ac:dyDescent="0.3">
      <c r="A355" s="146"/>
      <c r="B355" s="94">
        <v>42401</v>
      </c>
      <c r="C355" s="92">
        <f t="shared" si="8"/>
        <v>38580.610000000008</v>
      </c>
      <c r="D355" s="92">
        <v>6734.6399999999985</v>
      </c>
      <c r="E355" s="92">
        <v>3857.36</v>
      </c>
      <c r="F355" s="92">
        <v>5528.699999999998</v>
      </c>
      <c r="G355" s="92">
        <v>2691.8500000000008</v>
      </c>
      <c r="H355" s="92">
        <v>267</v>
      </c>
      <c r="I355" s="92">
        <v>963.58000000000015</v>
      </c>
      <c r="J355" s="92">
        <v>12813.1</v>
      </c>
      <c r="K355" s="92">
        <v>5059.9500000000016</v>
      </c>
      <c r="L355" s="92">
        <v>246.31</v>
      </c>
      <c r="M355" s="92">
        <v>418.12</v>
      </c>
      <c r="N355" s="92">
        <v>0</v>
      </c>
    </row>
    <row r="356" spans="1:16" x14ac:dyDescent="0.3">
      <c r="A356" s="146"/>
      <c r="B356" s="94">
        <v>42430</v>
      </c>
      <c r="C356" s="92">
        <f t="shared" si="8"/>
        <v>70247.7</v>
      </c>
      <c r="D356" s="92">
        <v>17952.969999999994</v>
      </c>
      <c r="E356" s="92">
        <v>5865.04</v>
      </c>
      <c r="F356" s="92">
        <v>6811.0599999999995</v>
      </c>
      <c r="G356" s="92">
        <v>4068.0500000000006</v>
      </c>
      <c r="H356" s="92">
        <v>777.56999999999994</v>
      </c>
      <c r="I356" s="92">
        <v>4155.8600000000006</v>
      </c>
      <c r="J356" s="92">
        <v>19367.399999999998</v>
      </c>
      <c r="K356" s="92">
        <v>10508.470000000003</v>
      </c>
      <c r="L356" s="92">
        <v>248.13</v>
      </c>
      <c r="M356" s="92">
        <v>493.15</v>
      </c>
      <c r="N356" s="92">
        <v>0</v>
      </c>
    </row>
    <row r="357" spans="1:16" x14ac:dyDescent="0.3">
      <c r="A357" s="146"/>
      <c r="B357" s="94">
        <v>42461</v>
      </c>
      <c r="C357" s="92">
        <f t="shared" si="8"/>
        <v>47193.180000000008</v>
      </c>
      <c r="D357" s="92">
        <v>11056.430000000002</v>
      </c>
      <c r="E357" s="92">
        <v>2900.8599999999997</v>
      </c>
      <c r="F357" s="92">
        <v>10869.310000000001</v>
      </c>
      <c r="G357" s="92">
        <v>3070.1999999999989</v>
      </c>
      <c r="H357" s="92">
        <v>50.819999999999993</v>
      </c>
      <c r="I357" s="92">
        <v>886.35999999999979</v>
      </c>
      <c r="J357" s="92">
        <v>12338.7</v>
      </c>
      <c r="K357" s="92">
        <v>5145.1299999999992</v>
      </c>
      <c r="L357" s="92">
        <v>258.36</v>
      </c>
      <c r="M357" s="92">
        <v>243.15000000000006</v>
      </c>
      <c r="N357" s="92">
        <v>373.86</v>
      </c>
    </row>
    <row r="358" spans="1:16" x14ac:dyDescent="0.3">
      <c r="A358" s="146"/>
      <c r="B358" s="94">
        <v>42491</v>
      </c>
      <c r="C358" s="92">
        <f t="shared" si="8"/>
        <v>79766.800000000017</v>
      </c>
      <c r="D358" s="92">
        <v>15807.57</v>
      </c>
      <c r="E358" s="92">
        <v>2918.1899999999991</v>
      </c>
      <c r="F358" s="92">
        <v>24312.880000000001</v>
      </c>
      <c r="G358" s="92">
        <v>2379.6099999999992</v>
      </c>
      <c r="H358" s="92">
        <v>307.66000000000003</v>
      </c>
      <c r="I358" s="92">
        <v>3500.5999999999995</v>
      </c>
      <c r="J358" s="92">
        <v>22925</v>
      </c>
      <c r="K358" s="92">
        <v>7067.1100000000006</v>
      </c>
      <c r="L358" s="92">
        <v>153.13</v>
      </c>
      <c r="M358" s="92">
        <v>395.0499999999999</v>
      </c>
      <c r="N358" s="92">
        <v>0</v>
      </c>
    </row>
    <row r="359" spans="1:16" x14ac:dyDescent="0.3">
      <c r="A359" s="146"/>
      <c r="B359" s="94">
        <v>42522</v>
      </c>
      <c r="C359" s="92">
        <f t="shared" si="8"/>
        <v>82363.039999999994</v>
      </c>
      <c r="D359" s="92">
        <v>26841.729999999996</v>
      </c>
      <c r="E359" s="92">
        <v>2853.07</v>
      </c>
      <c r="F359" s="92">
        <v>19876.46</v>
      </c>
      <c r="G359" s="92">
        <v>3124.3399999999992</v>
      </c>
      <c r="H359" s="92">
        <v>422.01</v>
      </c>
      <c r="I359" s="92">
        <v>1011.9</v>
      </c>
      <c r="J359" s="92">
        <v>16277</v>
      </c>
      <c r="K359" s="92">
        <v>11566.57</v>
      </c>
      <c r="L359" s="92">
        <v>130.41</v>
      </c>
      <c r="M359" s="92">
        <v>259.55</v>
      </c>
      <c r="N359" s="92">
        <v>0</v>
      </c>
    </row>
    <row r="360" spans="1:16" x14ac:dyDescent="0.3">
      <c r="A360" s="146"/>
      <c r="B360" s="94">
        <v>42552</v>
      </c>
      <c r="C360" s="92">
        <f t="shared" si="8"/>
        <v>64332.390000000014</v>
      </c>
      <c r="D360" s="92">
        <v>19455.11</v>
      </c>
      <c r="E360" s="92">
        <v>4316.95</v>
      </c>
      <c r="F360" s="92">
        <v>14665.510000000002</v>
      </c>
      <c r="G360" s="92">
        <v>3075.6200000000013</v>
      </c>
      <c r="H360" s="92">
        <v>425.67</v>
      </c>
      <c r="I360" s="92">
        <v>5972.0000000000009</v>
      </c>
      <c r="J360" s="92">
        <v>8934.98</v>
      </c>
      <c r="K360" s="92">
        <v>7248.4999999999991</v>
      </c>
      <c r="L360" s="92">
        <v>184.72</v>
      </c>
      <c r="M360" s="92">
        <v>53.33</v>
      </c>
      <c r="N360" s="92">
        <v>0</v>
      </c>
    </row>
    <row r="361" spans="1:16" x14ac:dyDescent="0.3">
      <c r="A361" s="146"/>
      <c r="B361" s="94">
        <v>42583</v>
      </c>
      <c r="C361" s="92">
        <f t="shared" si="8"/>
        <v>31689.480000000003</v>
      </c>
      <c r="D361" s="92">
        <v>4871.630000000001</v>
      </c>
      <c r="E361" s="92">
        <v>1043.1100000000001</v>
      </c>
      <c r="F361" s="92">
        <v>8208.91</v>
      </c>
      <c r="G361" s="92">
        <v>1461.1300000000003</v>
      </c>
      <c r="H361" s="92">
        <v>25</v>
      </c>
      <c r="I361" s="92">
        <v>173.06</v>
      </c>
      <c r="J361" s="92">
        <v>13437</v>
      </c>
      <c r="K361" s="92">
        <v>2331.6200000000003</v>
      </c>
      <c r="L361" s="92">
        <v>27.95</v>
      </c>
      <c r="M361" s="92">
        <v>110.07000000000001</v>
      </c>
      <c r="N361" s="92">
        <v>0</v>
      </c>
    </row>
    <row r="362" spans="1:16" x14ac:dyDescent="0.3">
      <c r="A362" s="146"/>
      <c r="B362" s="94">
        <v>42614</v>
      </c>
      <c r="C362" s="92">
        <f t="shared" si="8"/>
        <v>57467.850000000013</v>
      </c>
      <c r="D362" s="92">
        <v>27255.80000000001</v>
      </c>
      <c r="E362" s="92">
        <v>3111.6899999999987</v>
      </c>
      <c r="F362" s="92">
        <v>7349.329999999999</v>
      </c>
      <c r="G362" s="92">
        <v>2003.5699999999997</v>
      </c>
      <c r="H362" s="92">
        <v>786.12</v>
      </c>
      <c r="I362" s="92">
        <v>6057.4400000000005</v>
      </c>
      <c r="J362" s="92">
        <v>5963.3099999999995</v>
      </c>
      <c r="K362" s="92">
        <v>4490.8500000000013</v>
      </c>
      <c r="L362" s="92">
        <v>246.62</v>
      </c>
      <c r="M362" s="92">
        <v>203.12000000000003</v>
      </c>
      <c r="N362" s="92">
        <v>0</v>
      </c>
    </row>
    <row r="363" spans="1:16" x14ac:dyDescent="0.3">
      <c r="A363" s="146"/>
      <c r="B363" s="94">
        <v>42644</v>
      </c>
      <c r="C363" s="92">
        <f t="shared" si="8"/>
        <v>31959.499999999996</v>
      </c>
      <c r="D363" s="92">
        <v>6477.4199999999992</v>
      </c>
      <c r="E363" s="92">
        <v>2791.2299999999991</v>
      </c>
      <c r="F363" s="92">
        <v>7300.7099999999991</v>
      </c>
      <c r="G363" s="92">
        <v>2914.7300000000005</v>
      </c>
      <c r="H363" s="92">
        <v>454.4</v>
      </c>
      <c r="I363" s="92">
        <v>256.23</v>
      </c>
      <c r="J363" s="92">
        <v>7799</v>
      </c>
      <c r="K363" s="92">
        <v>3637.2</v>
      </c>
      <c r="L363" s="92">
        <v>248.14</v>
      </c>
      <c r="M363" s="92">
        <v>80.44</v>
      </c>
      <c r="N363" s="92">
        <v>0</v>
      </c>
    </row>
    <row r="364" spans="1:16" x14ac:dyDescent="0.3">
      <c r="A364" s="146"/>
      <c r="B364" s="94">
        <v>42675</v>
      </c>
      <c r="C364" s="105">
        <f t="shared" si="8"/>
        <v>40858.459999999992</v>
      </c>
      <c r="D364" s="105">
        <v>15064.749999999996</v>
      </c>
      <c r="E364" s="105">
        <v>2622.2599999999989</v>
      </c>
      <c r="F364" s="105">
        <v>7585.5599999999995</v>
      </c>
      <c r="G364" s="105">
        <v>2293.6699999999992</v>
      </c>
      <c r="H364" s="105">
        <v>289.20000000000005</v>
      </c>
      <c r="I364" s="105">
        <v>1593.5299999999997</v>
      </c>
      <c r="J364" s="105">
        <v>7207.85</v>
      </c>
      <c r="K364" s="105">
        <v>3784.4600000000005</v>
      </c>
      <c r="L364" s="105">
        <v>208.35999999999999</v>
      </c>
      <c r="M364" s="105">
        <v>208.82</v>
      </c>
      <c r="N364" s="105">
        <v>0</v>
      </c>
      <c r="O364" s="105"/>
      <c r="P364" s="119"/>
    </row>
    <row r="365" spans="1:16" x14ac:dyDescent="0.3">
      <c r="A365" s="146"/>
      <c r="B365" s="94">
        <v>42705</v>
      </c>
      <c r="C365" s="105">
        <f t="shared" si="8"/>
        <v>48353.749999999993</v>
      </c>
      <c r="D365" s="105">
        <v>11212.74</v>
      </c>
      <c r="E365" s="105">
        <v>2660.72</v>
      </c>
      <c r="F365" s="105">
        <v>11545.98</v>
      </c>
      <c r="G365" s="105">
        <v>1220.8499999999999</v>
      </c>
      <c r="H365" s="105">
        <v>582</v>
      </c>
      <c r="I365" s="105">
        <v>4766.76</v>
      </c>
      <c r="J365" s="105">
        <v>10333</v>
      </c>
      <c r="K365" s="105">
        <v>5505.38</v>
      </c>
      <c r="L365" s="105">
        <v>243.95</v>
      </c>
      <c r="M365" s="105">
        <v>282.37</v>
      </c>
      <c r="N365" s="105">
        <v>0</v>
      </c>
      <c r="O365" s="105"/>
      <c r="P365" s="119"/>
    </row>
    <row r="366" spans="1:16" x14ac:dyDescent="0.3">
      <c r="A366" s="146"/>
      <c r="B366" s="94">
        <v>42736</v>
      </c>
      <c r="C366" s="105">
        <f t="shared" si="8"/>
        <v>61383.95</v>
      </c>
      <c r="D366" s="105">
        <v>22274.58</v>
      </c>
      <c r="E366" s="105">
        <v>5316.14</v>
      </c>
      <c r="F366" s="105">
        <v>12634.08</v>
      </c>
      <c r="G366" s="105">
        <v>3144.99</v>
      </c>
      <c r="H366" s="92">
        <v>0</v>
      </c>
      <c r="I366" s="105">
        <v>1716.67</v>
      </c>
      <c r="J366" s="105">
        <v>8572.6</v>
      </c>
      <c r="K366" s="105">
        <v>6891.07</v>
      </c>
      <c r="L366" s="105">
        <v>761.7</v>
      </c>
      <c r="M366" s="105">
        <v>72.12</v>
      </c>
      <c r="N366" s="105">
        <v>0</v>
      </c>
      <c r="O366" s="105"/>
      <c r="P366" s="119"/>
    </row>
    <row r="367" spans="1:16" x14ac:dyDescent="0.3">
      <c r="A367" s="146"/>
      <c r="B367" s="94">
        <v>42767</v>
      </c>
      <c r="C367" s="105">
        <f t="shared" si="8"/>
        <v>49338.159999999989</v>
      </c>
      <c r="D367" s="105">
        <v>19602.080000000002</v>
      </c>
      <c r="E367" s="105">
        <v>4605.67</v>
      </c>
      <c r="F367" s="105">
        <v>7655.96</v>
      </c>
      <c r="G367" s="105">
        <v>4135.3500000000004</v>
      </c>
      <c r="H367" s="105"/>
      <c r="I367" s="105">
        <v>3301.51</v>
      </c>
      <c r="J367" s="105">
        <v>3195.2</v>
      </c>
      <c r="K367" s="105">
        <v>6022.7</v>
      </c>
      <c r="L367" s="105">
        <v>458.7</v>
      </c>
      <c r="M367" s="105">
        <v>360.99</v>
      </c>
      <c r="N367" s="105">
        <v>0</v>
      </c>
      <c r="O367" s="105"/>
      <c r="P367" s="119"/>
    </row>
    <row r="368" spans="1:16" x14ac:dyDescent="0.3">
      <c r="A368" s="146"/>
      <c r="B368" s="94">
        <v>42795</v>
      </c>
      <c r="C368" s="105">
        <f t="shared" si="8"/>
        <v>54031.75</v>
      </c>
      <c r="D368" s="105">
        <v>8677.4500000000007</v>
      </c>
      <c r="E368" s="105">
        <v>4748.7</v>
      </c>
      <c r="F368" s="105">
        <v>14693.43</v>
      </c>
      <c r="G368" s="105">
        <v>4548.8</v>
      </c>
      <c r="H368" s="105">
        <v>861.42</v>
      </c>
      <c r="I368" s="105">
        <v>3552.02</v>
      </c>
      <c r="J368" s="105">
        <v>7136</v>
      </c>
      <c r="K368" s="105">
        <v>8134.29</v>
      </c>
      <c r="L368" s="105">
        <v>1808.6</v>
      </c>
      <c r="M368" s="105">
        <v>-128.96</v>
      </c>
      <c r="N368" s="105">
        <v>0</v>
      </c>
      <c r="O368" s="105"/>
      <c r="P368" s="119"/>
    </row>
    <row r="369" spans="1:16" x14ac:dyDescent="0.3">
      <c r="A369" s="146"/>
      <c r="B369" s="94">
        <v>42826</v>
      </c>
      <c r="C369" s="105">
        <f t="shared" si="8"/>
        <v>46323.89</v>
      </c>
      <c r="D369" s="105">
        <v>10943.33</v>
      </c>
      <c r="E369" s="105">
        <v>2756.65</v>
      </c>
      <c r="F369" s="105">
        <v>8207.35</v>
      </c>
      <c r="G369" s="105">
        <v>2704.6</v>
      </c>
      <c r="H369" s="105">
        <v>382.42</v>
      </c>
      <c r="I369" s="105">
        <v>1481.7</v>
      </c>
      <c r="J369" s="105">
        <v>10410.450000000001</v>
      </c>
      <c r="K369" s="105">
        <v>8017.33</v>
      </c>
      <c r="L369" s="105">
        <v>1329.07</v>
      </c>
      <c r="M369" s="105">
        <v>90.99</v>
      </c>
      <c r="N369" s="105"/>
      <c r="O369" s="105"/>
      <c r="P369" s="119"/>
    </row>
    <row r="370" spans="1:16" x14ac:dyDescent="0.3">
      <c r="A370" s="146"/>
      <c r="B370" s="94">
        <v>42856</v>
      </c>
      <c r="C370" s="105">
        <f t="shared" si="8"/>
        <v>40633.35</v>
      </c>
      <c r="D370" s="105">
        <v>8335.6299999999992</v>
      </c>
      <c r="E370" s="105">
        <v>1920.43</v>
      </c>
      <c r="F370" s="105">
        <v>8601.94</v>
      </c>
      <c r="G370" s="105">
        <v>3817.39</v>
      </c>
      <c r="H370" s="105">
        <v>1558.93</v>
      </c>
      <c r="I370" s="105">
        <v>114.84</v>
      </c>
      <c r="J370" s="105">
        <v>5728.33</v>
      </c>
      <c r="K370" s="105">
        <v>7258.23</v>
      </c>
      <c r="L370" s="105">
        <v>1987.06</v>
      </c>
      <c r="M370" s="105">
        <v>1310.57</v>
      </c>
      <c r="N370" s="105"/>
      <c r="O370" s="105"/>
      <c r="P370" s="119"/>
    </row>
    <row r="371" spans="1:16" x14ac:dyDescent="0.3">
      <c r="A371" s="146"/>
      <c r="B371" s="94">
        <v>42887</v>
      </c>
      <c r="C371" s="105">
        <f t="shared" si="8"/>
        <v>48005.98</v>
      </c>
      <c r="D371" s="105">
        <v>12103.76</v>
      </c>
      <c r="E371" s="105">
        <v>3130.81</v>
      </c>
      <c r="F371" s="105">
        <v>5151.79</v>
      </c>
      <c r="G371" s="105">
        <v>2451.44</v>
      </c>
      <c r="H371" s="105">
        <v>695.95</v>
      </c>
      <c r="I371" s="105">
        <v>6964.65</v>
      </c>
      <c r="J371" s="105">
        <v>10933.1</v>
      </c>
      <c r="K371" s="105">
        <v>4420.4399999999996</v>
      </c>
      <c r="L371" s="105">
        <v>1505.05</v>
      </c>
      <c r="M371" s="105">
        <v>648.99</v>
      </c>
      <c r="N371" s="105"/>
      <c r="O371" s="105"/>
      <c r="P371" s="119"/>
    </row>
    <row r="372" spans="1:16" x14ac:dyDescent="0.3">
      <c r="A372" s="146"/>
      <c r="B372" s="94">
        <v>42917</v>
      </c>
      <c r="C372" s="105">
        <f t="shared" si="8"/>
        <v>53213.469999999994</v>
      </c>
      <c r="D372" s="105">
        <v>24759.37</v>
      </c>
      <c r="E372" s="105">
        <v>3619.8</v>
      </c>
      <c r="F372" s="105">
        <v>6206.73</v>
      </c>
      <c r="G372" s="105">
        <v>1795.64</v>
      </c>
      <c r="H372" s="105">
        <v>105.17</v>
      </c>
      <c r="I372" s="105">
        <v>1482.11</v>
      </c>
      <c r="J372" s="105">
        <v>8139.85</v>
      </c>
      <c r="K372" s="105">
        <v>4539.84</v>
      </c>
      <c r="L372" s="105">
        <v>1794.52</v>
      </c>
      <c r="M372" s="105">
        <v>770.44</v>
      </c>
      <c r="N372" s="105"/>
      <c r="O372" s="105"/>
      <c r="P372" s="119"/>
    </row>
    <row r="373" spans="1:16" x14ac:dyDescent="0.3">
      <c r="A373" s="146"/>
      <c r="B373" s="94">
        <v>42948</v>
      </c>
      <c r="C373" s="105">
        <f t="shared" si="8"/>
        <v>38639.17</v>
      </c>
      <c r="D373" s="105">
        <v>11949.16</v>
      </c>
      <c r="E373" s="105">
        <v>1679.17</v>
      </c>
      <c r="F373" s="105">
        <v>5232.08</v>
      </c>
      <c r="G373" s="105">
        <v>3026.58</v>
      </c>
      <c r="H373" s="105">
        <v>2516.6</v>
      </c>
      <c r="I373" s="105">
        <v>3486.45</v>
      </c>
      <c r="J373" s="105">
        <v>3625</v>
      </c>
      <c r="K373" s="105">
        <v>4125.99</v>
      </c>
      <c r="L373" s="105">
        <v>2251.8200000000002</v>
      </c>
      <c r="M373" s="105">
        <v>746.32</v>
      </c>
      <c r="N373" s="105"/>
      <c r="O373" s="105"/>
      <c r="P373" s="119"/>
    </row>
    <row r="374" spans="1:16" x14ac:dyDescent="0.3">
      <c r="A374" s="146"/>
      <c r="B374" s="94">
        <v>42979</v>
      </c>
      <c r="C374" s="105">
        <f t="shared" si="8"/>
        <v>55425.950000000004</v>
      </c>
      <c r="D374" s="105">
        <v>26883.89</v>
      </c>
      <c r="E374" s="105">
        <v>4942.29</v>
      </c>
      <c r="F374" s="105">
        <v>4256.21</v>
      </c>
      <c r="G374" s="105">
        <v>1336.15</v>
      </c>
      <c r="H374" s="105">
        <v>132.35</v>
      </c>
      <c r="I374" s="105">
        <v>6761.12</v>
      </c>
      <c r="J374" s="105">
        <v>2127.8200000000002</v>
      </c>
      <c r="K374" s="105">
        <v>5667.25</v>
      </c>
      <c r="L374" s="105">
        <v>2061.04</v>
      </c>
      <c r="M374" s="105">
        <v>1257.83</v>
      </c>
      <c r="N374" s="105"/>
      <c r="O374" s="105"/>
      <c r="P374" s="119"/>
    </row>
    <row r="375" spans="1:16" x14ac:dyDescent="0.3">
      <c r="A375" s="146"/>
      <c r="B375" s="94">
        <v>43009</v>
      </c>
      <c r="C375" s="105">
        <f t="shared" si="8"/>
        <v>85104.409999999989</v>
      </c>
      <c r="D375" s="105">
        <v>21472.65</v>
      </c>
      <c r="E375" s="105">
        <v>2333.5700000000002</v>
      </c>
      <c r="F375" s="105">
        <v>9827.69</v>
      </c>
      <c r="G375" s="105">
        <v>2906.6</v>
      </c>
      <c r="H375" s="105">
        <v>171.92</v>
      </c>
      <c r="I375" s="105">
        <v>9074.49</v>
      </c>
      <c r="J375" s="105">
        <v>23794.6</v>
      </c>
      <c r="K375" s="105">
        <v>10269.68</v>
      </c>
      <c r="L375" s="105">
        <v>3392.63</v>
      </c>
      <c r="M375" s="105">
        <v>1860.58</v>
      </c>
      <c r="N375" s="105"/>
      <c r="O375" s="105"/>
      <c r="P375" s="119"/>
    </row>
    <row r="376" spans="1:16" x14ac:dyDescent="0.3">
      <c r="A376" s="146"/>
      <c r="B376" s="94">
        <v>43040</v>
      </c>
      <c r="C376" s="92">
        <f t="shared" si="8"/>
        <v>53907.4</v>
      </c>
      <c r="D376" s="92">
        <v>13476.69</v>
      </c>
      <c r="E376" s="92">
        <v>1985</v>
      </c>
      <c r="F376" s="92">
        <v>8831.8700000000008</v>
      </c>
      <c r="G376" s="92">
        <v>2022.65</v>
      </c>
      <c r="H376" s="92">
        <v>301.81</v>
      </c>
      <c r="I376" s="92">
        <v>3093.21</v>
      </c>
      <c r="J376" s="92">
        <v>13221.5</v>
      </c>
      <c r="K376" s="92">
        <v>6153.72</v>
      </c>
      <c r="L376" s="92">
        <v>2511.35</v>
      </c>
      <c r="M376" s="92">
        <v>1621.6</v>
      </c>
      <c r="N376" s="92">
        <v>688</v>
      </c>
    </row>
    <row r="377" spans="1:16" x14ac:dyDescent="0.3">
      <c r="A377" s="146"/>
      <c r="B377" s="94">
        <v>43070</v>
      </c>
      <c r="C377" s="92">
        <f t="shared" si="8"/>
        <v>50615.9</v>
      </c>
      <c r="D377" s="92">
        <v>14476.35</v>
      </c>
      <c r="E377" s="92">
        <v>2713.17</v>
      </c>
      <c r="F377" s="92">
        <v>9487</v>
      </c>
      <c r="G377" s="92">
        <v>1597.9</v>
      </c>
      <c r="H377" s="92">
        <v>190</v>
      </c>
      <c r="I377" s="92">
        <v>7810.56</v>
      </c>
      <c r="J377" s="92">
        <v>5565.8</v>
      </c>
      <c r="K377" s="92">
        <v>4565.0600000000004</v>
      </c>
      <c r="L377" s="92">
        <v>2058.88</v>
      </c>
      <c r="M377" s="92">
        <v>1529.18</v>
      </c>
      <c r="N377" s="92">
        <v>622</v>
      </c>
    </row>
    <row r="378" spans="1:16" x14ac:dyDescent="0.3">
      <c r="A378" s="146"/>
      <c r="B378" s="94">
        <v>43101</v>
      </c>
      <c r="C378" s="92">
        <f t="shared" si="8"/>
        <v>33911.18</v>
      </c>
      <c r="D378" s="92">
        <v>12628.16</v>
      </c>
      <c r="E378" s="92">
        <v>3497.36</v>
      </c>
      <c r="F378" s="92">
        <v>3615.78</v>
      </c>
      <c r="G378" s="92">
        <v>1016.08</v>
      </c>
      <c r="H378" s="92">
        <v>99</v>
      </c>
      <c r="I378" s="92">
        <v>1614.72</v>
      </c>
      <c r="J378" s="92">
        <v>5149</v>
      </c>
      <c r="K378" s="92">
        <v>4132.29</v>
      </c>
      <c r="L378" s="92">
        <v>1448.06</v>
      </c>
      <c r="M378" s="92">
        <v>529.20000000000005</v>
      </c>
      <c r="P378" s="117">
        <v>181.53</v>
      </c>
    </row>
    <row r="379" spans="1:16" x14ac:dyDescent="0.3">
      <c r="A379" s="146"/>
      <c r="B379" s="94">
        <v>43132</v>
      </c>
      <c r="C379" s="92">
        <f t="shared" si="8"/>
        <v>37021.380000000005</v>
      </c>
      <c r="D379" s="92">
        <v>11152.53</v>
      </c>
      <c r="E379" s="92">
        <v>2296.1</v>
      </c>
      <c r="F379" s="92">
        <v>7058.39</v>
      </c>
      <c r="G379" s="92">
        <v>1944.31</v>
      </c>
      <c r="H379" s="92">
        <v>1560</v>
      </c>
      <c r="I379" s="92">
        <v>810.82</v>
      </c>
      <c r="J379" s="92">
        <v>1511</v>
      </c>
      <c r="K379" s="92">
        <v>5514.01</v>
      </c>
      <c r="L379" s="92">
        <v>2155.2800000000002</v>
      </c>
      <c r="M379" s="92">
        <v>438.15</v>
      </c>
      <c r="N379" s="92">
        <v>1180</v>
      </c>
      <c r="P379" s="117">
        <v>1400.79</v>
      </c>
    </row>
    <row r="380" spans="1:16" x14ac:dyDescent="0.3">
      <c r="A380" s="146"/>
      <c r="B380" s="94">
        <v>43160</v>
      </c>
      <c r="C380" s="92">
        <f t="shared" si="8"/>
        <v>61138.87</v>
      </c>
      <c r="D380" s="92">
        <v>25333.26</v>
      </c>
      <c r="E380" s="92">
        <v>2439.59</v>
      </c>
      <c r="F380" s="92">
        <v>4529.59</v>
      </c>
      <c r="G380" s="92">
        <v>1837.16</v>
      </c>
      <c r="H380" s="92">
        <v>1939.07</v>
      </c>
      <c r="I380" s="92">
        <v>7109.79</v>
      </c>
      <c r="J380" s="92">
        <v>8652</v>
      </c>
      <c r="K380" s="92">
        <v>5398.88</v>
      </c>
      <c r="L380" s="92">
        <v>2749.41</v>
      </c>
      <c r="M380" s="92">
        <v>465.15</v>
      </c>
      <c r="P380" s="117">
        <v>684.97</v>
      </c>
    </row>
    <row r="381" spans="1:16" x14ac:dyDescent="0.3">
      <c r="A381" s="146"/>
      <c r="B381" s="94">
        <v>43191</v>
      </c>
      <c r="C381" s="92">
        <f t="shared" si="8"/>
        <v>35513.51</v>
      </c>
      <c r="D381" s="92">
        <v>8696.92</v>
      </c>
      <c r="E381" s="92">
        <v>2362.15</v>
      </c>
      <c r="F381" s="92">
        <v>4491.1099999999997</v>
      </c>
      <c r="G381" s="92">
        <v>1793.52</v>
      </c>
      <c r="H381" s="92">
        <v>623.82000000000005</v>
      </c>
      <c r="I381" s="92">
        <v>3486.58</v>
      </c>
      <c r="J381" s="92">
        <v>7046.5</v>
      </c>
      <c r="K381" s="92">
        <v>3583.76</v>
      </c>
      <c r="L381" s="92">
        <v>1727.05</v>
      </c>
      <c r="M381" s="92">
        <v>291.25</v>
      </c>
      <c r="N381" s="92">
        <v>136.88</v>
      </c>
      <c r="P381" s="117">
        <v>1273.97</v>
      </c>
    </row>
    <row r="382" spans="1:16" x14ac:dyDescent="0.3">
      <c r="A382" s="146"/>
      <c r="B382" s="94">
        <v>43221</v>
      </c>
      <c r="C382" s="92">
        <f t="shared" si="8"/>
        <v>37753.219999999994</v>
      </c>
      <c r="D382" s="92">
        <v>10771.19</v>
      </c>
      <c r="E382" s="92">
        <v>2010.46</v>
      </c>
      <c r="F382" s="92">
        <v>7309.95</v>
      </c>
      <c r="G382" s="92">
        <v>1858.47</v>
      </c>
      <c r="H382" s="92">
        <v>258.8</v>
      </c>
      <c r="I382" s="92">
        <v>-1991.22</v>
      </c>
      <c r="J382" s="92">
        <v>7825</v>
      </c>
      <c r="K382" s="92">
        <v>7516.74</v>
      </c>
      <c r="L382" s="92">
        <v>1603.93</v>
      </c>
      <c r="M382" s="92">
        <v>309.25</v>
      </c>
      <c r="N382" s="92">
        <v>136.88</v>
      </c>
      <c r="P382" s="117">
        <v>143.77000000000001</v>
      </c>
    </row>
    <row r="383" spans="1:16" x14ac:dyDescent="0.3">
      <c r="A383" s="146"/>
      <c r="B383" s="94">
        <v>43252</v>
      </c>
      <c r="C383" s="92">
        <f t="shared" si="8"/>
        <v>61861.584000000003</v>
      </c>
      <c r="D383" s="92">
        <v>23909.29</v>
      </c>
      <c r="E383" s="92">
        <v>4421.29</v>
      </c>
      <c r="F383" s="92">
        <v>5571.6139999999996</v>
      </c>
      <c r="G383" s="92">
        <v>4185.79</v>
      </c>
      <c r="H383" s="92">
        <v>467.86</v>
      </c>
      <c r="I383" s="92">
        <v>7790.87</v>
      </c>
      <c r="J383" s="92">
        <v>6440</v>
      </c>
      <c r="K383" s="92">
        <v>4981.75</v>
      </c>
      <c r="L383" s="92">
        <v>2308.5</v>
      </c>
      <c r="M383" s="92">
        <v>309.25</v>
      </c>
      <c r="N383" s="92">
        <v>181.88</v>
      </c>
      <c r="P383" s="117">
        <v>1293.49</v>
      </c>
    </row>
    <row r="384" spans="1:16" x14ac:dyDescent="0.3">
      <c r="A384" s="146"/>
      <c r="B384" s="94">
        <v>43282</v>
      </c>
      <c r="C384" s="92">
        <f t="shared" si="8"/>
        <v>53096.280000000006</v>
      </c>
      <c r="D384" s="92">
        <v>22397.99</v>
      </c>
      <c r="E384" s="92">
        <v>2245.5700000000002</v>
      </c>
      <c r="F384" s="92">
        <v>8165.42</v>
      </c>
      <c r="G384" s="92">
        <v>1274.03</v>
      </c>
      <c r="H384" s="92">
        <v>45.73</v>
      </c>
      <c r="I384" s="92">
        <v>1450.38</v>
      </c>
      <c r="J384" s="92">
        <v>5140.2</v>
      </c>
      <c r="K384" s="92">
        <v>8741.9500000000007</v>
      </c>
      <c r="L384" s="92">
        <v>1905.8</v>
      </c>
      <c r="M384" s="92">
        <v>278.5</v>
      </c>
      <c r="N384" s="92">
        <v>136.88</v>
      </c>
      <c r="P384" s="117">
        <v>1313.83</v>
      </c>
    </row>
    <row r="385" spans="1:16" x14ac:dyDescent="0.3">
      <c r="A385" s="146"/>
      <c r="B385" s="94">
        <v>43313</v>
      </c>
      <c r="C385" s="92">
        <f t="shared" si="8"/>
        <v>30072.579999999994</v>
      </c>
      <c r="D385" s="92">
        <v>9425.7000000000007</v>
      </c>
      <c r="E385" s="92">
        <v>2055.77</v>
      </c>
      <c r="F385" s="92">
        <v>4443.1000000000004</v>
      </c>
      <c r="G385" s="92">
        <v>1239.27</v>
      </c>
      <c r="H385" s="92">
        <v>317.35000000000002</v>
      </c>
      <c r="I385" s="92">
        <v>125.28</v>
      </c>
      <c r="J385" s="92">
        <v>5623</v>
      </c>
      <c r="K385" s="92">
        <v>2849.6</v>
      </c>
      <c r="L385" s="92">
        <v>2494.87</v>
      </c>
      <c r="M385" s="92">
        <v>314.5</v>
      </c>
      <c r="N385" s="92">
        <v>1158.68</v>
      </c>
      <c r="P385" s="117">
        <v>25.46</v>
      </c>
    </row>
    <row r="386" spans="1:16" x14ac:dyDescent="0.3">
      <c r="A386" s="146"/>
      <c r="B386" s="94">
        <v>43344</v>
      </c>
      <c r="C386" s="92">
        <f t="shared" si="8"/>
        <v>36592.019999999997</v>
      </c>
      <c r="D386" s="92">
        <v>11726.99</v>
      </c>
      <c r="E386" s="92">
        <v>2161.1799999999998</v>
      </c>
      <c r="F386" s="92">
        <v>6446.38</v>
      </c>
      <c r="G386" s="92">
        <v>1463.62</v>
      </c>
      <c r="H386" s="92">
        <v>223.2</v>
      </c>
      <c r="I386" s="92">
        <v>1559.1</v>
      </c>
      <c r="J386" s="92">
        <v>6000.5</v>
      </c>
      <c r="K386" s="92">
        <v>4130.05</v>
      </c>
      <c r="L386" s="92">
        <v>2264.87</v>
      </c>
      <c r="M386" s="92">
        <v>208.8</v>
      </c>
      <c r="N386" s="92">
        <v>136.88</v>
      </c>
      <c r="P386" s="117">
        <v>270.45</v>
      </c>
    </row>
    <row r="387" spans="1:16" x14ac:dyDescent="0.3">
      <c r="A387" s="146"/>
      <c r="B387" s="94">
        <v>43374</v>
      </c>
      <c r="C387" s="92">
        <v>36206</v>
      </c>
      <c r="D387" s="92">
        <v>11010.14</v>
      </c>
      <c r="E387" s="92">
        <v>2007.74</v>
      </c>
      <c r="F387" s="92">
        <v>7089.02</v>
      </c>
      <c r="G387" s="92">
        <v>2250.46</v>
      </c>
      <c r="H387" s="92">
        <v>39.130000000000003</v>
      </c>
      <c r="I387" s="92">
        <v>3800.44</v>
      </c>
      <c r="J387" s="92">
        <v>4253</v>
      </c>
      <c r="K387" s="92">
        <v>5605.54</v>
      </c>
      <c r="L387" s="92">
        <v>1188.07</v>
      </c>
      <c r="M387" s="92">
        <v>69.75</v>
      </c>
      <c r="N387" s="92">
        <v>181.88</v>
      </c>
      <c r="P387" s="117">
        <v>568.99</v>
      </c>
    </row>
    <row r="388" spans="1:16" x14ac:dyDescent="0.3">
      <c r="A388" s="146"/>
      <c r="B388" s="94">
        <v>43405</v>
      </c>
      <c r="C388" s="92">
        <v>44121</v>
      </c>
      <c r="D388" s="92">
        <v>20242.759999999998</v>
      </c>
      <c r="E388" s="92">
        <v>2341.88</v>
      </c>
      <c r="F388" s="92">
        <v>6364.81</v>
      </c>
      <c r="G388" s="92">
        <v>1470.09</v>
      </c>
      <c r="H388" s="92">
        <v>553.4</v>
      </c>
      <c r="I388" s="92">
        <v>1942.96</v>
      </c>
      <c r="J388" s="92">
        <v>4916</v>
      </c>
      <c r="K388" s="92">
        <v>4875.99</v>
      </c>
      <c r="L388" s="92">
        <v>1327.83</v>
      </c>
      <c r="M388" s="92">
        <v>7.5</v>
      </c>
      <c r="N388" s="92">
        <v>136.88</v>
      </c>
      <c r="P388" s="117">
        <v>123.67</v>
      </c>
    </row>
    <row r="389" spans="1:16" x14ac:dyDescent="0.3">
      <c r="A389" s="146"/>
      <c r="B389" s="94">
        <v>43435</v>
      </c>
      <c r="C389" s="92">
        <f t="shared" ref="C389:C476" si="9">SUM(D389:P389)</f>
        <v>31086.489999999998</v>
      </c>
      <c r="D389" s="105">
        <v>7023.99</v>
      </c>
      <c r="E389" s="105">
        <v>2578.6999999999998</v>
      </c>
      <c r="F389" s="105">
        <v>3819.54</v>
      </c>
      <c r="G389" s="105">
        <v>1097.04</v>
      </c>
      <c r="H389" s="105">
        <v>175</v>
      </c>
      <c r="I389" s="105">
        <v>30.16</v>
      </c>
      <c r="J389" s="105">
        <v>7896</v>
      </c>
      <c r="K389" s="105">
        <v>4298.03</v>
      </c>
      <c r="L389" s="105">
        <v>1324.37</v>
      </c>
      <c r="M389" s="105">
        <v>18.45</v>
      </c>
      <c r="N389" s="105">
        <v>691.88</v>
      </c>
      <c r="O389" s="105"/>
      <c r="P389" s="119">
        <v>2133.33</v>
      </c>
    </row>
    <row r="390" spans="1:16" x14ac:dyDescent="0.3">
      <c r="A390" s="146"/>
      <c r="B390" s="94">
        <v>43466</v>
      </c>
      <c r="C390" s="105">
        <f t="shared" si="9"/>
        <v>32383.810000000005</v>
      </c>
      <c r="D390" s="105">
        <v>10745.92</v>
      </c>
      <c r="E390" s="105">
        <v>1708.18</v>
      </c>
      <c r="F390" s="105">
        <v>7898.14</v>
      </c>
      <c r="G390" s="105">
        <v>1243.07</v>
      </c>
      <c r="H390" s="105">
        <v>1294.44</v>
      </c>
      <c r="I390" s="105">
        <v>1406.29</v>
      </c>
      <c r="J390" s="105">
        <v>1426.95</v>
      </c>
      <c r="K390" s="105">
        <v>5631.56</v>
      </c>
      <c r="L390" s="105">
        <v>649.48</v>
      </c>
      <c r="M390" s="105">
        <v>81</v>
      </c>
      <c r="N390" s="105">
        <v>136.88</v>
      </c>
      <c r="O390" s="105"/>
      <c r="P390" s="119">
        <v>161.9</v>
      </c>
    </row>
    <row r="391" spans="1:16" x14ac:dyDescent="0.3">
      <c r="A391" s="146"/>
      <c r="B391" s="94">
        <v>43497</v>
      </c>
      <c r="C391" s="105">
        <f t="shared" si="9"/>
        <v>44305.049999999996</v>
      </c>
      <c r="D391" s="105">
        <v>15971.54</v>
      </c>
      <c r="E391" s="105">
        <v>1734.73</v>
      </c>
      <c r="F391" s="105">
        <v>6465.38</v>
      </c>
      <c r="G391" s="105">
        <v>1585.48</v>
      </c>
      <c r="H391" s="105">
        <v>81</v>
      </c>
      <c r="I391" s="105">
        <v>1778.04</v>
      </c>
      <c r="J391" s="105">
        <v>8649.65</v>
      </c>
      <c r="K391" s="105">
        <v>4919.17</v>
      </c>
      <c r="L391" s="105">
        <v>1462.58</v>
      </c>
      <c r="M391" s="105">
        <v>182.25</v>
      </c>
      <c r="N391" s="105">
        <v>136.88</v>
      </c>
      <c r="O391" s="105">
        <v>1158.1500000000001</v>
      </c>
      <c r="P391" s="119">
        <v>180.2</v>
      </c>
    </row>
    <row r="392" spans="1:16" x14ac:dyDescent="0.3">
      <c r="A392" s="146"/>
      <c r="B392" s="94">
        <v>43525</v>
      </c>
      <c r="C392" s="105">
        <f t="shared" si="9"/>
        <v>46999.519999999997</v>
      </c>
      <c r="D392" s="105">
        <v>10393.07</v>
      </c>
      <c r="E392" s="105">
        <v>3319.69</v>
      </c>
      <c r="F392" s="105">
        <v>7161.87</v>
      </c>
      <c r="G392" s="105">
        <v>1001.5</v>
      </c>
      <c r="H392" s="105">
        <v>180.87</v>
      </c>
      <c r="I392" s="105">
        <v>3099.4</v>
      </c>
      <c r="J392" s="105">
        <v>8122.7</v>
      </c>
      <c r="K392" s="105">
        <v>9031.75</v>
      </c>
      <c r="L392" s="105">
        <v>1365.1</v>
      </c>
      <c r="M392" s="105">
        <v>369.86</v>
      </c>
      <c r="N392" s="105">
        <v>136.88</v>
      </c>
      <c r="O392" s="105">
        <v>2311.4299999999998</v>
      </c>
      <c r="P392" s="119">
        <v>505.4</v>
      </c>
    </row>
    <row r="393" spans="1:16" x14ac:dyDescent="0.3">
      <c r="A393" s="146"/>
      <c r="B393" s="94">
        <v>43556</v>
      </c>
      <c r="C393" s="105">
        <f t="shared" si="9"/>
        <v>38625.080000000009</v>
      </c>
      <c r="D393" s="105">
        <v>13183</v>
      </c>
      <c r="E393" s="105">
        <v>1989.62</v>
      </c>
      <c r="F393" s="105">
        <v>6881.81</v>
      </c>
      <c r="G393" s="105">
        <v>2284.77</v>
      </c>
      <c r="H393" s="105">
        <v>819.9</v>
      </c>
      <c r="I393" s="105">
        <v>1098.55</v>
      </c>
      <c r="J393" s="105">
        <v>671</v>
      </c>
      <c r="K393" s="105">
        <v>7983.54</v>
      </c>
      <c r="L393" s="105">
        <v>1963.11</v>
      </c>
      <c r="M393" s="105">
        <v>483</v>
      </c>
      <c r="N393" s="105"/>
      <c r="O393" s="105">
        <v>183.3</v>
      </c>
      <c r="P393" s="119">
        <v>1083.48</v>
      </c>
    </row>
    <row r="394" spans="1:16" x14ac:dyDescent="0.3">
      <c r="A394" s="146"/>
      <c r="B394" s="94">
        <v>43586</v>
      </c>
      <c r="C394" s="105">
        <f t="shared" si="9"/>
        <v>30791.690000000002</v>
      </c>
      <c r="D394" s="105">
        <v>7447.32</v>
      </c>
      <c r="E394" s="105">
        <v>2231.06</v>
      </c>
      <c r="F394" s="105">
        <v>4828.62</v>
      </c>
      <c r="G394" s="105">
        <v>1442.93</v>
      </c>
      <c r="H394" s="105">
        <v>304.97000000000003</v>
      </c>
      <c r="I394" s="105">
        <v>612.07000000000005</v>
      </c>
      <c r="J394" s="105">
        <v>6523.5</v>
      </c>
      <c r="K394" s="105">
        <v>4718.5</v>
      </c>
      <c r="L394" s="105">
        <v>1450.07</v>
      </c>
      <c r="M394" s="105">
        <v>481</v>
      </c>
      <c r="N394" s="105"/>
      <c r="O394" s="105"/>
      <c r="P394" s="119">
        <v>751.65</v>
      </c>
    </row>
    <row r="395" spans="1:16" x14ac:dyDescent="0.3">
      <c r="A395" s="146"/>
      <c r="B395" s="94">
        <v>43617</v>
      </c>
      <c r="C395" s="105">
        <f t="shared" si="9"/>
        <v>41931.32</v>
      </c>
      <c r="D395" s="105">
        <v>12250.07</v>
      </c>
      <c r="E395" s="105">
        <v>2028.25</v>
      </c>
      <c r="F395" s="105">
        <v>4681.3</v>
      </c>
      <c r="G395" s="105">
        <v>1841.47</v>
      </c>
      <c r="H395" s="105">
        <v>1198.78</v>
      </c>
      <c r="I395" s="105">
        <v>1829.38</v>
      </c>
      <c r="J395" s="105">
        <v>6920</v>
      </c>
      <c r="K395" s="105">
        <v>6900.32</v>
      </c>
      <c r="L395" s="105">
        <v>1771.7</v>
      </c>
      <c r="M395" s="105">
        <v>613.5</v>
      </c>
      <c r="N395" s="105">
        <v>569.9</v>
      </c>
      <c r="O395" s="105"/>
      <c r="P395" s="119">
        <v>1326.65</v>
      </c>
    </row>
    <row r="396" spans="1:16" x14ac:dyDescent="0.3">
      <c r="A396" s="146"/>
      <c r="B396" s="94">
        <v>43647</v>
      </c>
      <c r="C396" s="105">
        <f t="shared" si="9"/>
        <v>24792.54</v>
      </c>
      <c r="D396" s="105">
        <v>6843.86</v>
      </c>
      <c r="E396" s="105">
        <v>1853.03</v>
      </c>
      <c r="F396" s="105">
        <v>5155.49</v>
      </c>
      <c r="G396" s="105">
        <v>984.06</v>
      </c>
      <c r="H396" s="105">
        <v>114</v>
      </c>
      <c r="I396" s="105">
        <v>351.87</v>
      </c>
      <c r="J396" s="105">
        <v>2768</v>
      </c>
      <c r="K396" s="105">
        <v>4364</v>
      </c>
      <c r="L396" s="105">
        <v>1719.65</v>
      </c>
      <c r="M396" s="105">
        <v>335.25</v>
      </c>
      <c r="N396" s="105"/>
      <c r="O396" s="105"/>
      <c r="P396" s="119">
        <v>303.33</v>
      </c>
    </row>
    <row r="397" spans="1:16" x14ac:dyDescent="0.3">
      <c r="A397" s="146"/>
      <c r="B397" s="94">
        <v>43678</v>
      </c>
      <c r="C397" s="105">
        <f t="shared" si="9"/>
        <v>38834.92</v>
      </c>
      <c r="D397" s="105">
        <v>14567.78</v>
      </c>
      <c r="E397" s="105">
        <v>4326.1099999999997</v>
      </c>
      <c r="F397" s="105">
        <v>5353.9</v>
      </c>
      <c r="G397" s="105">
        <v>721.97</v>
      </c>
      <c r="H397" s="105">
        <v>354.9</v>
      </c>
      <c r="I397" s="105">
        <v>848.03</v>
      </c>
      <c r="J397" s="105">
        <v>4835</v>
      </c>
      <c r="K397" s="105">
        <v>4142.3100000000004</v>
      </c>
      <c r="L397" s="105">
        <v>3346.77</v>
      </c>
      <c r="M397" s="105">
        <v>295.75</v>
      </c>
      <c r="N397" s="105"/>
      <c r="O397" s="105">
        <v>1.75</v>
      </c>
      <c r="P397" s="119">
        <v>40.65</v>
      </c>
    </row>
    <row r="398" spans="1:16" x14ac:dyDescent="0.3">
      <c r="A398" s="146"/>
      <c r="B398" s="94">
        <v>43709</v>
      </c>
      <c r="C398" s="105">
        <f t="shared" si="9"/>
        <v>53652.25</v>
      </c>
      <c r="D398" s="105">
        <v>23171.24</v>
      </c>
      <c r="E398" s="105">
        <v>2533.14</v>
      </c>
      <c r="F398" s="105">
        <v>10003.14</v>
      </c>
      <c r="G398" s="105">
        <v>1723.97</v>
      </c>
      <c r="H398" s="105">
        <v>540.05999999999995</v>
      </c>
      <c r="I398" s="105">
        <v>394.78</v>
      </c>
      <c r="J398" s="105">
        <v>212.13</v>
      </c>
      <c r="K398" s="105">
        <v>11898.61</v>
      </c>
      <c r="L398" s="105">
        <v>2642.48</v>
      </c>
      <c r="M398" s="105">
        <v>179.92</v>
      </c>
      <c r="N398" s="105"/>
      <c r="O398" s="105"/>
      <c r="P398" s="119">
        <v>352.78</v>
      </c>
    </row>
    <row r="399" spans="1:16" x14ac:dyDescent="0.3">
      <c r="A399" s="146"/>
      <c r="B399" s="94">
        <v>43739</v>
      </c>
      <c r="C399" s="105">
        <f t="shared" si="9"/>
        <v>56746.520000000011</v>
      </c>
      <c r="D399" s="105">
        <v>21192.400000000001</v>
      </c>
      <c r="E399" s="105">
        <v>3226.02</v>
      </c>
      <c r="F399" s="105">
        <v>8678.27</v>
      </c>
      <c r="G399" s="105">
        <v>1743.12</v>
      </c>
      <c r="H399" s="105">
        <v>497.17</v>
      </c>
      <c r="I399" s="105">
        <v>3347.26</v>
      </c>
      <c r="J399" s="105">
        <v>9233.02</v>
      </c>
      <c r="K399" s="105">
        <v>5466.55</v>
      </c>
      <c r="L399" s="105">
        <v>2878.21</v>
      </c>
      <c r="M399" s="105">
        <v>149.80000000000001</v>
      </c>
      <c r="N399" s="105"/>
      <c r="O399" s="105">
        <v>1.75</v>
      </c>
      <c r="P399" s="119">
        <v>332.95</v>
      </c>
    </row>
    <row r="400" spans="1:16" x14ac:dyDescent="0.3">
      <c r="A400" s="146"/>
      <c r="B400" s="94">
        <v>43770</v>
      </c>
      <c r="C400" s="105">
        <f t="shared" si="9"/>
        <v>32607.99</v>
      </c>
      <c r="D400" s="105">
        <v>9614.76</v>
      </c>
      <c r="E400" s="105">
        <v>2513.67</v>
      </c>
      <c r="F400" s="105">
        <v>5674.4</v>
      </c>
      <c r="G400" s="105">
        <v>1674.36</v>
      </c>
      <c r="H400" s="105">
        <v>132.35</v>
      </c>
      <c r="I400" s="105">
        <v>343.79</v>
      </c>
      <c r="J400" s="105">
        <v>4141.8</v>
      </c>
      <c r="K400" s="105">
        <v>6442.5</v>
      </c>
      <c r="L400" s="105">
        <v>1639.39</v>
      </c>
      <c r="M400" s="105">
        <v>113.75</v>
      </c>
      <c r="N400" s="105"/>
      <c r="O400" s="105"/>
      <c r="P400" s="119">
        <v>317.22000000000003</v>
      </c>
    </row>
    <row r="401" spans="1:16" x14ac:dyDescent="0.3">
      <c r="A401" s="146"/>
      <c r="B401" s="94">
        <v>43800</v>
      </c>
      <c r="C401" s="105">
        <f t="shared" si="9"/>
        <v>28377.57</v>
      </c>
      <c r="D401" s="105">
        <v>10605.13</v>
      </c>
      <c r="E401" s="105">
        <v>1997.32</v>
      </c>
      <c r="F401" s="105">
        <v>6586.35</v>
      </c>
      <c r="G401" s="105">
        <v>1379.53</v>
      </c>
      <c r="H401" s="105">
        <v>615.4</v>
      </c>
      <c r="I401" s="105">
        <v>321.94</v>
      </c>
      <c r="J401" s="105">
        <v>796</v>
      </c>
      <c r="K401" s="105">
        <v>3889.18</v>
      </c>
      <c r="L401" s="105">
        <v>1700.48</v>
      </c>
      <c r="M401" s="105">
        <v>186.75</v>
      </c>
      <c r="N401" s="105"/>
      <c r="O401" s="105"/>
      <c r="P401" s="119">
        <v>299.49</v>
      </c>
    </row>
    <row r="402" spans="1:16" x14ac:dyDescent="0.3">
      <c r="A402" s="146"/>
      <c r="B402" s="94">
        <v>43831</v>
      </c>
      <c r="C402" s="105">
        <f t="shared" si="9"/>
        <v>37322.909999999996</v>
      </c>
      <c r="D402" s="105">
        <v>10592.92</v>
      </c>
      <c r="E402" s="105">
        <v>2215.08</v>
      </c>
      <c r="F402" s="105">
        <v>5672.6</v>
      </c>
      <c r="G402" s="105">
        <v>1252.93</v>
      </c>
      <c r="H402" s="105">
        <v>440.49</v>
      </c>
      <c r="I402" s="105">
        <v>378.72</v>
      </c>
      <c r="J402" s="105">
        <v>4556.5</v>
      </c>
      <c r="K402" s="105">
        <v>8846.6200000000008</v>
      </c>
      <c r="L402" s="105">
        <v>2409.31</v>
      </c>
      <c r="M402" s="105">
        <v>263.75</v>
      </c>
      <c r="N402" s="105"/>
      <c r="O402" s="105"/>
      <c r="P402" s="119">
        <v>693.99</v>
      </c>
    </row>
    <row r="403" spans="1:16" x14ac:dyDescent="0.3">
      <c r="A403" s="146"/>
      <c r="B403" s="94">
        <v>43862</v>
      </c>
      <c r="C403" s="105">
        <f t="shared" si="9"/>
        <v>50875.49</v>
      </c>
      <c r="D403" s="105">
        <v>14823</v>
      </c>
      <c r="E403" s="105">
        <v>2240.04</v>
      </c>
      <c r="F403" s="105">
        <v>5323.41</v>
      </c>
      <c r="G403" s="105">
        <v>1268.02</v>
      </c>
      <c r="H403" s="105">
        <v>334.13</v>
      </c>
      <c r="I403" s="105">
        <v>604.96</v>
      </c>
      <c r="J403" s="105">
        <v>18149.36</v>
      </c>
      <c r="K403" s="105">
        <v>5218.33</v>
      </c>
      <c r="L403" s="105">
        <v>2375.59</v>
      </c>
      <c r="M403" s="105">
        <v>95</v>
      </c>
      <c r="N403" s="105"/>
      <c r="O403" s="105"/>
      <c r="P403" s="119">
        <v>443.65</v>
      </c>
    </row>
    <row r="404" spans="1:16" x14ac:dyDescent="0.3">
      <c r="A404" s="146"/>
      <c r="B404" s="94">
        <v>43891</v>
      </c>
      <c r="C404" s="105">
        <f t="shared" si="9"/>
        <v>24200.559999999998</v>
      </c>
      <c r="D404" s="105">
        <v>19209.23</v>
      </c>
      <c r="E404" s="105">
        <v>144.83000000000001</v>
      </c>
      <c r="F404" s="105">
        <v>286.05</v>
      </c>
      <c r="G404" s="105">
        <v>25</v>
      </c>
      <c r="H404" s="105">
        <v>216.05</v>
      </c>
      <c r="I404" s="105">
        <v>38.6</v>
      </c>
      <c r="J404" s="105">
        <v>2934.5</v>
      </c>
      <c r="K404" s="105">
        <v>621.29999999999995</v>
      </c>
      <c r="L404" s="105">
        <v>80</v>
      </c>
      <c r="M404" s="105">
        <v>360</v>
      </c>
      <c r="N404" s="105"/>
      <c r="O404" s="105"/>
      <c r="P404" s="119">
        <v>285</v>
      </c>
    </row>
    <row r="405" spans="1:16" x14ac:dyDescent="0.3">
      <c r="A405" s="146"/>
      <c r="B405" s="94">
        <v>43922</v>
      </c>
      <c r="C405" s="105">
        <f t="shared" si="9"/>
        <v>15876.09</v>
      </c>
      <c r="D405" s="105">
        <v>12293.63</v>
      </c>
      <c r="E405" s="105">
        <v>58.12</v>
      </c>
      <c r="F405" s="105">
        <v>830.95</v>
      </c>
      <c r="G405" s="105">
        <v>3.75</v>
      </c>
      <c r="H405" s="105">
        <v>410.95</v>
      </c>
      <c r="I405" s="105"/>
      <c r="J405" s="105">
        <v>1176.8</v>
      </c>
      <c r="K405" s="105">
        <v>991.64</v>
      </c>
      <c r="L405" s="105"/>
      <c r="M405" s="105">
        <v>110.25</v>
      </c>
      <c r="N405" s="105"/>
      <c r="O405" s="105"/>
      <c r="P405" s="119"/>
    </row>
    <row r="406" spans="1:16" x14ac:dyDescent="0.3">
      <c r="A406" s="146"/>
      <c r="B406" s="94">
        <v>43952</v>
      </c>
      <c r="C406" s="92">
        <f t="shared" si="9"/>
        <v>42973.51</v>
      </c>
      <c r="D406" s="92">
        <v>34906.25</v>
      </c>
      <c r="E406" s="92">
        <v>124.31</v>
      </c>
      <c r="F406" s="92">
        <v>2926.68</v>
      </c>
      <c r="G406" s="92">
        <v>173.97</v>
      </c>
      <c r="H406" s="92">
        <v>284.62</v>
      </c>
      <c r="J406" s="92">
        <v>1530</v>
      </c>
      <c r="K406" s="92">
        <v>2710.6</v>
      </c>
      <c r="L406" s="92">
        <v>85</v>
      </c>
      <c r="M406" s="92">
        <v>3.33</v>
      </c>
      <c r="P406" s="117">
        <v>228.75</v>
      </c>
    </row>
    <row r="407" spans="1:16" x14ac:dyDescent="0.3">
      <c r="A407" s="146"/>
      <c r="B407" s="94">
        <v>43983</v>
      </c>
      <c r="C407" s="92">
        <f t="shared" si="9"/>
        <v>33494.300000000003</v>
      </c>
      <c r="D407" s="109">
        <v>26046.79</v>
      </c>
      <c r="E407" s="109">
        <v>244.08</v>
      </c>
      <c r="F407" s="109">
        <v>1916.91</v>
      </c>
      <c r="G407" s="109">
        <v>0</v>
      </c>
      <c r="H407" s="109"/>
      <c r="I407" s="109">
        <v>2.7</v>
      </c>
      <c r="J407" s="109">
        <v>3116</v>
      </c>
      <c r="K407" s="109">
        <v>2078.7399999999998</v>
      </c>
      <c r="L407" s="109">
        <v>40</v>
      </c>
      <c r="M407" s="109">
        <v>49.08</v>
      </c>
      <c r="N407" s="109"/>
      <c r="O407" s="109"/>
      <c r="P407" s="121"/>
    </row>
    <row r="408" spans="1:16" x14ac:dyDescent="0.3">
      <c r="A408" s="146"/>
      <c r="B408" s="94">
        <v>44013</v>
      </c>
      <c r="C408" s="92">
        <f>SUM(D408:P408)</f>
        <v>20153.450000000004</v>
      </c>
      <c r="D408" s="109">
        <v>13118.12</v>
      </c>
      <c r="E408" s="109">
        <v>525.35</v>
      </c>
      <c r="F408" s="109">
        <v>1684.3</v>
      </c>
      <c r="G408" s="109">
        <v>3.67</v>
      </c>
      <c r="H408" s="109">
        <v>280</v>
      </c>
      <c r="I408" s="109">
        <v>0.36</v>
      </c>
      <c r="J408" s="109">
        <v>3803.24</v>
      </c>
      <c r="K408" s="109">
        <v>713.08</v>
      </c>
      <c r="L408" s="109">
        <v>20</v>
      </c>
      <c r="M408" s="109">
        <v>5.33</v>
      </c>
      <c r="N408" s="109"/>
      <c r="O408" s="109"/>
      <c r="P408" s="121"/>
    </row>
    <row r="409" spans="1:16" x14ac:dyDescent="0.3">
      <c r="A409" s="146"/>
      <c r="B409" s="94">
        <v>44044</v>
      </c>
      <c r="C409" s="92">
        <f t="shared" si="9"/>
        <v>15974.67</v>
      </c>
      <c r="D409" s="109">
        <v>13549.65</v>
      </c>
      <c r="E409" s="109">
        <v>26.29</v>
      </c>
      <c r="F409" s="109">
        <v>1263.1300000000001</v>
      </c>
      <c r="G409" s="109"/>
      <c r="H409" s="109">
        <v>95.4</v>
      </c>
      <c r="I409" s="109">
        <v>576</v>
      </c>
      <c r="J409" s="109"/>
      <c r="K409" s="109">
        <v>404.2</v>
      </c>
      <c r="L409" s="109"/>
      <c r="M409" s="109">
        <v>60</v>
      </c>
      <c r="N409" s="109"/>
      <c r="O409" s="109"/>
      <c r="P409" s="121"/>
    </row>
    <row r="410" spans="1:16" x14ac:dyDescent="0.3">
      <c r="A410" s="146"/>
      <c r="B410" s="94">
        <v>44075</v>
      </c>
      <c r="C410" s="92">
        <f t="shared" si="9"/>
        <v>26678.839999999997</v>
      </c>
      <c r="D410" s="110">
        <v>5975.68</v>
      </c>
      <c r="E410" s="110">
        <v>1288.19</v>
      </c>
      <c r="F410" s="110">
        <v>5680.91</v>
      </c>
      <c r="G410" s="110">
        <v>1044.3800000000001</v>
      </c>
      <c r="H410" s="110">
        <v>2878.55</v>
      </c>
      <c r="I410" s="110">
        <v>493.17</v>
      </c>
      <c r="J410" s="110">
        <v>2512</v>
      </c>
      <c r="K410" s="110">
        <v>4628.53</v>
      </c>
      <c r="L410" s="110">
        <v>1375.73</v>
      </c>
      <c r="M410" s="110">
        <v>659.2</v>
      </c>
      <c r="N410" s="110"/>
      <c r="O410" s="110"/>
      <c r="P410" s="122">
        <v>142.5</v>
      </c>
    </row>
    <row r="411" spans="1:16" x14ac:dyDescent="0.3">
      <c r="A411" s="146"/>
      <c r="B411" s="94">
        <v>44105</v>
      </c>
      <c r="C411" s="92">
        <f t="shared" si="9"/>
        <v>31762.320000000003</v>
      </c>
      <c r="D411" s="110">
        <v>8807.0400000000009</v>
      </c>
      <c r="E411" s="110">
        <v>2549.11</v>
      </c>
      <c r="F411" s="110">
        <v>7460.98</v>
      </c>
      <c r="G411" s="110">
        <v>1128.6300000000001</v>
      </c>
      <c r="H411" s="110">
        <v>2632.22</v>
      </c>
      <c r="I411" s="110">
        <v>393.97</v>
      </c>
      <c r="J411" s="110">
        <v>3304.6</v>
      </c>
      <c r="K411" s="110">
        <v>4279.04</v>
      </c>
      <c r="L411" s="110">
        <v>800.09</v>
      </c>
      <c r="M411" s="110">
        <v>346.64</v>
      </c>
      <c r="N411" s="110"/>
      <c r="O411" s="111"/>
      <c r="P411" s="122">
        <v>60</v>
      </c>
    </row>
    <row r="412" spans="1:16" x14ac:dyDescent="0.3">
      <c r="A412" s="146"/>
      <c r="B412" s="94">
        <v>44136</v>
      </c>
      <c r="C412" s="105">
        <f t="shared" si="9"/>
        <v>21109.350000000002</v>
      </c>
      <c r="D412" s="110">
        <v>5243.55</v>
      </c>
      <c r="E412" s="110">
        <v>1558.62</v>
      </c>
      <c r="F412" s="110">
        <v>6360.16</v>
      </c>
      <c r="G412" s="110">
        <v>802.1</v>
      </c>
      <c r="H412" s="110">
        <v>336.7</v>
      </c>
      <c r="I412" s="110">
        <v>1516.98</v>
      </c>
      <c r="J412" s="110">
        <v>1562.5</v>
      </c>
      <c r="K412" s="110">
        <v>2394.4699999999998</v>
      </c>
      <c r="L412" s="110">
        <v>858.75</v>
      </c>
      <c r="M412" s="110">
        <v>415.52</v>
      </c>
      <c r="N412" s="110"/>
      <c r="O412" s="110"/>
      <c r="P412" s="122">
        <v>60</v>
      </c>
    </row>
    <row r="413" spans="1:16" x14ac:dyDescent="0.3">
      <c r="A413" s="146"/>
      <c r="B413" s="94">
        <v>44166</v>
      </c>
      <c r="C413" s="105">
        <f t="shared" si="9"/>
        <v>28602.739999999998</v>
      </c>
      <c r="D413" s="110">
        <v>9934.26</v>
      </c>
      <c r="E413" s="110">
        <v>1415.58</v>
      </c>
      <c r="F413" s="110">
        <v>5084.28</v>
      </c>
      <c r="G413" s="110">
        <v>1144.98</v>
      </c>
      <c r="H413" s="110">
        <v>3470.92</v>
      </c>
      <c r="I413" s="110">
        <v>327.18</v>
      </c>
      <c r="J413" s="110"/>
      <c r="K413" s="110">
        <v>5012.08</v>
      </c>
      <c r="L413" s="110">
        <v>1813.32</v>
      </c>
      <c r="M413" s="110">
        <v>180.14</v>
      </c>
      <c r="N413" s="110"/>
      <c r="O413" s="110"/>
      <c r="P413" s="122">
        <v>220</v>
      </c>
    </row>
    <row r="414" spans="1:16" x14ac:dyDescent="0.3">
      <c r="A414" s="146"/>
      <c r="B414" s="94">
        <v>44197</v>
      </c>
      <c r="C414" s="105">
        <f t="shared" si="9"/>
        <v>21714.830000000005</v>
      </c>
      <c r="D414" s="110">
        <v>7286.85</v>
      </c>
      <c r="E414" s="110">
        <v>1701.57</v>
      </c>
      <c r="F414" s="110">
        <v>6314.47</v>
      </c>
      <c r="G414" s="110">
        <v>773.22</v>
      </c>
      <c r="H414" s="110">
        <v>583.64</v>
      </c>
      <c r="I414" s="110">
        <v>255.04</v>
      </c>
      <c r="J414" s="110">
        <v>749</v>
      </c>
      <c r="K414" s="110">
        <v>2509.11</v>
      </c>
      <c r="L414" s="110">
        <v>962.4</v>
      </c>
      <c r="M414" s="110">
        <v>-150.44</v>
      </c>
      <c r="N414" s="110"/>
      <c r="O414" s="110"/>
      <c r="P414" s="122">
        <v>729.97</v>
      </c>
    </row>
    <row r="415" spans="1:16" x14ac:dyDescent="0.3">
      <c r="A415" s="146"/>
      <c r="B415" s="94">
        <v>44228</v>
      </c>
      <c r="C415" s="105">
        <f t="shared" si="9"/>
        <v>25005.410000000003</v>
      </c>
      <c r="D415" s="110">
        <v>9791.8700000000008</v>
      </c>
      <c r="E415" s="110">
        <v>1698.4</v>
      </c>
      <c r="F415" s="110">
        <v>6194.17</v>
      </c>
      <c r="G415" s="110">
        <v>768.35</v>
      </c>
      <c r="H415" s="110">
        <v>126.06</v>
      </c>
      <c r="I415" s="110">
        <v>1080.24</v>
      </c>
      <c r="J415" s="110">
        <v>721</v>
      </c>
      <c r="K415" s="110">
        <v>3580.97</v>
      </c>
      <c r="L415" s="110">
        <v>609.44000000000005</v>
      </c>
      <c r="M415" s="110">
        <v>78.25</v>
      </c>
      <c r="N415" s="110"/>
      <c r="O415" s="110"/>
      <c r="P415" s="122">
        <v>356.66</v>
      </c>
    </row>
    <row r="416" spans="1:16" x14ac:dyDescent="0.3">
      <c r="A416" s="146"/>
      <c r="B416" s="94">
        <v>44256</v>
      </c>
      <c r="C416" s="105">
        <f t="shared" si="9"/>
        <v>21354.86</v>
      </c>
      <c r="D416" s="110">
        <v>5277.98</v>
      </c>
      <c r="E416" s="110">
        <v>1187.26</v>
      </c>
      <c r="F416" s="110">
        <v>4593.74</v>
      </c>
      <c r="G416" s="110">
        <v>1169.27</v>
      </c>
      <c r="H416" s="110">
        <v>86.13</v>
      </c>
      <c r="I416" s="110">
        <v>2219.2399999999998</v>
      </c>
      <c r="J416" s="110">
        <v>3079</v>
      </c>
      <c r="K416" s="110">
        <v>2967.05</v>
      </c>
      <c r="L416" s="110">
        <v>498.88</v>
      </c>
      <c r="M416" s="110">
        <v>6</v>
      </c>
      <c r="N416" s="110">
        <v>45</v>
      </c>
      <c r="O416" s="110"/>
      <c r="P416" s="110">
        <v>225.31</v>
      </c>
    </row>
    <row r="417" spans="1:16" x14ac:dyDescent="0.3">
      <c r="A417" s="146"/>
      <c r="B417" s="94">
        <v>44287</v>
      </c>
      <c r="C417" s="105">
        <f t="shared" si="9"/>
        <v>17500.21</v>
      </c>
      <c r="D417" s="110">
        <v>4090.1</v>
      </c>
      <c r="E417" s="110">
        <v>1114.5</v>
      </c>
      <c r="F417" s="110">
        <v>3751.01</v>
      </c>
      <c r="G417" s="110">
        <v>794.92</v>
      </c>
      <c r="H417" s="110">
        <v>2594.42</v>
      </c>
      <c r="I417" s="110">
        <v>80.8</v>
      </c>
      <c r="J417" s="110">
        <v>2031.85</v>
      </c>
      <c r="K417" s="110">
        <v>1949.2</v>
      </c>
      <c r="L417" s="110">
        <v>704.92</v>
      </c>
      <c r="M417" s="110">
        <v>33.5</v>
      </c>
      <c r="N417" s="110"/>
      <c r="O417" s="110"/>
      <c r="P417" s="110">
        <v>354.99</v>
      </c>
    </row>
    <row r="418" spans="1:16" x14ac:dyDescent="0.3">
      <c r="A418" s="146"/>
      <c r="B418" s="94">
        <v>44317</v>
      </c>
      <c r="C418" s="105">
        <f t="shared" si="9"/>
        <v>19477.530000000002</v>
      </c>
      <c r="D418" s="110">
        <v>5608.71</v>
      </c>
      <c r="E418" s="110">
        <v>2600.06</v>
      </c>
      <c r="F418" s="110">
        <v>3817.39</v>
      </c>
      <c r="G418" s="110">
        <v>757.44</v>
      </c>
      <c r="H418" s="110">
        <v>975.05</v>
      </c>
      <c r="I418" s="110">
        <v>355.85</v>
      </c>
      <c r="J418" s="110">
        <v>32</v>
      </c>
      <c r="K418" s="110">
        <v>3787.06</v>
      </c>
      <c r="L418" s="110">
        <v>786.06</v>
      </c>
      <c r="M418" s="110">
        <v>45</v>
      </c>
      <c r="N418" s="110"/>
      <c r="O418" s="110"/>
      <c r="P418" s="110">
        <v>712.91</v>
      </c>
    </row>
    <row r="419" spans="1:16" x14ac:dyDescent="0.3">
      <c r="A419" s="146"/>
      <c r="B419" s="94">
        <v>44348</v>
      </c>
      <c r="C419" s="105">
        <f t="shared" si="9"/>
        <v>30542.720000000001</v>
      </c>
      <c r="D419" s="110">
        <v>10686.76</v>
      </c>
      <c r="E419" s="110">
        <v>1182.3399999999999</v>
      </c>
      <c r="F419" s="110">
        <v>5861.47</v>
      </c>
      <c r="G419" s="110">
        <v>905.45</v>
      </c>
      <c r="H419" s="110">
        <v>957.22</v>
      </c>
      <c r="I419" s="110">
        <v>5288.94</v>
      </c>
      <c r="J419" s="110">
        <v>575</v>
      </c>
      <c r="K419" s="110">
        <v>4030.56</v>
      </c>
      <c r="L419" s="110">
        <v>774.64</v>
      </c>
      <c r="M419" s="110">
        <v>67</v>
      </c>
      <c r="N419" s="110"/>
      <c r="O419" s="110"/>
      <c r="P419" s="110">
        <v>213.34</v>
      </c>
    </row>
    <row r="420" spans="1:16" x14ac:dyDescent="0.3">
      <c r="A420" s="146"/>
      <c r="B420" s="94">
        <v>44378</v>
      </c>
      <c r="C420" s="105">
        <f t="shared" si="9"/>
        <v>27745.039999999997</v>
      </c>
      <c r="D420" s="110">
        <v>12284.08</v>
      </c>
      <c r="E420" s="110">
        <v>1395.64</v>
      </c>
      <c r="F420" s="110">
        <v>6758.16</v>
      </c>
      <c r="G420" s="110">
        <v>861.42</v>
      </c>
      <c r="H420" s="110">
        <v>612.26</v>
      </c>
      <c r="I420" s="110">
        <v>1453.36</v>
      </c>
      <c r="J420" s="110">
        <v>0</v>
      </c>
      <c r="K420" s="110">
        <v>3180.65</v>
      </c>
      <c r="L420" s="110">
        <v>962.77</v>
      </c>
      <c r="M420" s="110">
        <v>10.039999999999999</v>
      </c>
      <c r="N420" s="110"/>
      <c r="O420" s="110"/>
      <c r="P420" s="110">
        <v>226.66</v>
      </c>
    </row>
    <row r="421" spans="1:16" x14ac:dyDescent="0.3">
      <c r="A421" s="146"/>
      <c r="B421" s="94">
        <v>44409</v>
      </c>
      <c r="C421" s="105">
        <f t="shared" si="9"/>
        <v>20848.480000000003</v>
      </c>
      <c r="D421" s="110">
        <v>7417.64</v>
      </c>
      <c r="E421" s="110">
        <v>2571.42</v>
      </c>
      <c r="F421" s="110">
        <v>4184.32</v>
      </c>
      <c r="G421" s="110">
        <v>420.74</v>
      </c>
      <c r="H421" s="110">
        <v>427.78</v>
      </c>
      <c r="I421" s="110">
        <v>1292.24</v>
      </c>
      <c r="J421" s="110"/>
      <c r="K421" s="110">
        <v>4006.07</v>
      </c>
      <c r="L421" s="110">
        <v>393.61</v>
      </c>
      <c r="M421" s="110">
        <v>28</v>
      </c>
      <c r="N421" s="110"/>
      <c r="O421" s="110"/>
      <c r="P421" s="110">
        <v>106.66</v>
      </c>
    </row>
    <row r="422" spans="1:16" x14ac:dyDescent="0.3">
      <c r="A422" s="146"/>
      <c r="B422" s="94">
        <v>44440</v>
      </c>
      <c r="C422" s="105">
        <f t="shared" ref="C422:C427" si="10">SUM(D422:P422)</f>
        <v>35156.75</v>
      </c>
      <c r="D422" s="105">
        <f>GETPIVOTDATA("CA",[1]Feuil1!$A$1,"Agence","Magnanville","Catégorie","Petit Format Couleur")</f>
        <v>8243.83</v>
      </c>
      <c r="E422" s="105">
        <f>GETPIVOTDATA("CA",[1]Feuil1!$A$1,"Agence","Magnanville","Catégorie","Petit Format N&amp;B")</f>
        <v>1052.0899999999999</v>
      </c>
      <c r="F422" s="105">
        <f>GETPIVOTDATA("CA",[1]Feuil1!$A$1,"Agence","Magnanville","Catégorie","Grand Format Couleur")</f>
        <v>8398.67</v>
      </c>
      <c r="G422" s="105">
        <f>GETPIVOTDATA("CA",[1]Feuil1!$A$1,"Agence","Magnanville","Catégorie","Grand Format n&amp;b")</f>
        <v>1130.96</v>
      </c>
      <c r="H422" s="105">
        <f>GETPIVOTDATA("CA",[1]Feuil1!$A$1,"Agence","Magnanville","Catégorie","imagerie")</f>
        <v>496</v>
      </c>
      <c r="I422" s="105">
        <f>GETPIVOTDATA("CA",[1]Feuil1!$A$1,"Agence","Magnanville","Catégorie","Numérisation")</f>
        <v>3319</v>
      </c>
      <c r="J422" s="105">
        <f>GETPIVOTDATA("CA",[1]Feuil1!$A$1,"Agence","Magnanville","Catégorie","Sous Traitance")</f>
        <v>2995</v>
      </c>
      <c r="K422" s="105">
        <f>GETPIVOTDATA("CA",[1]Feuil1!$A$1,"Agence","Magnanville","Catégorie","finition")</f>
        <v>2823.7</v>
      </c>
      <c r="L422" s="105">
        <f>GETPIVOTDATA("CA",[1]Feuil1!$A$1,"Agence","Magnanville","Catégorie","Livraison")</f>
        <v>3858.89</v>
      </c>
      <c r="M422" s="105">
        <f>GETPIVOTDATA("CA",[1]Feuil1!$A$1,"Agence","Magnanville","Catégorie","divers")</f>
        <v>2698.2</v>
      </c>
      <c r="N422" s="105">
        <f>GETPIVOTDATA("CA",[1]Feuil1!$A$1,"Agence","Magnanville","Catégorie","Cross Media")</f>
        <v>0</v>
      </c>
      <c r="O422" s="105">
        <f>GETPIVOTDATA("CA",[1]Feuil1!$A$1,"Agence","Magnanville","Catégorie","affranchissement")</f>
        <v>0</v>
      </c>
      <c r="P422" s="105">
        <f>GETPIVOTDATA("CA",[1]Feuil1!$A$1,"Agence","Magnanville","Catégorie","STUDIO GRAPHIQUE")</f>
        <v>140.41</v>
      </c>
    </row>
    <row r="423" spans="1:16" x14ac:dyDescent="0.3">
      <c r="A423" s="146"/>
      <c r="B423" s="94">
        <v>44470</v>
      </c>
      <c r="C423" s="105">
        <f t="shared" si="10"/>
        <v>21527.1</v>
      </c>
      <c r="D423" s="110">
        <f>GETPIVOTDATA("CA",[2]Feuil1!$A$1,"Agence","Magnanville","Catégorie","Petit Format Couleur")</f>
        <v>6173.04</v>
      </c>
      <c r="E423" s="110">
        <f>GETPIVOTDATA("CA",[2]Feuil1!$A$1,"Agence","Magnanville","Catégorie","Petit Format N&amp;B")</f>
        <v>1398.24</v>
      </c>
      <c r="F423" s="110">
        <f>GETPIVOTDATA("CA",[2]Feuil1!$A$1,"Agence","Magnanville","Catégorie","Grand Format Couleur")</f>
        <v>4929.78</v>
      </c>
      <c r="G423" s="110">
        <f>GETPIVOTDATA("CA",[2]Feuil1!$A$1,"Agence","Magnanville","Catégorie","Grand Format n&amp;b")</f>
        <v>1396.38</v>
      </c>
      <c r="H423" s="110">
        <f>GETPIVOTDATA("CA",[2]Feuil1!$A$1,"Agence","Magnanville","Catégorie","imagerie")</f>
        <v>1194.8499999999999</v>
      </c>
      <c r="I423" s="110">
        <f>GETPIVOTDATA("CA",[2]Feuil1!$A$1,"Agence","Magnanville","Catégorie","Numérisation")</f>
        <v>446.81</v>
      </c>
      <c r="J423" s="110">
        <f>GETPIVOTDATA("CA",[2]Feuil1!$A$1,"Agence","Magnanville","Catégorie","Sous Traitance")</f>
        <v>0</v>
      </c>
      <c r="K423" s="110">
        <f>GETPIVOTDATA("CA",[2]Feuil1!$A$1,"Agence","Magnanville","Catégorie","finition")</f>
        <v>2447.87</v>
      </c>
      <c r="L423" s="110">
        <f>GETPIVOTDATA("CA",[2]Feuil1!$A$1,"Agence","Magnanville","Catégorie","Livraison")</f>
        <v>2258.54</v>
      </c>
      <c r="M423" s="110">
        <f>GETPIVOTDATA("CA",[2]Feuil1!$A$1,"Agence","Magnanville","Catégorie","divers")</f>
        <v>1131.5999999999999</v>
      </c>
      <c r="N423" s="110">
        <f>GETPIVOTDATA("CA",[2]Feuil1!$A$1,"Agence","Magnanville","Catégorie","Cross Media")</f>
        <v>0</v>
      </c>
      <c r="O423" s="110">
        <f>GETPIVOTDATA("CA",[2]Feuil1!$A$1,"Agence","Magnanville","Catégorie","affranchissement")</f>
        <v>0</v>
      </c>
      <c r="P423" s="122">
        <f>GETPIVOTDATA("CA",[2]Feuil1!$A$1,"Agence","Magnanville","Catégorie","STUDIO GRAPHIQUE")</f>
        <v>149.99</v>
      </c>
    </row>
    <row r="424" spans="1:16" x14ac:dyDescent="0.3">
      <c r="A424" s="146"/>
      <c r="B424" s="94">
        <v>44501</v>
      </c>
      <c r="C424" s="105">
        <f t="shared" si="10"/>
        <v>26412.080000000002</v>
      </c>
      <c r="D424" s="110">
        <f>GETPIVOTDATA("CA",[3]Feuil1!$A$1,"Agence","Magnanville","Catégorie","Petit Format Couleur")</f>
        <v>8789.0299999999988</v>
      </c>
      <c r="E424" s="110">
        <f>GETPIVOTDATA("CA",[3]Feuil1!$A$1,"Agence","Magnanville","Catégorie","Petit Format N&amp;B")</f>
        <v>1462.35</v>
      </c>
      <c r="F424" s="110">
        <f>GETPIVOTDATA("CA",[3]Feuil1!$A$1,"Agence","Magnanville","Catégorie","Grand Format Couleur")</f>
        <v>5076.2299999999996</v>
      </c>
      <c r="G424" s="110">
        <f>GETPIVOTDATA("CA",[3]Feuil1!$A$1,"Agence","Magnanville","Catégorie","Grand Format n&amp;b")</f>
        <v>1033.95</v>
      </c>
      <c r="H424" s="110">
        <f>GETPIVOTDATA("CA",[3]Feuil1!$A$1,"Agence","Magnanville","Catégorie","imagerie")</f>
        <v>1520</v>
      </c>
      <c r="I424" s="110">
        <f>GETPIVOTDATA("CA",[3]Feuil1!$A$1,"Agence","Magnanville","Catégorie","Numérisation")</f>
        <v>1040.51</v>
      </c>
      <c r="J424" s="110">
        <f>GETPIVOTDATA("CA",[3]Feuil1!$A$1,"Agence","Magnanville","Catégorie","Sous Traitance")</f>
        <v>2856</v>
      </c>
      <c r="K424" s="110">
        <f>GETPIVOTDATA("CA",[3]Feuil1!$A$1,"Agence","Magnanville","Catégorie","finition")</f>
        <v>3190.81</v>
      </c>
      <c r="L424" s="110">
        <f>GETPIVOTDATA("CA",[3]Feuil1!$A$1,"Agence","Magnanville","Catégorie","Livraison")</f>
        <v>815.47</v>
      </c>
      <c r="M424" s="110">
        <f>GETPIVOTDATA("CA",[3]Feuil1!$A$1,"Agence","Magnanville","Catégorie","divers")</f>
        <v>379.4</v>
      </c>
      <c r="N424" s="110">
        <f>GETPIVOTDATA("CA",[3]Feuil1!$A$1,"Agence","Magnanville","Catégorie","Cross Media")</f>
        <v>0</v>
      </c>
      <c r="O424" s="110">
        <f>GETPIVOTDATA("CA",[3]Feuil1!$A$1,"Agence","Magnanville","Catégorie","affranchissement")</f>
        <v>0</v>
      </c>
      <c r="P424" s="122">
        <f>GETPIVOTDATA("CA",[3]Feuil1!$A$1,"Agence","Magnanville","Catégorie","STUDIO GRAPHIQUE")</f>
        <v>248.33</v>
      </c>
    </row>
    <row r="425" spans="1:16" x14ac:dyDescent="0.3">
      <c r="A425" s="146"/>
      <c r="B425" s="94">
        <v>44531</v>
      </c>
      <c r="C425" s="105">
        <f t="shared" si="10"/>
        <v>52513.77</v>
      </c>
      <c r="D425" s="110">
        <f>GETPIVOTDATA("CA",[4]Feuil1!$A$1,"Agence","Magnanville","Catégorie","Petit Format Couleur")</f>
        <v>17076.97</v>
      </c>
      <c r="E425" s="110">
        <f>GETPIVOTDATA("CA",[4]Feuil1!$A$1,"Agence","Magnanville","Catégorie","Petit Format N&amp;B")</f>
        <v>1586.42</v>
      </c>
      <c r="F425" s="110">
        <f>GETPIVOTDATA("CA",[4]Feuil1!$A$1,"Agence","Magnanville","Catégorie","Grand Format Couleur")</f>
        <v>9676.0499999999993</v>
      </c>
      <c r="G425" s="110">
        <f>GETPIVOTDATA("CA",[4]Feuil1!$A$1,"Agence","Magnanville","Catégorie","Grand Format n&amp;b")</f>
        <v>1170.3499999999999</v>
      </c>
      <c r="H425" s="110">
        <f>GETPIVOTDATA("CA",[4]Feuil1!$A$1,"Agence","Magnanville","Catégorie","imagerie")</f>
        <v>1123.8499999999999</v>
      </c>
      <c r="I425" s="110">
        <f>GETPIVOTDATA("CA",[4]Feuil1!$A$1,"Agence","Magnanville","Catégorie","Numérisation")</f>
        <v>5650.87</v>
      </c>
      <c r="J425" s="110">
        <f>GETPIVOTDATA("CA",[4]Feuil1!$A$1,"Agence","Magnanville","Catégorie","Sous Traitance")</f>
        <v>700</v>
      </c>
      <c r="K425" s="110">
        <f>GETPIVOTDATA("CA",[4]Feuil1!$A$1,"Agence","Magnanville","Catégorie","finition")</f>
        <v>10591.14</v>
      </c>
      <c r="L425" s="110">
        <f>GETPIVOTDATA("CA",[4]Feuil1!$A$1,"Agence","Magnanville","Catégorie","Livraison")</f>
        <v>2284.33</v>
      </c>
      <c r="M425" s="110">
        <f>GETPIVOTDATA("CA",[4]Feuil1!$A$1,"Agence","Magnanville","Catégorie","divers")</f>
        <v>943.8</v>
      </c>
      <c r="N425" s="110">
        <f>GETPIVOTDATA("CA",[4]Feuil1!$A$1,"Agence","Magnanville","Catégorie","Cross Media")</f>
        <v>0</v>
      </c>
      <c r="O425" s="110">
        <f>GETPIVOTDATA("CA",[4]Feuil1!$A$1,"Agence","Magnanville","Catégorie","affranchissement")</f>
        <v>0</v>
      </c>
      <c r="P425" s="122">
        <f>GETPIVOTDATA("CA",[4]Feuil1!$A$1,"Agence","Magnanville","Catégorie","STUDIO GRAPHIQUE")</f>
        <v>1709.99</v>
      </c>
    </row>
    <row r="426" spans="1:16" x14ac:dyDescent="0.3">
      <c r="A426" s="146"/>
      <c r="B426" s="94">
        <v>44562</v>
      </c>
      <c r="C426" s="105">
        <f t="shared" si="10"/>
        <v>21252.66</v>
      </c>
      <c r="D426" s="110">
        <f>GETPIVOTDATA("CA",[5]Feuil1!$A$1,"Agence","Magnanville","Catégorie","Petit Format Couleur")</f>
        <v>7589.39</v>
      </c>
      <c r="E426" s="110">
        <f>GETPIVOTDATA("CA",[5]Feuil1!$A$1,"Agence","Magnanville","Catégorie","Petit Format N&amp;B")</f>
        <v>1596.54</v>
      </c>
      <c r="F426" s="110">
        <f>GETPIVOTDATA("CA",[5]Feuil1!$A$1,"Agence","Magnanville","Catégorie","Grand Format Couleur")</f>
        <v>5296.16</v>
      </c>
      <c r="G426" s="110">
        <f>GETPIVOTDATA("CA",[5]Feuil1!$A$1,"Agence","Magnanville","Catégorie","Grand Format n&amp;b")</f>
        <v>1243.3699999999999</v>
      </c>
      <c r="H426" s="110">
        <f>GETPIVOTDATA("CA",[5]Feuil1!$A$1,"Agence","Magnanville","Catégorie","imagerie")</f>
        <v>323.77999999999997</v>
      </c>
      <c r="I426" s="110">
        <f>GETPIVOTDATA("CA",[5]Feuil1!$A$1,"Agence","Magnanville","Catégorie","Numérisation")</f>
        <v>-142.99</v>
      </c>
      <c r="J426" s="110">
        <f>GETPIVOTDATA("CA",[5]Feuil1!$A$1,"Agence","Magnanville","Catégorie","Sous Traitance")</f>
        <v>0</v>
      </c>
      <c r="K426" s="110">
        <f>GETPIVOTDATA("CA",[5]Feuil1!$A$1,"Agence","Magnanville","Catégorie","finition")</f>
        <v>1938.75</v>
      </c>
      <c r="L426" s="110">
        <f>GETPIVOTDATA("CA",[5]Feuil1!$A$1,"Agence","Magnanville","Catégorie","Livraison")</f>
        <v>2166.2800000000002</v>
      </c>
      <c r="M426" s="110">
        <f>GETPIVOTDATA("CA",[5]Feuil1!$A$1,"Agence","Magnanville","Catégorie","divers")</f>
        <v>1169.55</v>
      </c>
      <c r="N426" s="110">
        <f>GETPIVOTDATA("CA",[5]Feuil1!$A$1,"Agence","Magnanville","Catégorie","Cross Media")</f>
        <v>0</v>
      </c>
      <c r="O426" s="110">
        <f>GETPIVOTDATA("CA",[5]Feuil1!$A$1,"Agence","Magnanville","Catégorie","affranchissement")</f>
        <v>0</v>
      </c>
      <c r="P426" s="122">
        <f>GETPIVOTDATA("CA",[5]Feuil1!$A$1,"Agence","Magnanville","Catégorie","STUDIO GRAPHIQUE")</f>
        <v>71.83</v>
      </c>
    </row>
    <row r="427" spans="1:16" x14ac:dyDescent="0.3">
      <c r="A427" s="146"/>
      <c r="B427" s="94">
        <v>44593</v>
      </c>
      <c r="C427" s="105">
        <f t="shared" si="10"/>
        <v>26166.87</v>
      </c>
      <c r="D427" s="110">
        <f>GETPIVOTDATA("CA",[6]Feuil1!$A$1,"Agence","Magnanville","Catégorie","Petit Format Couleur")</f>
        <v>9204.8799999999992</v>
      </c>
      <c r="E427" s="110">
        <f>GETPIVOTDATA("CA",[6]Feuil1!$A$1,"Agence","Magnanville","Catégorie","Petit Format N&amp;B")</f>
        <v>1456.29</v>
      </c>
      <c r="F427" s="110">
        <f>GETPIVOTDATA("CA",[6]Feuil1!$A$1,"Agence","Magnanville","Catégorie","Grand Format Couleur")</f>
        <v>5597.97</v>
      </c>
      <c r="G427" s="110">
        <f>GETPIVOTDATA("CA",[6]Feuil1!$A$1,"Agence","Magnanville","Catégorie","Grand Format n&amp;b")</f>
        <v>1136.8</v>
      </c>
      <c r="H427" s="110">
        <f>GETPIVOTDATA("CA",[6]Feuil1!$A$1,"Agence","Magnanville","Catégorie","imagerie")</f>
        <v>755.12</v>
      </c>
      <c r="I427" s="110">
        <f>GETPIVOTDATA("CA",[6]Feuil1!$A$1,"Agence","Magnanville","Catégorie","Numérisation")</f>
        <v>1005.95</v>
      </c>
      <c r="J427" s="110">
        <f>GETPIVOTDATA("CA",[6]Feuil1!$A$1,"Agence","Magnanville","Catégorie","Sous Traitance")</f>
        <v>0</v>
      </c>
      <c r="K427" s="110">
        <f>GETPIVOTDATA("CA",[6]Feuil1!$A$1,"Agence","Magnanville","Catégorie","finition")</f>
        <v>3080.85</v>
      </c>
      <c r="L427" s="110">
        <f>GETPIVOTDATA("CA",[6]Feuil1!$A$1,"Agence","Magnanville","Catégorie","Livraison")</f>
        <v>2499.96</v>
      </c>
      <c r="M427" s="110">
        <f>GETPIVOTDATA("CA",[6]Feuil1!$A$1,"Agence","Magnanville","Catégorie","divers")</f>
        <v>1374.97</v>
      </c>
      <c r="N427" s="110">
        <f>GETPIVOTDATA("CA",[6]Feuil1!$A$1,"Agence","Magnanville","Catégorie","Cross Media")</f>
        <v>0</v>
      </c>
      <c r="O427" s="110">
        <f>GETPIVOTDATA("CA",[6]Feuil1!$A$1,"Agence","Magnanville","Catégorie","affranchissement")</f>
        <v>0</v>
      </c>
      <c r="P427" s="122">
        <f>GETPIVOTDATA("CA",[6]Feuil1!$A$1,"Agence","Magnanville","Catégorie","STUDIO GRAPHIQUE")</f>
        <v>54.08</v>
      </c>
    </row>
    <row r="428" spans="1:16" x14ac:dyDescent="0.3">
      <c r="A428" s="146"/>
      <c r="B428" s="94">
        <v>44621</v>
      </c>
      <c r="C428" s="105">
        <f>SUM(D428:P428)</f>
        <v>45063.920000000006</v>
      </c>
      <c r="D428" s="110">
        <f>GETPIVOTDATA("Montant",[7]Feuil1!$A$1,"Agence","Magnanville","Catégorie","Petit Format Couleur")</f>
        <v>6271.2</v>
      </c>
      <c r="E428" s="110">
        <f>GETPIVOTDATA("Montant",[7]Feuil1!$A$1,"Agence","Magnanville","Catégorie","Petit Format N&amp;B")</f>
        <v>3096.65</v>
      </c>
      <c r="F428" s="110">
        <f>GETPIVOTDATA("Montant",[7]Feuil1!$A$1,"Agence","Magnanville","Catégorie","Grand Format Couleur")</f>
        <v>7402.23</v>
      </c>
      <c r="G428" s="110">
        <f>GETPIVOTDATA("Montant",[7]Feuil1!$A$1,"Agence","Magnanville","Catégorie","Grand Format n&amp;b")</f>
        <v>1216.1099999999999</v>
      </c>
      <c r="H428" s="110">
        <f>GETPIVOTDATA("Montant",[7]Feuil1!$A$1,"Agence","Magnanville","Catégorie","imagerie")</f>
        <v>342.2</v>
      </c>
      <c r="I428" s="110">
        <f>GETPIVOTDATA("Montant",[7]Feuil1!$A$1,"Agence","Magnanville","Catégorie","Numérisation")</f>
        <v>15395.58</v>
      </c>
      <c r="J428" s="110">
        <f>GETPIVOTDATA("Montant",[7]Feuil1!$A$1,"Agence","Magnanville","Catégorie","Sous Traitance")</f>
        <v>0</v>
      </c>
      <c r="K428" s="110">
        <f>GETPIVOTDATA("Montant",[7]Feuil1!$A$1,"Agence","Magnanville","Catégorie","finition")</f>
        <v>4452.2700000000004</v>
      </c>
      <c r="L428" s="110">
        <f>GETPIVOTDATA("Montant",[7]Feuil1!$A$1,"Agence","Magnanville","Catégorie","Livraison")</f>
        <v>5444.28</v>
      </c>
      <c r="M428" s="110">
        <f>GETPIVOTDATA("Montant",[7]Feuil1!$A$1,"Agence","Magnanville","Catégorie","divers")</f>
        <v>1348.4</v>
      </c>
      <c r="N428" s="110">
        <f>GETPIVOTDATA("Montant",[7]Feuil1!$A$1,"Agence","Magnanville","Catégorie","Cross Media")</f>
        <v>0</v>
      </c>
      <c r="O428" s="110">
        <f>GETPIVOTDATA("Montant",[7]Feuil1!$A$1,"Agence","Magnanville","Catégorie","affranchissement")</f>
        <v>0</v>
      </c>
      <c r="P428" s="122">
        <f>GETPIVOTDATA("Montant",[7]Feuil1!$A$1,"Agence","Magnanville","Catégorie","STUDIO GRAPHIQUE")</f>
        <v>95</v>
      </c>
    </row>
    <row r="429" spans="1:16" x14ac:dyDescent="0.3">
      <c r="A429" s="146"/>
      <c r="B429" s="94">
        <v>44652</v>
      </c>
      <c r="C429" s="105">
        <f>SUM(D429:P429)</f>
        <v>39473.270000000004</v>
      </c>
      <c r="D429" s="110">
        <f>GETPIVOTDATA("CA",[8]Feuil1!$A$1,"Agence","Magnanville","Catégorie","Petit Format Couleur")</f>
        <v>7428.62</v>
      </c>
      <c r="E429" s="110">
        <f>GETPIVOTDATA("CA",[8]Feuil1!$A$1,"Agence","Magnanville","Catégorie","Petit Format N&amp;B")</f>
        <v>1781.09</v>
      </c>
      <c r="F429" s="110">
        <f>GETPIVOTDATA("CA",[8]Feuil1!$A$1,"Agence","Magnanville","Catégorie","Grand Format Couleur")</f>
        <v>9888.27</v>
      </c>
      <c r="G429" s="110">
        <f>GETPIVOTDATA("CA",[8]Feuil1!$A$1,"Agence","Magnanville","Catégorie","Grand Format n&amp;b")</f>
        <v>1036.22</v>
      </c>
      <c r="H429" s="110">
        <f>GETPIVOTDATA("CA",[8]Feuil1!$A$1,"Agence","Magnanville","Catégorie","imagerie")</f>
        <v>1752.81</v>
      </c>
      <c r="I429" s="110">
        <f>GETPIVOTDATA("CA",[8]Feuil1!$A$1,"Agence","Magnanville","Catégorie","Numérisation")</f>
        <v>10372.4</v>
      </c>
      <c r="J429" s="110">
        <f>GETPIVOTDATA("CA",[8]Feuil1!$A$1,"Agence","Magnanville","Catégorie","Sous Traitance")</f>
        <v>0</v>
      </c>
      <c r="K429" s="110">
        <f>GETPIVOTDATA("CA",[8]Feuil1!$A$1,"Agence","Magnanville","Catégorie","finition")</f>
        <v>3390.72</v>
      </c>
      <c r="L429" s="110">
        <f>GETPIVOTDATA("CA",[8]Feuil1!$A$1,"Agence","Magnanville","Catégorie","Livraison")</f>
        <v>2271.14</v>
      </c>
      <c r="M429" s="110">
        <f>GETPIVOTDATA("CA",[8]Feuil1!$A$1,"Agence","Magnanville","Catégorie","divers")</f>
        <v>1285.0999999999999</v>
      </c>
      <c r="N429" s="110">
        <v>0</v>
      </c>
      <c r="O429" s="110">
        <f>GETPIVOTDATA("CA",[8]Feuil1!$A$1,"Agence","Magnanville","Catégorie","affranchissement")</f>
        <v>0</v>
      </c>
      <c r="P429" s="122">
        <f>GETPIVOTDATA("CA",[8]Feuil1!$A$1,"Agence","Magnanville","Catégorie","STUDIO GRAPHIQUE")</f>
        <v>266.89999999999998</v>
      </c>
    </row>
    <row r="430" spans="1:16" x14ac:dyDescent="0.3">
      <c r="A430" s="146"/>
      <c r="B430" s="94">
        <v>44682</v>
      </c>
      <c r="C430" s="105">
        <f>SUM(D430:P430)</f>
        <v>26348.160000000003</v>
      </c>
      <c r="D430" s="110">
        <f>GETPIVOTDATA("CA",[9]Feuil1!$A$1,"Agence","Magnanville","Catégorie","Petit Format Couleur")</f>
        <v>6512.99</v>
      </c>
      <c r="E430" s="110">
        <f>GETPIVOTDATA("CA",[9]Feuil1!$A$1,"Agence","Magnanville","Catégorie","Petit Format N&amp;B")</f>
        <v>1637.19</v>
      </c>
      <c r="F430" s="110">
        <f>GETPIVOTDATA("CA",[9]Feuil1!$A$1,"Agence","Magnanville","Catégorie","Grand Format Couleur")</f>
        <v>9212.7900000000009</v>
      </c>
      <c r="G430" s="110">
        <f>GETPIVOTDATA("CA",[9]Feuil1!$A$1,"Agence","Magnanville","Catégorie","Grand Format n&amp;b")</f>
        <v>891.05</v>
      </c>
      <c r="H430" s="110">
        <f>GETPIVOTDATA("CA",[9]Feuil1!$A$1,"Agence","Magnanville","Catégorie","imagerie")</f>
        <v>-502.75</v>
      </c>
      <c r="I430" s="110">
        <f>GETPIVOTDATA("CA",[9]Feuil1!$A$1,"Agence","Magnanville","Catégorie","Numérisation")</f>
        <v>321.2</v>
      </c>
      <c r="J430" s="110">
        <f>GETPIVOTDATA("CA",[9]Feuil1!$A$1,"Agence","Magnanville","Catégorie","Sous Traitance")</f>
        <v>0</v>
      </c>
      <c r="K430" s="110">
        <f>GETPIVOTDATA("CA",[9]Feuil1!$A$1,"Agence","Magnanville","Catégorie","finition")</f>
        <v>3378.83</v>
      </c>
      <c r="L430" s="110">
        <f>GETPIVOTDATA("CA",[9]Feuil1!$A$1,"Agence","Magnanville","Catégorie","Livraison")</f>
        <v>3003.76</v>
      </c>
      <c r="M430" s="110">
        <f>GETPIVOTDATA("CA",[9]Feuil1!$A$1,"Agence","Magnanville","Catégorie","divers")</f>
        <v>1837.1</v>
      </c>
      <c r="N430" s="110">
        <f>GETPIVOTDATA("CA",[9]Feuil1!$A$1,"Agence","Magnanville","Catégorie","Cross Media")</f>
        <v>0</v>
      </c>
      <c r="O430" s="110">
        <f>GETPIVOTDATA("CA",[9]Feuil1!$A$1,"Agence","Magnanville","Catégorie","affranchissement")</f>
        <v>0</v>
      </c>
      <c r="P430" s="122">
        <f>GETPIVOTDATA("CA",[9]Feuil1!$A$1,"Agence","Magnanville","Catégorie","STUDIO GRAPHIQUE")</f>
        <v>56</v>
      </c>
    </row>
    <row r="431" spans="1:16" x14ac:dyDescent="0.3">
      <c r="A431" s="146"/>
      <c r="B431" s="94">
        <v>44713</v>
      </c>
      <c r="C431" s="105">
        <f>SUM(D431:P431)</f>
        <v>42284.659999999996</v>
      </c>
      <c r="D431" s="110">
        <f>GETPIVOTDATA("Montant",[10]Feuil1!$A$1,"Agence","Magnanville","Catégorie","Petit Format Couleur")</f>
        <v>11416.9</v>
      </c>
      <c r="E431" s="110">
        <f>GETPIVOTDATA("Montant",[10]Feuil1!$A$1,"Agence","Magnanville","Catégorie","Petit Format N&amp;B")</f>
        <v>2490.81</v>
      </c>
      <c r="F431" s="110">
        <f>GETPIVOTDATA("Montant",[10]Feuil1!$A$1,"Agence","Magnanville","Catégorie","Grand Format Couleur")</f>
        <v>5574.25</v>
      </c>
      <c r="G431" s="110">
        <f>GETPIVOTDATA("Montant",[10]Feuil1!$A$1,"Agence","Magnanville","Catégorie","Grand Format n&amp;b")</f>
        <v>1244.81</v>
      </c>
      <c r="H431" s="110">
        <f>GETPIVOTDATA("Montant",[10]Feuil1!$A$1,"Agence","Magnanville","Catégorie","imagerie")</f>
        <v>1527.7</v>
      </c>
      <c r="I431" s="110">
        <f>GETPIVOTDATA("Montant",[10]Feuil1!$A$1,"Agence","Magnanville","Catégorie","Numérisation")</f>
        <v>6343.49</v>
      </c>
      <c r="J431" s="110">
        <f>GETPIVOTDATA("Montant",[10]Feuil1!$A$1,"Agence","Magnanville","Catégorie","Sous Traitance")</f>
        <v>572.15</v>
      </c>
      <c r="K431" s="110">
        <f>GETPIVOTDATA("Montant",[10]Feuil1!$A$1,"Agence","Magnanville","Catégorie","finition")</f>
        <v>4703.9799999999996</v>
      </c>
      <c r="L431" s="110">
        <f>GETPIVOTDATA("Montant",[10]Feuil1!$A$1,"Agence","Magnanville","Catégorie","Livraison")</f>
        <v>4063.09</v>
      </c>
      <c r="M431" s="110">
        <f>GETPIVOTDATA("Montant",[10]Feuil1!$A$1,"Agence","Magnanville","Catégorie","divers")</f>
        <v>4080.15</v>
      </c>
      <c r="N431" s="110">
        <f>GETPIVOTDATA("Montant",[10]Feuil1!$A$1,"Agence","Magnanville","Catégorie","Cross Media")</f>
        <v>0</v>
      </c>
      <c r="O431" s="110">
        <f>GETPIVOTDATA("Montant",[10]Feuil1!$A$1,"Agence","Magnanville","Catégorie","affranchissement")</f>
        <v>0</v>
      </c>
      <c r="P431" s="122">
        <f>GETPIVOTDATA("Montant",[10]Feuil1!$A$1,"Agence","Magnanville","Catégorie","STUDIO GRAPHIQUE")</f>
        <v>267.33</v>
      </c>
    </row>
    <row r="432" spans="1:16" x14ac:dyDescent="0.3">
      <c r="A432" s="146"/>
      <c r="B432" s="94">
        <v>44743</v>
      </c>
      <c r="C432" s="105"/>
      <c r="D432" s="110"/>
      <c r="E432" s="110"/>
      <c r="F432" s="110"/>
      <c r="G432" s="110"/>
      <c r="H432" s="110"/>
      <c r="I432" s="110"/>
      <c r="J432" s="110"/>
      <c r="K432" s="110"/>
      <c r="L432" s="110"/>
      <c r="M432" s="110"/>
      <c r="N432" s="110"/>
      <c r="O432" s="110"/>
      <c r="P432" s="122"/>
    </row>
    <row r="433" spans="1:16" x14ac:dyDescent="0.3">
      <c r="A433" s="146"/>
      <c r="B433" s="94">
        <v>44774</v>
      </c>
      <c r="C433" s="105"/>
      <c r="D433" s="110"/>
      <c r="E433" s="110"/>
      <c r="F433" s="110"/>
      <c r="G433" s="110"/>
      <c r="H433" s="110"/>
      <c r="I433" s="110"/>
      <c r="J433" s="110"/>
      <c r="K433" s="110"/>
      <c r="L433" s="110"/>
      <c r="M433" s="110"/>
      <c r="N433" s="110"/>
      <c r="O433" s="110"/>
      <c r="P433" s="122"/>
    </row>
    <row r="434" spans="1:16" x14ac:dyDescent="0.3">
      <c r="A434" s="146"/>
      <c r="B434" s="94">
        <v>44805</v>
      </c>
      <c r="C434" s="105"/>
      <c r="D434" s="110"/>
      <c r="E434" s="110"/>
      <c r="F434" s="110"/>
      <c r="G434" s="110"/>
      <c r="H434" s="110"/>
      <c r="I434" s="110"/>
      <c r="J434" s="110"/>
      <c r="K434" s="110"/>
      <c r="L434" s="110"/>
      <c r="M434" s="110"/>
      <c r="N434" s="110"/>
      <c r="O434" s="110"/>
      <c r="P434" s="122"/>
    </row>
    <row r="435" spans="1:16" x14ac:dyDescent="0.3">
      <c r="A435" s="146"/>
      <c r="B435" s="94">
        <v>44835</v>
      </c>
      <c r="C435" s="105"/>
      <c r="D435" s="110"/>
      <c r="E435" s="110"/>
      <c r="F435" s="110"/>
      <c r="G435" s="110"/>
      <c r="H435" s="110"/>
      <c r="I435" s="110"/>
      <c r="J435" s="110"/>
      <c r="K435" s="110"/>
      <c r="L435" s="110"/>
      <c r="M435" s="110"/>
      <c r="N435" s="110"/>
      <c r="O435" s="110"/>
      <c r="P435" s="122"/>
    </row>
    <row r="436" spans="1:16" x14ac:dyDescent="0.3">
      <c r="A436" s="146"/>
      <c r="B436" s="94">
        <v>44866</v>
      </c>
      <c r="C436" s="105"/>
      <c r="D436" s="110"/>
      <c r="E436" s="110"/>
      <c r="F436" s="110"/>
      <c r="G436" s="110"/>
      <c r="H436" s="110"/>
      <c r="I436" s="110"/>
      <c r="J436" s="110"/>
      <c r="K436" s="110"/>
      <c r="L436" s="110"/>
      <c r="M436" s="110"/>
      <c r="N436" s="110"/>
      <c r="O436" s="110"/>
      <c r="P436" s="122"/>
    </row>
    <row r="437" spans="1:16" x14ac:dyDescent="0.3">
      <c r="A437" s="146"/>
      <c r="B437" s="94">
        <v>44896</v>
      </c>
      <c r="C437" s="105"/>
      <c r="D437" s="110"/>
      <c r="E437" s="110"/>
      <c r="F437" s="110"/>
      <c r="G437" s="110"/>
      <c r="H437" s="110"/>
      <c r="I437" s="110"/>
      <c r="J437" s="110"/>
      <c r="K437" s="110"/>
      <c r="L437" s="110"/>
      <c r="M437" s="110"/>
      <c r="N437" s="110"/>
      <c r="O437" s="110"/>
      <c r="P437" s="122"/>
    </row>
    <row r="438" spans="1:16" ht="15" thickBot="1" x14ac:dyDescent="0.35">
      <c r="A438" s="146"/>
      <c r="B438" s="94"/>
      <c r="C438" s="105"/>
      <c r="D438" s="110"/>
      <c r="E438" s="110"/>
      <c r="F438" s="110"/>
      <c r="G438" s="110"/>
      <c r="H438" s="110"/>
      <c r="I438" s="110"/>
      <c r="J438" s="110"/>
      <c r="K438" s="110"/>
      <c r="L438" s="110"/>
      <c r="M438" s="110"/>
      <c r="N438" s="110"/>
      <c r="O438" s="110"/>
      <c r="P438" s="122"/>
    </row>
    <row r="439" spans="1:16" s="124" customFormat="1" ht="14.7" customHeight="1" x14ac:dyDescent="0.3">
      <c r="A439" s="146" t="s">
        <v>19</v>
      </c>
      <c r="B439" s="96">
        <v>41640</v>
      </c>
      <c r="C439" s="95">
        <f t="shared" si="9"/>
        <v>25698.669999999995</v>
      </c>
      <c r="D439" s="95">
        <v>12067.61</v>
      </c>
      <c r="E439" s="95">
        <v>3422.6199999999994</v>
      </c>
      <c r="F439" s="95">
        <v>3884.63</v>
      </c>
      <c r="G439" s="95">
        <v>1700.3700000000001</v>
      </c>
      <c r="H439" s="95">
        <v>108.08</v>
      </c>
      <c r="I439" s="95">
        <v>165.44000000000003</v>
      </c>
      <c r="J439" s="95">
        <v>186</v>
      </c>
      <c r="K439" s="95">
        <v>3433.909999999998</v>
      </c>
      <c r="L439" s="95">
        <v>688.71000000000015</v>
      </c>
      <c r="M439" s="95">
        <v>41.3</v>
      </c>
      <c r="N439" s="95">
        <v>0</v>
      </c>
      <c r="O439" s="95"/>
      <c r="P439" s="116"/>
    </row>
    <row r="440" spans="1:16" x14ac:dyDescent="0.3">
      <c r="A440" s="146"/>
      <c r="B440" s="94">
        <v>41671</v>
      </c>
      <c r="C440" s="92">
        <f t="shared" si="9"/>
        <v>22909.919999999998</v>
      </c>
      <c r="D440" s="92">
        <v>8806.619999999999</v>
      </c>
      <c r="E440" s="92">
        <v>2387.2299999999996</v>
      </c>
      <c r="F440" s="92">
        <v>4784</v>
      </c>
      <c r="G440" s="92">
        <v>1951.78</v>
      </c>
      <c r="H440" s="92">
        <v>489.5</v>
      </c>
      <c r="I440" s="92">
        <v>309.75</v>
      </c>
      <c r="J440" s="92">
        <v>440</v>
      </c>
      <c r="K440" s="92">
        <v>2532.6000000000013</v>
      </c>
      <c r="L440" s="92">
        <v>1104.1400000000001</v>
      </c>
      <c r="M440" s="92">
        <v>104.3</v>
      </c>
      <c r="N440" s="92">
        <v>0</v>
      </c>
    </row>
    <row r="441" spans="1:16" x14ac:dyDescent="0.3">
      <c r="A441" s="146"/>
      <c r="B441" s="94">
        <v>41699</v>
      </c>
      <c r="C441" s="92">
        <f t="shared" si="9"/>
        <v>56822.970000000008</v>
      </c>
      <c r="D441" s="92">
        <v>17880.16</v>
      </c>
      <c r="E441" s="92">
        <v>1941</v>
      </c>
      <c r="F441" s="92">
        <v>5811.7800000000007</v>
      </c>
      <c r="G441" s="92">
        <v>2356.4799999999991</v>
      </c>
      <c r="H441" s="92">
        <v>2138.96</v>
      </c>
      <c r="I441" s="92">
        <v>1130.0899999999999</v>
      </c>
      <c r="J441" s="92">
        <v>19640</v>
      </c>
      <c r="K441" s="92">
        <v>4232.2700000000013</v>
      </c>
      <c r="L441" s="92">
        <v>1644.0800000000002</v>
      </c>
      <c r="M441" s="92">
        <v>48.15</v>
      </c>
      <c r="N441" s="92">
        <v>0</v>
      </c>
    </row>
    <row r="442" spans="1:16" x14ac:dyDescent="0.3">
      <c r="A442" s="146"/>
      <c r="B442" s="94">
        <v>41730</v>
      </c>
      <c r="C442" s="92">
        <f t="shared" si="9"/>
        <v>42108.04</v>
      </c>
      <c r="D442" s="92">
        <v>13987.569999999998</v>
      </c>
      <c r="E442" s="92">
        <v>5924.0200000000023</v>
      </c>
      <c r="F442" s="92">
        <v>5473.38</v>
      </c>
      <c r="G442" s="92">
        <v>2045.74</v>
      </c>
      <c r="H442" s="92">
        <v>1132.5</v>
      </c>
      <c r="I442" s="92">
        <v>404.59</v>
      </c>
      <c r="J442" s="92">
        <v>9132</v>
      </c>
      <c r="K442" s="92">
        <v>2408.65</v>
      </c>
      <c r="L442" s="92">
        <v>1566.14</v>
      </c>
      <c r="M442" s="92">
        <v>33.449999999999996</v>
      </c>
      <c r="N442" s="92">
        <v>0</v>
      </c>
    </row>
    <row r="443" spans="1:16" x14ac:dyDescent="0.3">
      <c r="A443" s="146"/>
      <c r="B443" s="94">
        <v>41760</v>
      </c>
      <c r="C443" s="92">
        <f t="shared" si="9"/>
        <v>42593.78</v>
      </c>
      <c r="D443" s="92">
        <v>22849.62</v>
      </c>
      <c r="E443" s="92">
        <v>4949.78</v>
      </c>
      <c r="F443" s="92">
        <v>4706.0300000000007</v>
      </c>
      <c r="G443" s="92">
        <v>1522.5</v>
      </c>
      <c r="H443" s="92">
        <v>39.5</v>
      </c>
      <c r="I443" s="92">
        <v>159.55000000000001</v>
      </c>
      <c r="J443" s="92">
        <v>66.5</v>
      </c>
      <c r="K443" s="92">
        <v>9049.7400000000016</v>
      </c>
      <c r="L443" s="92">
        <v>1316.71</v>
      </c>
      <c r="M443" s="92">
        <v>-2066.15</v>
      </c>
      <c r="N443" s="92">
        <v>0</v>
      </c>
    </row>
    <row r="444" spans="1:16" x14ac:dyDescent="0.3">
      <c r="A444" s="146"/>
      <c r="B444" s="94">
        <v>41791</v>
      </c>
      <c r="C444" s="92">
        <f t="shared" si="9"/>
        <v>54970.32</v>
      </c>
      <c r="D444" s="92">
        <v>24986.720000000001</v>
      </c>
      <c r="E444" s="92">
        <v>10327.209999999997</v>
      </c>
      <c r="F444" s="92">
        <v>7831.11</v>
      </c>
      <c r="G444" s="92">
        <v>1553.2800000000002</v>
      </c>
      <c r="H444" s="92">
        <v>1701.16</v>
      </c>
      <c r="I444" s="92">
        <v>223.17000000000007</v>
      </c>
      <c r="J444" s="92">
        <v>159</v>
      </c>
      <c r="K444" s="92">
        <v>6239.1899999999932</v>
      </c>
      <c r="L444" s="92">
        <v>1798.4300000000003</v>
      </c>
      <c r="M444" s="92">
        <v>151.05000000000001</v>
      </c>
      <c r="N444" s="92">
        <v>0</v>
      </c>
    </row>
    <row r="445" spans="1:16" x14ac:dyDescent="0.3">
      <c r="A445" s="146"/>
      <c r="B445" s="94">
        <v>41821</v>
      </c>
      <c r="C445" s="92">
        <f t="shared" si="9"/>
        <v>34090.93</v>
      </c>
      <c r="D445" s="92">
        <v>14536.379999999996</v>
      </c>
      <c r="E445" s="92">
        <v>4748.8599999999997</v>
      </c>
      <c r="F445" s="92">
        <v>3740.41</v>
      </c>
      <c r="G445" s="92">
        <v>5608</v>
      </c>
      <c r="H445" s="92">
        <v>41</v>
      </c>
      <c r="I445" s="92">
        <v>399.77</v>
      </c>
      <c r="J445" s="92">
        <v>305.5</v>
      </c>
      <c r="K445" s="92">
        <v>2085.8500000000004</v>
      </c>
      <c r="L445" s="92">
        <v>2595.3599999999997</v>
      </c>
      <c r="M445" s="92">
        <v>29.8</v>
      </c>
      <c r="N445" s="92">
        <v>0</v>
      </c>
    </row>
    <row r="446" spans="1:16" x14ac:dyDescent="0.3">
      <c r="A446" s="146"/>
      <c r="B446" s="94">
        <v>41852</v>
      </c>
      <c r="C446" s="92">
        <f t="shared" si="9"/>
        <v>11525</v>
      </c>
      <c r="D446" s="92">
        <v>3129.9199999999996</v>
      </c>
      <c r="E446" s="92">
        <v>495.20999999999992</v>
      </c>
      <c r="F446" s="92">
        <v>2309.7299999999996</v>
      </c>
      <c r="G446" s="92">
        <v>1664.6499999999999</v>
      </c>
      <c r="H446" s="92">
        <v>0</v>
      </c>
      <c r="I446" s="92">
        <v>323.73</v>
      </c>
      <c r="J446" s="92">
        <v>268.5</v>
      </c>
      <c r="K446" s="92">
        <v>2018.4000000000008</v>
      </c>
      <c r="L446" s="92">
        <v>1295.9100000000003</v>
      </c>
      <c r="M446" s="92">
        <v>18.95</v>
      </c>
      <c r="N446" s="92">
        <v>0</v>
      </c>
    </row>
    <row r="447" spans="1:16" x14ac:dyDescent="0.3">
      <c r="A447" s="146"/>
      <c r="B447" s="94">
        <v>41883</v>
      </c>
      <c r="C447" s="92">
        <f t="shared" si="9"/>
        <v>24103.740000000005</v>
      </c>
      <c r="D447" s="92">
        <v>5644.89</v>
      </c>
      <c r="E447" s="92">
        <v>3184.66</v>
      </c>
      <c r="F447" s="92">
        <v>5287.35</v>
      </c>
      <c r="G447" s="92">
        <v>1656.9500000000003</v>
      </c>
      <c r="H447" s="92">
        <v>1188</v>
      </c>
      <c r="I447" s="92">
        <v>225.26999999999998</v>
      </c>
      <c r="J447" s="92">
        <v>768</v>
      </c>
      <c r="K447" s="92">
        <v>4240.9600000000009</v>
      </c>
      <c r="L447" s="92">
        <v>1815.0100000000002</v>
      </c>
      <c r="M447" s="92">
        <v>92.649999999999991</v>
      </c>
      <c r="N447" s="92">
        <v>0</v>
      </c>
    </row>
    <row r="448" spans="1:16" x14ac:dyDescent="0.3">
      <c r="A448" s="146"/>
      <c r="B448" s="94">
        <v>41913</v>
      </c>
      <c r="C448" s="92">
        <f t="shared" si="9"/>
        <v>55795.969999999994</v>
      </c>
      <c r="D448" s="92">
        <v>16251.119999999994</v>
      </c>
      <c r="E448" s="92">
        <v>7479.5099999999993</v>
      </c>
      <c r="F448" s="92">
        <v>3554.8999999999996</v>
      </c>
      <c r="G448" s="92">
        <v>1480.8799999999999</v>
      </c>
      <c r="H448" s="92">
        <v>237.42000000000002</v>
      </c>
      <c r="I448" s="92">
        <v>338.55000000000007</v>
      </c>
      <c r="J448" s="92">
        <v>19029.5</v>
      </c>
      <c r="K448" s="92">
        <v>5042.4399999999996</v>
      </c>
      <c r="L448" s="92">
        <v>2203.5499999999997</v>
      </c>
      <c r="M448" s="92">
        <v>178.10000000000002</v>
      </c>
      <c r="N448" s="92">
        <v>0</v>
      </c>
    </row>
    <row r="449" spans="1:14" x14ac:dyDescent="0.3">
      <c r="A449" s="146"/>
      <c r="B449" s="94">
        <v>41944</v>
      </c>
      <c r="C449" s="92">
        <f t="shared" si="9"/>
        <v>28867.249999999996</v>
      </c>
      <c r="D449" s="92">
        <v>12119.819999999996</v>
      </c>
      <c r="E449" s="92">
        <v>2976.9899999999989</v>
      </c>
      <c r="F449" s="92">
        <v>3536.04</v>
      </c>
      <c r="G449" s="92">
        <v>1118.4000000000001</v>
      </c>
      <c r="H449" s="92">
        <v>0</v>
      </c>
      <c r="I449" s="92">
        <v>321.72000000000003</v>
      </c>
      <c r="J449" s="92">
        <v>1039.5</v>
      </c>
      <c r="K449" s="92">
        <v>5108.0500000000011</v>
      </c>
      <c r="L449" s="92">
        <v>2562.7800000000007</v>
      </c>
      <c r="M449" s="92">
        <v>83.95</v>
      </c>
      <c r="N449" s="92">
        <v>0</v>
      </c>
    </row>
    <row r="450" spans="1:14" x14ac:dyDescent="0.3">
      <c r="A450" s="146"/>
      <c r="B450" s="94">
        <v>41974</v>
      </c>
      <c r="C450" s="92">
        <f t="shared" si="9"/>
        <v>35009.910000000003</v>
      </c>
      <c r="D450" s="92">
        <v>6543.7600000000011</v>
      </c>
      <c r="E450" s="92">
        <v>6609.2600000000011</v>
      </c>
      <c r="F450" s="92">
        <v>2781.4400000000005</v>
      </c>
      <c r="G450" s="92">
        <v>1046.4000000000001</v>
      </c>
      <c r="H450" s="92">
        <v>1494</v>
      </c>
      <c r="I450" s="92">
        <v>6802.9800000000014</v>
      </c>
      <c r="J450" s="92">
        <v>4403.75</v>
      </c>
      <c r="K450" s="92">
        <v>4004.7100000000009</v>
      </c>
      <c r="L450" s="92">
        <v>1297.3600000000001</v>
      </c>
      <c r="M450" s="92">
        <v>26.25</v>
      </c>
      <c r="N450" s="92">
        <v>0</v>
      </c>
    </row>
    <row r="451" spans="1:14" x14ac:dyDescent="0.3">
      <c r="A451" s="146"/>
      <c r="B451" s="94">
        <v>42005</v>
      </c>
      <c r="C451" s="92">
        <f t="shared" si="9"/>
        <v>45493.69</v>
      </c>
      <c r="D451" s="92">
        <v>11627.140000000003</v>
      </c>
      <c r="E451" s="92">
        <v>16947.440000000002</v>
      </c>
      <c r="F451" s="92">
        <v>4399.62</v>
      </c>
      <c r="G451" s="92">
        <v>1608.64</v>
      </c>
      <c r="H451" s="92">
        <v>330</v>
      </c>
      <c r="I451" s="92">
        <v>482.69</v>
      </c>
      <c r="J451" s="92">
        <v>4330.5</v>
      </c>
      <c r="K451" s="92">
        <v>3715.4199999999973</v>
      </c>
      <c r="L451" s="92">
        <v>1814.7900000000002</v>
      </c>
      <c r="M451" s="92">
        <v>237.45</v>
      </c>
      <c r="N451" s="92">
        <v>0</v>
      </c>
    </row>
    <row r="452" spans="1:14" x14ac:dyDescent="0.3">
      <c r="A452" s="146"/>
      <c r="B452" s="94">
        <v>42036</v>
      </c>
      <c r="C452" s="92">
        <f t="shared" si="9"/>
        <v>55245.630000000005</v>
      </c>
      <c r="D452" s="92">
        <v>16318.670000000007</v>
      </c>
      <c r="E452" s="92">
        <v>6183.3899999999994</v>
      </c>
      <c r="F452" s="92">
        <v>5422.05</v>
      </c>
      <c r="G452" s="92">
        <v>3322.06</v>
      </c>
      <c r="H452" s="92">
        <v>3167</v>
      </c>
      <c r="I452" s="92">
        <v>1061.8199999999997</v>
      </c>
      <c r="J452" s="92">
        <v>5791.35</v>
      </c>
      <c r="K452" s="92">
        <v>8330.3299999999927</v>
      </c>
      <c r="L452" s="92">
        <v>2408.91</v>
      </c>
      <c r="M452" s="92">
        <v>3240.05</v>
      </c>
      <c r="N452" s="92">
        <v>0</v>
      </c>
    </row>
    <row r="453" spans="1:14" x14ac:dyDescent="0.3">
      <c r="A453" s="146"/>
      <c r="B453" s="94">
        <v>42064</v>
      </c>
      <c r="C453" s="92">
        <f t="shared" si="9"/>
        <v>68141.650000000009</v>
      </c>
      <c r="D453" s="92">
        <v>32525.180000000008</v>
      </c>
      <c r="E453" s="92">
        <v>5088.3200000000006</v>
      </c>
      <c r="F453" s="92">
        <v>8849.01</v>
      </c>
      <c r="G453" s="92">
        <v>2088.3200000000006</v>
      </c>
      <c r="H453" s="92">
        <v>2184.8000000000002</v>
      </c>
      <c r="I453" s="92">
        <v>1159.6799999999998</v>
      </c>
      <c r="J453" s="92">
        <v>2194.3000000000002</v>
      </c>
      <c r="K453" s="92">
        <v>9758.3899999999921</v>
      </c>
      <c r="L453" s="92">
        <v>3509.5999999999995</v>
      </c>
      <c r="M453" s="92">
        <v>784.05000000000007</v>
      </c>
      <c r="N453" s="92">
        <v>0</v>
      </c>
    </row>
    <row r="454" spans="1:14" x14ac:dyDescent="0.3">
      <c r="A454" s="146"/>
      <c r="B454" s="94">
        <v>42095</v>
      </c>
      <c r="C454" s="92">
        <f t="shared" si="9"/>
        <v>51844.340000000004</v>
      </c>
      <c r="D454" s="92">
        <v>14586.100000000004</v>
      </c>
      <c r="E454" s="92">
        <v>9817.0099999999948</v>
      </c>
      <c r="F454" s="92">
        <v>4628.51</v>
      </c>
      <c r="G454" s="92">
        <v>1867.9900000000005</v>
      </c>
      <c r="H454" s="92">
        <v>2418.08</v>
      </c>
      <c r="I454" s="92">
        <v>259.09999999999997</v>
      </c>
      <c r="J454" s="92">
        <v>8278.33</v>
      </c>
      <c r="K454" s="92">
        <v>8530.94</v>
      </c>
      <c r="L454" s="92">
        <v>1407.1299999999999</v>
      </c>
      <c r="M454" s="92">
        <v>51.15</v>
      </c>
      <c r="N454" s="92">
        <v>0</v>
      </c>
    </row>
    <row r="455" spans="1:14" x14ac:dyDescent="0.3">
      <c r="A455" s="146"/>
      <c r="B455" s="94">
        <v>42125</v>
      </c>
      <c r="C455" s="92">
        <f t="shared" si="9"/>
        <v>52217.669999999991</v>
      </c>
      <c r="D455" s="92">
        <v>20702.069999999996</v>
      </c>
      <c r="E455" s="92">
        <v>7543.2500000000027</v>
      </c>
      <c r="F455" s="92">
        <v>9143.14</v>
      </c>
      <c r="G455" s="92">
        <v>1425.92</v>
      </c>
      <c r="H455" s="92">
        <v>1677.18</v>
      </c>
      <c r="I455" s="92">
        <v>353.06000000000006</v>
      </c>
      <c r="J455" s="92">
        <v>2401.75</v>
      </c>
      <c r="K455" s="92">
        <v>7098.1500000000042</v>
      </c>
      <c r="L455" s="92">
        <v>1716.9500000000003</v>
      </c>
      <c r="M455" s="92">
        <v>156.20000000000002</v>
      </c>
      <c r="N455" s="92">
        <v>0</v>
      </c>
    </row>
    <row r="456" spans="1:14" x14ac:dyDescent="0.3">
      <c r="A456" s="146"/>
      <c r="B456" s="94">
        <v>42156</v>
      </c>
      <c r="C456" s="92">
        <f t="shared" si="9"/>
        <v>83100.159999999974</v>
      </c>
      <c r="D456" s="92">
        <v>24808.76</v>
      </c>
      <c r="E456" s="92">
        <v>8167.739999999998</v>
      </c>
      <c r="F456" s="92">
        <v>8802.4299999999985</v>
      </c>
      <c r="G456" s="92">
        <v>1848.3100000000006</v>
      </c>
      <c r="H456" s="92">
        <v>2627.6</v>
      </c>
      <c r="I456" s="92">
        <v>3512.95</v>
      </c>
      <c r="J456" s="92">
        <v>15997.45</v>
      </c>
      <c r="K456" s="92">
        <v>13586.369999999986</v>
      </c>
      <c r="L456" s="92">
        <v>3091.7000000000003</v>
      </c>
      <c r="M456" s="92">
        <v>656.85</v>
      </c>
      <c r="N456" s="92">
        <v>0</v>
      </c>
    </row>
    <row r="457" spans="1:14" x14ac:dyDescent="0.3">
      <c r="A457" s="146"/>
      <c r="B457" s="94">
        <v>42186</v>
      </c>
      <c r="C457" s="92">
        <f t="shared" si="9"/>
        <v>43514.38</v>
      </c>
      <c r="D457" s="92">
        <v>14069.339999999993</v>
      </c>
      <c r="E457" s="92">
        <v>6259.0999999999985</v>
      </c>
      <c r="F457" s="92">
        <v>3586.7399999999993</v>
      </c>
      <c r="G457" s="92">
        <v>1376.6499999999999</v>
      </c>
      <c r="H457" s="92">
        <v>1284</v>
      </c>
      <c r="I457" s="92">
        <v>2934.3300000000008</v>
      </c>
      <c r="J457" s="92">
        <v>4607.8500000000004</v>
      </c>
      <c r="K457" s="92">
        <v>6516.510000000002</v>
      </c>
      <c r="L457" s="92">
        <v>1598.36</v>
      </c>
      <c r="M457" s="92">
        <v>1281.5</v>
      </c>
      <c r="N457" s="92">
        <v>0</v>
      </c>
    </row>
    <row r="458" spans="1:14" x14ac:dyDescent="0.3">
      <c r="A458" s="146"/>
      <c r="B458" s="94">
        <v>42217</v>
      </c>
      <c r="C458" s="92">
        <f t="shared" si="9"/>
        <v>31649.829999999994</v>
      </c>
      <c r="D458" s="92">
        <v>11171.429999999997</v>
      </c>
      <c r="E458" s="92">
        <v>2829.8700000000003</v>
      </c>
      <c r="F458" s="92">
        <v>1817.9400000000005</v>
      </c>
      <c r="G458" s="92">
        <v>1021.28</v>
      </c>
      <c r="H458" s="92">
        <v>66</v>
      </c>
      <c r="I458" s="92">
        <v>6268.3799999999992</v>
      </c>
      <c r="J458" s="92">
        <v>3546.5</v>
      </c>
      <c r="K458" s="92">
        <v>4172.1400000000003</v>
      </c>
      <c r="L458" s="92">
        <v>707.49</v>
      </c>
      <c r="M458" s="92">
        <v>48.8</v>
      </c>
      <c r="N458" s="92">
        <v>0</v>
      </c>
    </row>
    <row r="459" spans="1:14" x14ac:dyDescent="0.3">
      <c r="A459" s="146"/>
      <c r="B459" s="94">
        <v>42248</v>
      </c>
      <c r="C459" s="92">
        <f t="shared" si="9"/>
        <v>62093.759999999987</v>
      </c>
      <c r="D459" s="92">
        <v>16730.979999999996</v>
      </c>
      <c r="E459" s="92">
        <v>4436.34</v>
      </c>
      <c r="F459" s="92">
        <v>4372.6899999999987</v>
      </c>
      <c r="G459" s="92">
        <v>1399.34</v>
      </c>
      <c r="H459" s="92">
        <v>6017.1900000000005</v>
      </c>
      <c r="I459" s="92">
        <v>519.34000000000015</v>
      </c>
      <c r="J459" s="92">
        <v>19715.449999999997</v>
      </c>
      <c r="K459" s="92">
        <v>5935.8300000000017</v>
      </c>
      <c r="L459" s="92">
        <v>2844.9999999999995</v>
      </c>
      <c r="M459" s="92">
        <v>121.60000000000001</v>
      </c>
      <c r="N459" s="92">
        <v>0</v>
      </c>
    </row>
    <row r="460" spans="1:14" x14ac:dyDescent="0.3">
      <c r="A460" s="146"/>
      <c r="B460" s="94">
        <v>42278</v>
      </c>
      <c r="C460" s="92">
        <f t="shared" si="9"/>
        <v>43456.51999999999</v>
      </c>
      <c r="D460" s="92">
        <v>20690.349999999995</v>
      </c>
      <c r="E460" s="92">
        <v>3370.51</v>
      </c>
      <c r="F460" s="92">
        <v>3088.48</v>
      </c>
      <c r="G460" s="92">
        <v>1308.1900000000003</v>
      </c>
      <c r="H460" s="92">
        <v>833.59</v>
      </c>
      <c r="I460" s="92">
        <v>864</v>
      </c>
      <c r="J460" s="92">
        <v>6247.3</v>
      </c>
      <c r="K460" s="92">
        <v>5137.8500000000004</v>
      </c>
      <c r="L460" s="92">
        <v>1874</v>
      </c>
      <c r="M460" s="92">
        <v>42.25</v>
      </c>
      <c r="N460" s="92">
        <v>0</v>
      </c>
    </row>
    <row r="461" spans="1:14" x14ac:dyDescent="0.3">
      <c r="A461" s="146"/>
      <c r="B461" s="94">
        <v>42309</v>
      </c>
      <c r="C461" s="92">
        <f t="shared" si="9"/>
        <v>59001.630000000019</v>
      </c>
      <c r="D461" s="92">
        <v>23741.279999999999</v>
      </c>
      <c r="E461" s="92">
        <v>8838.3099999999959</v>
      </c>
      <c r="F461" s="92">
        <v>3182.8199999999997</v>
      </c>
      <c r="G461" s="92">
        <v>2455.09</v>
      </c>
      <c r="H461" s="92">
        <v>875.44</v>
      </c>
      <c r="I461" s="92">
        <v>565.91000000000008</v>
      </c>
      <c r="J461" s="92">
        <v>10133.550000000001</v>
      </c>
      <c r="K461" s="92">
        <v>8094.1400000000058</v>
      </c>
      <c r="L461" s="92">
        <v>934.79000000000008</v>
      </c>
      <c r="M461" s="92">
        <v>180.3</v>
      </c>
      <c r="N461" s="92">
        <v>0</v>
      </c>
    </row>
    <row r="462" spans="1:14" x14ac:dyDescent="0.3">
      <c r="A462" s="146"/>
      <c r="B462" s="94">
        <v>42339</v>
      </c>
      <c r="C462" s="92">
        <f t="shared" si="9"/>
        <v>39771.529999999992</v>
      </c>
      <c r="D462" s="92">
        <v>11213.889999999996</v>
      </c>
      <c r="E462" s="92">
        <v>2382.31</v>
      </c>
      <c r="F462" s="92">
        <v>4304.16</v>
      </c>
      <c r="G462" s="92">
        <v>909.12999999999988</v>
      </c>
      <c r="H462" s="92">
        <v>2112.48</v>
      </c>
      <c r="I462" s="92">
        <v>151.70000000000005</v>
      </c>
      <c r="J462" s="92">
        <v>15002.099999999999</v>
      </c>
      <c r="K462" s="92">
        <v>3206.110000000001</v>
      </c>
      <c r="L462" s="92">
        <v>359.34999999999997</v>
      </c>
      <c r="M462" s="92">
        <v>130.30000000000001</v>
      </c>
      <c r="N462" s="92">
        <v>0</v>
      </c>
    </row>
    <row r="463" spans="1:14" x14ac:dyDescent="0.3">
      <c r="A463" s="146"/>
      <c r="B463" s="94">
        <v>42370</v>
      </c>
      <c r="C463" s="92">
        <f t="shared" si="9"/>
        <v>41729.579999999987</v>
      </c>
      <c r="D463" s="92">
        <v>22822.509999999991</v>
      </c>
      <c r="E463" s="92">
        <v>3058.5800000000004</v>
      </c>
      <c r="F463" s="92">
        <v>6152.9</v>
      </c>
      <c r="G463" s="92">
        <v>1040.6000000000001</v>
      </c>
      <c r="H463" s="92">
        <v>1824.72</v>
      </c>
      <c r="I463" s="92">
        <v>581.1</v>
      </c>
      <c r="J463" s="92">
        <v>978.6</v>
      </c>
      <c r="K463" s="92">
        <v>3352.8300000000008</v>
      </c>
      <c r="L463" s="92">
        <v>1859.59</v>
      </c>
      <c r="M463" s="92">
        <v>58.150000000000006</v>
      </c>
      <c r="N463" s="92">
        <v>0</v>
      </c>
    </row>
    <row r="464" spans="1:14" x14ac:dyDescent="0.3">
      <c r="A464" s="146"/>
      <c r="B464" s="94">
        <v>42401</v>
      </c>
      <c r="C464" s="92">
        <f t="shared" si="9"/>
        <v>55404.48000000001</v>
      </c>
      <c r="D464" s="92">
        <v>23363.300000000003</v>
      </c>
      <c r="E464" s="92">
        <v>4272.1100000000006</v>
      </c>
      <c r="F464" s="92">
        <v>4245.4299999999994</v>
      </c>
      <c r="G464" s="92">
        <v>1202.6299999999999</v>
      </c>
      <c r="H464" s="92">
        <v>912</v>
      </c>
      <c r="I464" s="92">
        <v>2477.5200000000004</v>
      </c>
      <c r="J464" s="92">
        <v>12960.5</v>
      </c>
      <c r="K464" s="92">
        <v>5549.770000000005</v>
      </c>
      <c r="L464" s="92">
        <v>327.87</v>
      </c>
      <c r="M464" s="92">
        <v>93.35</v>
      </c>
      <c r="N464" s="92">
        <v>0</v>
      </c>
    </row>
    <row r="465" spans="1:16" x14ac:dyDescent="0.3">
      <c r="A465" s="146"/>
      <c r="B465" s="94">
        <v>42430</v>
      </c>
      <c r="C465" s="92">
        <f t="shared" si="9"/>
        <v>81577.060000000012</v>
      </c>
      <c r="D465" s="92">
        <v>34866.980000000018</v>
      </c>
      <c r="E465" s="92">
        <v>5017.4999999999982</v>
      </c>
      <c r="F465" s="92">
        <v>8859.130000000001</v>
      </c>
      <c r="G465" s="92">
        <v>1572.3799999999999</v>
      </c>
      <c r="H465" s="92">
        <v>1050.52</v>
      </c>
      <c r="I465" s="92">
        <v>481.26</v>
      </c>
      <c r="J465" s="92">
        <v>18227.100000000002</v>
      </c>
      <c r="K465" s="92">
        <v>9828.860000000006</v>
      </c>
      <c r="L465" s="92">
        <v>1613.88</v>
      </c>
      <c r="M465" s="92">
        <v>59.449999999999996</v>
      </c>
      <c r="N465" s="92">
        <v>0</v>
      </c>
    </row>
    <row r="466" spans="1:16" x14ac:dyDescent="0.3">
      <c r="A466" s="146"/>
      <c r="B466" s="94">
        <v>42461</v>
      </c>
      <c r="C466" s="92">
        <f t="shared" si="9"/>
        <v>61082.920000000013</v>
      </c>
      <c r="D466" s="92">
        <v>27994.2</v>
      </c>
      <c r="E466" s="92">
        <v>6362.8000000000011</v>
      </c>
      <c r="F466" s="92">
        <v>2331.66</v>
      </c>
      <c r="G466" s="92">
        <v>1149.8800000000001</v>
      </c>
      <c r="H466" s="92">
        <v>270.5</v>
      </c>
      <c r="I466" s="92">
        <v>88.059999999999988</v>
      </c>
      <c r="J466" s="92">
        <v>17423.900000000001</v>
      </c>
      <c r="K466" s="92">
        <v>4426.0100000000057</v>
      </c>
      <c r="L466" s="92">
        <v>1024.76</v>
      </c>
      <c r="M466" s="92">
        <v>11.15</v>
      </c>
      <c r="N466" s="92">
        <v>0</v>
      </c>
    </row>
    <row r="467" spans="1:16" x14ac:dyDescent="0.3">
      <c r="A467" s="146"/>
      <c r="B467" s="94">
        <v>42491</v>
      </c>
      <c r="C467" s="92">
        <f t="shared" si="9"/>
        <v>48952.509999999987</v>
      </c>
      <c r="D467" s="92">
        <v>30235.51</v>
      </c>
      <c r="E467" s="92">
        <v>1959.7099999999996</v>
      </c>
      <c r="F467" s="92">
        <v>3710.6099999999992</v>
      </c>
      <c r="G467" s="92">
        <v>1036.1800000000003</v>
      </c>
      <c r="H467" s="92">
        <v>2015.7</v>
      </c>
      <c r="I467" s="92">
        <v>999.22</v>
      </c>
      <c r="J467" s="92">
        <v>2907.9</v>
      </c>
      <c r="K467" s="92">
        <v>5260.4499999999971</v>
      </c>
      <c r="L467" s="92">
        <v>764.53</v>
      </c>
      <c r="M467" s="92">
        <v>62.7</v>
      </c>
      <c r="N467" s="92">
        <v>0</v>
      </c>
    </row>
    <row r="468" spans="1:16" x14ac:dyDescent="0.3">
      <c r="A468" s="146"/>
      <c r="B468" s="94">
        <v>42522</v>
      </c>
      <c r="C468" s="92">
        <f t="shared" si="9"/>
        <v>63186.540000000008</v>
      </c>
      <c r="D468" s="92">
        <v>31317.5</v>
      </c>
      <c r="E468" s="92">
        <v>5245.7100000000009</v>
      </c>
      <c r="F468" s="92">
        <v>3412.1400000000003</v>
      </c>
      <c r="G468" s="92">
        <v>510.46000000000009</v>
      </c>
      <c r="H468" s="92">
        <v>2895.3</v>
      </c>
      <c r="I468" s="92">
        <v>781.55</v>
      </c>
      <c r="J468" s="92">
        <v>8978</v>
      </c>
      <c r="K468" s="92">
        <v>8540.2499999999982</v>
      </c>
      <c r="L468" s="92">
        <v>1347.23</v>
      </c>
      <c r="M468" s="92">
        <v>158.39999999999998</v>
      </c>
      <c r="N468" s="92">
        <v>0</v>
      </c>
    </row>
    <row r="469" spans="1:16" x14ac:dyDescent="0.3">
      <c r="A469" s="146"/>
      <c r="B469" s="94">
        <v>42552</v>
      </c>
      <c r="C469" s="92">
        <f t="shared" si="9"/>
        <v>53804.380000000012</v>
      </c>
      <c r="D469" s="92">
        <v>11937.54</v>
      </c>
      <c r="E469" s="92">
        <v>988.1400000000001</v>
      </c>
      <c r="F469" s="92">
        <v>3984.4600000000005</v>
      </c>
      <c r="G469" s="92">
        <v>750.36</v>
      </c>
      <c r="H469" s="92">
        <v>568.4</v>
      </c>
      <c r="I469" s="92">
        <v>13.47</v>
      </c>
      <c r="J469" s="92">
        <v>29531</v>
      </c>
      <c r="K469" s="92">
        <v>3556.8400000000015</v>
      </c>
      <c r="L469" s="92">
        <v>1297.8000000000002</v>
      </c>
      <c r="M469" s="92">
        <v>1176.3699999999999</v>
      </c>
      <c r="N469" s="92">
        <v>0</v>
      </c>
    </row>
    <row r="470" spans="1:16" x14ac:dyDescent="0.3">
      <c r="A470" s="146"/>
      <c r="B470" s="94">
        <v>42583</v>
      </c>
      <c r="C470" s="92">
        <f t="shared" si="9"/>
        <v>103692.56</v>
      </c>
      <c r="D470" s="92">
        <v>16573.98</v>
      </c>
      <c r="E470" s="92">
        <v>327.82</v>
      </c>
      <c r="F470" s="92">
        <v>1983.16</v>
      </c>
      <c r="G470" s="92">
        <v>948.33000000000015</v>
      </c>
      <c r="H470" s="92">
        <v>243.6</v>
      </c>
      <c r="I470" s="92">
        <v>172.64</v>
      </c>
      <c r="J470" s="92">
        <v>80571.899999999994</v>
      </c>
      <c r="K470" s="92">
        <v>2279.6299999999997</v>
      </c>
      <c r="L470" s="92">
        <v>302.7</v>
      </c>
      <c r="M470" s="92">
        <v>288.8</v>
      </c>
      <c r="N470" s="92">
        <v>0</v>
      </c>
    </row>
    <row r="471" spans="1:16" x14ac:dyDescent="0.3">
      <c r="A471" s="146"/>
      <c r="B471" s="94">
        <v>42614</v>
      </c>
      <c r="C471" s="92">
        <f t="shared" si="9"/>
        <v>77692.25</v>
      </c>
      <c r="D471" s="92">
        <v>36830.53</v>
      </c>
      <c r="E471" s="92">
        <v>1667.6199999999994</v>
      </c>
      <c r="F471" s="92">
        <v>3777.1900000000005</v>
      </c>
      <c r="G471" s="92">
        <v>935.75000000000034</v>
      </c>
      <c r="H471" s="92">
        <v>1431.44</v>
      </c>
      <c r="I471" s="92">
        <v>2174.79</v>
      </c>
      <c r="J471" s="92">
        <v>26175.3</v>
      </c>
      <c r="K471" s="92">
        <v>3656.1400000000008</v>
      </c>
      <c r="L471" s="92">
        <v>869.29</v>
      </c>
      <c r="M471" s="92">
        <v>174.2</v>
      </c>
      <c r="N471" s="92">
        <v>0</v>
      </c>
    </row>
    <row r="472" spans="1:16" x14ac:dyDescent="0.3">
      <c r="A472" s="146"/>
      <c r="B472" s="94">
        <v>42644</v>
      </c>
      <c r="C472" s="92">
        <f t="shared" si="9"/>
        <v>63646.479999999989</v>
      </c>
      <c r="D472" s="92">
        <v>32177.25</v>
      </c>
      <c r="E472" s="92">
        <v>2142.5700000000002</v>
      </c>
      <c r="F472" s="92">
        <v>3042.39</v>
      </c>
      <c r="G472" s="92">
        <v>1238.29</v>
      </c>
      <c r="H472" s="92">
        <v>1216.96</v>
      </c>
      <c r="I472" s="92">
        <v>161.88000000000002</v>
      </c>
      <c r="J472" s="92">
        <v>16732.199999999997</v>
      </c>
      <c r="K472" s="92">
        <v>6058.4099999999971</v>
      </c>
      <c r="L472" s="92">
        <v>836.78</v>
      </c>
      <c r="M472" s="92">
        <v>39.75</v>
      </c>
      <c r="N472" s="92">
        <v>0</v>
      </c>
    </row>
    <row r="473" spans="1:16" x14ac:dyDescent="0.3">
      <c r="A473" s="146"/>
      <c r="B473" s="94">
        <v>42675</v>
      </c>
      <c r="C473" s="105">
        <f t="shared" si="9"/>
        <v>125799.73000000001</v>
      </c>
      <c r="D473" s="105">
        <v>77768.2</v>
      </c>
      <c r="E473" s="105">
        <v>4470.1100000000015</v>
      </c>
      <c r="F473" s="105">
        <v>5328.1900000000005</v>
      </c>
      <c r="G473" s="105">
        <v>912.77</v>
      </c>
      <c r="H473" s="105">
        <v>2948.5000000000005</v>
      </c>
      <c r="I473" s="105">
        <v>15.889999999999999</v>
      </c>
      <c r="J473" s="105">
        <v>28854.41</v>
      </c>
      <c r="K473" s="105">
        <v>4897.7100000000009</v>
      </c>
      <c r="L473" s="105">
        <v>489.65000000000003</v>
      </c>
      <c r="M473" s="105">
        <v>114.3</v>
      </c>
      <c r="N473" s="105">
        <v>0</v>
      </c>
      <c r="O473" s="105"/>
      <c r="P473" s="119"/>
    </row>
    <row r="474" spans="1:16" x14ac:dyDescent="0.3">
      <c r="A474" s="146"/>
      <c r="B474" s="94">
        <v>42705</v>
      </c>
      <c r="C474" s="105">
        <f t="shared" si="9"/>
        <v>54282.200000000004</v>
      </c>
      <c r="D474" s="105">
        <v>22855.22</v>
      </c>
      <c r="E474" s="105">
        <v>5168.1499999999996</v>
      </c>
      <c r="F474" s="105">
        <v>1468.53</v>
      </c>
      <c r="G474" s="105">
        <v>854.57</v>
      </c>
      <c r="H474" s="105">
        <v>961.58</v>
      </c>
      <c r="I474" s="105">
        <v>76.89</v>
      </c>
      <c r="J474" s="105">
        <v>17224.7</v>
      </c>
      <c r="K474" s="105">
        <v>5262.69</v>
      </c>
      <c r="L474" s="105">
        <v>285.72000000000003</v>
      </c>
      <c r="M474" s="105">
        <v>124.15</v>
      </c>
      <c r="N474" s="105"/>
      <c r="O474" s="105"/>
      <c r="P474" s="119"/>
    </row>
    <row r="475" spans="1:16" x14ac:dyDescent="0.3">
      <c r="A475" s="146"/>
      <c r="B475" s="94">
        <v>42736</v>
      </c>
      <c r="C475" s="105">
        <f t="shared" si="9"/>
        <v>40128.799999999996</v>
      </c>
      <c r="D475" s="105">
        <v>26727.17</v>
      </c>
      <c r="E475" s="105">
        <v>684.69</v>
      </c>
      <c r="F475" s="105">
        <v>5106.3</v>
      </c>
      <c r="G475" s="105">
        <v>1196.73</v>
      </c>
      <c r="H475" s="105">
        <v>644.02</v>
      </c>
      <c r="I475" s="105">
        <v>58.66</v>
      </c>
      <c r="J475" s="105">
        <v>6614.32</v>
      </c>
      <c r="K475" s="105">
        <v>2800.46</v>
      </c>
      <c r="L475" s="105">
        <v>229.35</v>
      </c>
      <c r="M475" s="105">
        <v>-3932.9</v>
      </c>
      <c r="N475" s="105"/>
      <c r="O475" s="105"/>
      <c r="P475" s="119"/>
    </row>
    <row r="476" spans="1:16" x14ac:dyDescent="0.3">
      <c r="A476" s="146"/>
      <c r="B476" s="94">
        <v>42767</v>
      </c>
      <c r="C476" s="105">
        <f t="shared" si="9"/>
        <v>84818.37</v>
      </c>
      <c r="D476" s="105">
        <v>16042.02</v>
      </c>
      <c r="E476" s="105">
        <v>953.89</v>
      </c>
      <c r="F476" s="105">
        <v>6835.96</v>
      </c>
      <c r="G476" s="105">
        <v>750.43</v>
      </c>
      <c r="H476" s="105">
        <v>1386.29</v>
      </c>
      <c r="I476" s="105">
        <v>61.64</v>
      </c>
      <c r="J476" s="105">
        <v>55612</v>
      </c>
      <c r="K476" s="105">
        <v>2697.12</v>
      </c>
      <c r="L476" s="105">
        <v>441.72</v>
      </c>
      <c r="M476" s="105">
        <v>37.299999999999997</v>
      </c>
      <c r="N476" s="105"/>
      <c r="O476" s="105"/>
      <c r="P476" s="119"/>
    </row>
    <row r="477" spans="1:16" x14ac:dyDescent="0.3">
      <c r="A477" s="146"/>
      <c r="B477" s="94">
        <v>42795</v>
      </c>
      <c r="C477" s="105">
        <f t="shared" ref="C477:C564" si="11">SUM(D477:P477)</f>
        <v>58688.190000000017</v>
      </c>
      <c r="D477" s="105">
        <v>27785.5</v>
      </c>
      <c r="E477" s="105">
        <v>1878.26</v>
      </c>
      <c r="F477" s="105">
        <v>5535.03</v>
      </c>
      <c r="G477" s="105">
        <v>776.89</v>
      </c>
      <c r="H477" s="105">
        <v>3266.62</v>
      </c>
      <c r="I477" s="105">
        <v>91.9</v>
      </c>
      <c r="J477" s="105">
        <v>13784.7</v>
      </c>
      <c r="K477" s="105">
        <v>5310.3</v>
      </c>
      <c r="L477" s="105">
        <v>219.69</v>
      </c>
      <c r="M477" s="105">
        <v>39.299999999999997</v>
      </c>
      <c r="N477" s="105"/>
      <c r="O477" s="105"/>
      <c r="P477" s="119"/>
    </row>
    <row r="478" spans="1:16" x14ac:dyDescent="0.3">
      <c r="A478" s="146"/>
      <c r="B478" s="94">
        <v>42826</v>
      </c>
      <c r="C478" s="105">
        <f t="shared" si="11"/>
        <v>56212.95</v>
      </c>
      <c r="D478" s="105">
        <v>18808.21</v>
      </c>
      <c r="E478" s="105">
        <v>1449.47</v>
      </c>
      <c r="F478" s="105">
        <v>4122.08</v>
      </c>
      <c r="G478" s="105">
        <v>1095.1300000000001</v>
      </c>
      <c r="H478" s="105">
        <v>1016.53</v>
      </c>
      <c r="I478" s="105">
        <v>641.02</v>
      </c>
      <c r="J478" s="105">
        <v>23540.41</v>
      </c>
      <c r="K478" s="105">
        <v>5196.95</v>
      </c>
      <c r="L478" s="105">
        <v>151.19999999999999</v>
      </c>
      <c r="M478" s="105">
        <v>191.95</v>
      </c>
      <c r="N478" s="105"/>
      <c r="O478" s="105"/>
      <c r="P478" s="119"/>
    </row>
    <row r="479" spans="1:16" x14ac:dyDescent="0.3">
      <c r="A479" s="146"/>
      <c r="B479" s="94">
        <v>42856</v>
      </c>
      <c r="C479" s="105">
        <f t="shared" si="11"/>
        <v>38325.269999999997</v>
      </c>
      <c r="D479" s="105">
        <v>21526.41</v>
      </c>
      <c r="E479" s="105">
        <v>1914.34</v>
      </c>
      <c r="F479" s="105">
        <v>3907.02</v>
      </c>
      <c r="G479" s="105">
        <v>893.61</v>
      </c>
      <c r="H479" s="105">
        <v>1724.58</v>
      </c>
      <c r="I479" s="105">
        <v>14.91</v>
      </c>
      <c r="J479" s="105">
        <v>4262.7</v>
      </c>
      <c r="K479" s="105">
        <v>3388.91</v>
      </c>
      <c r="L479" s="105">
        <v>673.99</v>
      </c>
      <c r="M479" s="105">
        <v>18.8</v>
      </c>
      <c r="N479" s="105"/>
      <c r="O479" s="105"/>
      <c r="P479" s="119"/>
    </row>
    <row r="480" spans="1:16" x14ac:dyDescent="0.3">
      <c r="A480" s="146"/>
      <c r="B480" s="94">
        <v>42887</v>
      </c>
      <c r="C480" s="105">
        <f t="shared" si="11"/>
        <v>65958.26999999999</v>
      </c>
      <c r="D480" s="105">
        <v>19232.759999999998</v>
      </c>
      <c r="E480" s="105">
        <v>1883.62</v>
      </c>
      <c r="F480" s="105">
        <v>6316.72</v>
      </c>
      <c r="G480" s="105">
        <v>1875.24</v>
      </c>
      <c r="H480" s="105">
        <v>2065.4299999999998</v>
      </c>
      <c r="I480" s="105">
        <v>153.02000000000001</v>
      </c>
      <c r="J480" s="105">
        <v>19186.5</v>
      </c>
      <c r="K480" s="105">
        <v>13895.92</v>
      </c>
      <c r="L480" s="105">
        <v>1214.1099999999999</v>
      </c>
      <c r="M480" s="105">
        <v>134.94999999999999</v>
      </c>
      <c r="N480" s="105"/>
      <c r="O480" s="105"/>
      <c r="P480" s="119"/>
    </row>
    <row r="481" spans="1:16" x14ac:dyDescent="0.3">
      <c r="A481" s="146"/>
      <c r="B481" s="94">
        <v>42917</v>
      </c>
      <c r="C481" s="105">
        <f t="shared" si="11"/>
        <v>42853.52</v>
      </c>
      <c r="D481" s="105">
        <v>20939.82</v>
      </c>
      <c r="E481" s="105">
        <v>786.31</v>
      </c>
      <c r="F481" s="105">
        <v>8347.3799999999992</v>
      </c>
      <c r="G481" s="105">
        <v>1543.38</v>
      </c>
      <c r="H481" s="105">
        <v>478.67</v>
      </c>
      <c r="I481" s="105">
        <v>86.16</v>
      </c>
      <c r="J481" s="105">
        <v>4009.5</v>
      </c>
      <c r="K481" s="105">
        <v>4616.04</v>
      </c>
      <c r="L481" s="105">
        <v>1928.81</v>
      </c>
      <c r="M481" s="105">
        <v>117.45</v>
      </c>
      <c r="N481" s="105"/>
      <c r="O481" s="105"/>
      <c r="P481" s="119"/>
    </row>
    <row r="482" spans="1:16" x14ac:dyDescent="0.3">
      <c r="A482" s="146"/>
      <c r="B482" s="94">
        <v>42948</v>
      </c>
      <c r="C482" s="92">
        <f t="shared" si="11"/>
        <v>37233.310000000012</v>
      </c>
      <c r="D482" s="92">
        <v>15093.7</v>
      </c>
      <c r="E482" s="92">
        <v>883.37</v>
      </c>
      <c r="F482" s="92">
        <v>3704.39</v>
      </c>
      <c r="G482" s="92">
        <v>831.32</v>
      </c>
      <c r="H482" s="92">
        <v>895.65</v>
      </c>
      <c r="I482" s="92">
        <v>955.22</v>
      </c>
      <c r="J482" s="92">
        <v>11478</v>
      </c>
      <c r="K482" s="92">
        <v>2135.73</v>
      </c>
      <c r="L482" s="92">
        <v>1173.48</v>
      </c>
      <c r="M482" s="92">
        <v>82.45</v>
      </c>
    </row>
    <row r="483" spans="1:16" x14ac:dyDescent="0.3">
      <c r="A483" s="146"/>
      <c r="B483" s="94">
        <v>42979</v>
      </c>
      <c r="C483" s="92">
        <f t="shared" si="11"/>
        <v>69132.340000000011</v>
      </c>
      <c r="D483" s="92">
        <v>23982.080000000002</v>
      </c>
      <c r="E483" s="92">
        <v>3860.38</v>
      </c>
      <c r="F483" s="92">
        <v>4366.42</v>
      </c>
      <c r="G483" s="92">
        <v>1449.91</v>
      </c>
      <c r="H483" s="92">
        <v>1658.08</v>
      </c>
      <c r="I483" s="92">
        <v>33.08</v>
      </c>
      <c r="J483" s="92">
        <v>25766.5</v>
      </c>
      <c r="K483" s="92">
        <v>6315.72</v>
      </c>
      <c r="L483" s="92">
        <v>1617.27</v>
      </c>
      <c r="M483" s="92">
        <v>82.9</v>
      </c>
    </row>
    <row r="484" spans="1:16" x14ac:dyDescent="0.3">
      <c r="A484" s="146"/>
      <c r="B484" s="94">
        <v>43009</v>
      </c>
      <c r="C484" s="92">
        <f t="shared" si="11"/>
        <v>88108.37</v>
      </c>
      <c r="D484" s="92">
        <v>32487.85</v>
      </c>
      <c r="E484" s="92">
        <v>2064.5</v>
      </c>
      <c r="F484" s="92">
        <v>3612.51</v>
      </c>
      <c r="G484" s="92">
        <v>1838.6</v>
      </c>
      <c r="H484" s="92">
        <v>467</v>
      </c>
      <c r="I484" s="92">
        <v>155.13999999999999</v>
      </c>
      <c r="J484" s="92">
        <v>39178.800000000003</v>
      </c>
      <c r="K484" s="92">
        <v>6350.08</v>
      </c>
      <c r="L484" s="92">
        <v>1833.89</v>
      </c>
      <c r="M484" s="92">
        <v>120</v>
      </c>
    </row>
    <row r="485" spans="1:16" x14ac:dyDescent="0.3">
      <c r="A485" s="146"/>
      <c r="B485" s="94">
        <v>43040</v>
      </c>
      <c r="C485" s="92">
        <f t="shared" si="11"/>
        <v>184006.75</v>
      </c>
      <c r="D485" s="92">
        <v>19824.759999999998</v>
      </c>
      <c r="E485" s="92">
        <v>2356.36</v>
      </c>
      <c r="F485" s="92">
        <v>4705.68</v>
      </c>
      <c r="G485" s="92">
        <v>3163.49</v>
      </c>
      <c r="H485" s="92">
        <v>531.5</v>
      </c>
      <c r="I485" s="92">
        <v>266.12</v>
      </c>
      <c r="J485" s="92">
        <v>146530.25</v>
      </c>
      <c r="K485" s="92">
        <v>4705.8500000000004</v>
      </c>
      <c r="L485" s="92">
        <v>1825.69</v>
      </c>
      <c r="M485" s="92">
        <v>97.05</v>
      </c>
    </row>
    <row r="486" spans="1:16" x14ac:dyDescent="0.3">
      <c r="A486" s="146"/>
      <c r="B486" s="94">
        <v>43070</v>
      </c>
      <c r="C486" s="92">
        <f t="shared" si="11"/>
        <v>39678.47</v>
      </c>
      <c r="D486" s="92">
        <v>19400.14</v>
      </c>
      <c r="E486" s="92">
        <v>1332.79</v>
      </c>
      <c r="F486" s="92">
        <v>3767.69</v>
      </c>
      <c r="G486" s="92">
        <v>1519.51</v>
      </c>
      <c r="H486" s="92">
        <v>3081.4</v>
      </c>
      <c r="I486" s="92">
        <v>225.63</v>
      </c>
      <c r="J486" s="92">
        <v>3439.25</v>
      </c>
      <c r="K486" s="92">
        <v>4314.28</v>
      </c>
      <c r="L486" s="92">
        <v>2563.88</v>
      </c>
      <c r="M486" s="92">
        <v>33.9</v>
      </c>
    </row>
    <row r="487" spans="1:16" x14ac:dyDescent="0.3">
      <c r="A487" s="146"/>
      <c r="B487" s="94">
        <v>43101</v>
      </c>
      <c r="C487" s="92">
        <f t="shared" si="11"/>
        <v>42326.960000000006</v>
      </c>
      <c r="D487" s="92">
        <v>21367.31</v>
      </c>
      <c r="E487" s="92">
        <v>2819.79</v>
      </c>
      <c r="F487" s="92">
        <v>3228.58</v>
      </c>
      <c r="G487" s="92">
        <v>1448.95</v>
      </c>
      <c r="H487" s="92">
        <v>603.4</v>
      </c>
      <c r="I487" s="92">
        <v>428.82</v>
      </c>
      <c r="J487" s="92">
        <v>3734</v>
      </c>
      <c r="K487" s="92">
        <v>4315.83</v>
      </c>
      <c r="L487" s="92">
        <v>3742.68</v>
      </c>
      <c r="M487" s="92">
        <v>82.6</v>
      </c>
      <c r="P487" s="117">
        <v>555</v>
      </c>
    </row>
    <row r="488" spans="1:16" x14ac:dyDescent="0.3">
      <c r="A488" s="146"/>
      <c r="B488" s="94">
        <v>43132</v>
      </c>
      <c r="C488" s="92">
        <f t="shared" si="11"/>
        <v>53243.610000000008</v>
      </c>
      <c r="D488" s="92">
        <v>27742.93</v>
      </c>
      <c r="E488" s="92">
        <v>1464.52</v>
      </c>
      <c r="F488" s="92">
        <v>3904.48</v>
      </c>
      <c r="G488" s="92">
        <v>1190.28</v>
      </c>
      <c r="H488" s="92">
        <v>2029.8</v>
      </c>
      <c r="I488" s="92">
        <v>38.07</v>
      </c>
      <c r="J488" s="92">
        <v>7796.8</v>
      </c>
      <c r="K488" s="92">
        <v>5154.6499999999996</v>
      </c>
      <c r="L488" s="92">
        <v>3903.83</v>
      </c>
      <c r="M488" s="92">
        <v>-64.25</v>
      </c>
      <c r="P488" s="117">
        <v>82.5</v>
      </c>
    </row>
    <row r="489" spans="1:16" x14ac:dyDescent="0.3">
      <c r="A489" s="146"/>
      <c r="B489" s="94">
        <v>43160</v>
      </c>
      <c r="C489" s="92">
        <f t="shared" si="11"/>
        <v>122220.39000000001</v>
      </c>
      <c r="D489" s="92">
        <v>23280.28</v>
      </c>
      <c r="E489" s="92">
        <v>9630.36</v>
      </c>
      <c r="F489" s="92">
        <v>6029.51</v>
      </c>
      <c r="G489" s="92">
        <v>1317.57</v>
      </c>
      <c r="H489" s="92">
        <v>4342.5</v>
      </c>
      <c r="I489" s="92">
        <v>418.51</v>
      </c>
      <c r="J489" s="92">
        <v>67527.5</v>
      </c>
      <c r="K489" s="92">
        <v>5810.41</v>
      </c>
      <c r="L489" s="92">
        <v>3621.9</v>
      </c>
      <c r="M489" s="92">
        <v>16.850000000000001</v>
      </c>
      <c r="P489" s="117">
        <v>225</v>
      </c>
    </row>
    <row r="490" spans="1:16" x14ac:dyDescent="0.3">
      <c r="A490" s="146"/>
      <c r="B490" s="94">
        <v>43191</v>
      </c>
      <c r="C490" s="92">
        <f t="shared" si="11"/>
        <v>58462.320000000007</v>
      </c>
      <c r="D490" s="92">
        <v>26609.48</v>
      </c>
      <c r="E490" s="92">
        <v>1013.39</v>
      </c>
      <c r="F490" s="92">
        <v>8018.59</v>
      </c>
      <c r="G490" s="92">
        <v>1759.82</v>
      </c>
      <c r="H490" s="92">
        <v>1623.9</v>
      </c>
      <c r="I490" s="92">
        <v>66.290000000000006</v>
      </c>
      <c r="J490" s="92">
        <v>9060.4</v>
      </c>
      <c r="K490" s="92">
        <v>5684.69</v>
      </c>
      <c r="L490" s="92">
        <v>4049.96</v>
      </c>
      <c r="M490" s="92">
        <v>245.8</v>
      </c>
      <c r="P490" s="117">
        <v>330</v>
      </c>
    </row>
    <row r="491" spans="1:16" x14ac:dyDescent="0.3">
      <c r="A491" s="146"/>
      <c r="B491" s="94">
        <v>43221</v>
      </c>
      <c r="C491" s="92">
        <f t="shared" si="11"/>
        <v>40439.449999999997</v>
      </c>
      <c r="D491" s="92">
        <v>20535.919999999998</v>
      </c>
      <c r="E491" s="92">
        <v>921.87</v>
      </c>
      <c r="F491" s="92">
        <v>4839.22</v>
      </c>
      <c r="G491" s="92">
        <v>973.24</v>
      </c>
      <c r="H491" s="92">
        <v>694.48</v>
      </c>
      <c r="I491" s="92">
        <v>41.55</v>
      </c>
      <c r="J491" s="92">
        <v>4791.5</v>
      </c>
      <c r="K491" s="92">
        <v>3990.17</v>
      </c>
      <c r="L491" s="92">
        <v>2550</v>
      </c>
      <c r="M491" s="92">
        <v>-458.5</v>
      </c>
      <c r="P491" s="117">
        <v>1560</v>
      </c>
    </row>
    <row r="492" spans="1:16" x14ac:dyDescent="0.3">
      <c r="A492" s="146"/>
      <c r="B492" s="94">
        <v>43252</v>
      </c>
      <c r="C492" s="92">
        <f t="shared" si="11"/>
        <v>73051.450000000012</v>
      </c>
      <c r="D492" s="92">
        <v>25431.79</v>
      </c>
      <c r="E492" s="92">
        <v>1541.2</v>
      </c>
      <c r="F492" s="92">
        <v>8354.92</v>
      </c>
      <c r="G492" s="92">
        <v>1138.53</v>
      </c>
      <c r="H492" s="92">
        <v>2322.9499999999998</v>
      </c>
      <c r="I492" s="92">
        <v>12.54</v>
      </c>
      <c r="J492" s="92">
        <v>20880.650000000001</v>
      </c>
      <c r="K492" s="92">
        <v>6185.43</v>
      </c>
      <c r="L492" s="92">
        <v>5268.39</v>
      </c>
      <c r="M492" s="92">
        <v>210.05</v>
      </c>
      <c r="N492" s="92">
        <v>1295</v>
      </c>
      <c r="P492" s="117">
        <v>410</v>
      </c>
    </row>
    <row r="493" spans="1:16" x14ac:dyDescent="0.3">
      <c r="A493" s="146"/>
      <c r="B493" s="94">
        <v>43282</v>
      </c>
      <c r="C493" s="92">
        <f t="shared" si="11"/>
        <v>62185.709999999992</v>
      </c>
      <c r="D493" s="92">
        <v>24204.43</v>
      </c>
      <c r="E493" s="92">
        <v>850.28</v>
      </c>
      <c r="F493" s="92">
        <v>9341.68</v>
      </c>
      <c r="G493" s="92">
        <v>2115.9899999999998</v>
      </c>
      <c r="H493" s="92">
        <v>683.97</v>
      </c>
      <c r="J493" s="92">
        <v>17945</v>
      </c>
      <c r="K493" s="92">
        <v>3722.03</v>
      </c>
      <c r="L493" s="92">
        <v>3054.88</v>
      </c>
      <c r="M493" s="92">
        <v>177.45</v>
      </c>
      <c r="P493" s="117">
        <v>90</v>
      </c>
    </row>
    <row r="494" spans="1:16" x14ac:dyDescent="0.3">
      <c r="A494" s="146"/>
      <c r="B494" s="94">
        <v>43313</v>
      </c>
      <c r="C494" s="92">
        <f t="shared" si="11"/>
        <v>36364.23000000001</v>
      </c>
      <c r="D494" s="92">
        <v>11203.53</v>
      </c>
      <c r="E494" s="92">
        <v>639.67999999999995</v>
      </c>
      <c r="F494" s="92">
        <v>5944.26</v>
      </c>
      <c r="G494" s="92">
        <v>686.57</v>
      </c>
      <c r="H494" s="92">
        <v>6</v>
      </c>
      <c r="J494" s="92">
        <v>12875</v>
      </c>
      <c r="K494" s="92">
        <v>2588.34</v>
      </c>
      <c r="L494" s="92">
        <v>2083.3000000000002</v>
      </c>
      <c r="M494" s="92">
        <v>87.5</v>
      </c>
      <c r="P494" s="117">
        <v>250.05</v>
      </c>
    </row>
    <row r="495" spans="1:16" x14ac:dyDescent="0.3">
      <c r="A495" s="146"/>
      <c r="B495" s="94">
        <v>43344</v>
      </c>
      <c r="C495" s="92">
        <f t="shared" si="11"/>
        <v>52864.270000000004</v>
      </c>
      <c r="D495" s="92">
        <v>24469.97</v>
      </c>
      <c r="E495" s="92">
        <v>3406.03</v>
      </c>
      <c r="F495" s="92">
        <v>4789.2299999999996</v>
      </c>
      <c r="G495" s="92">
        <v>1007.64</v>
      </c>
      <c r="H495" s="92">
        <v>666.69</v>
      </c>
      <c r="I495" s="92">
        <v>27.32</v>
      </c>
      <c r="J495" s="92">
        <v>11291</v>
      </c>
      <c r="K495" s="92">
        <v>4587.95</v>
      </c>
      <c r="L495" s="92">
        <v>2145.44</v>
      </c>
      <c r="M495" s="92">
        <v>128</v>
      </c>
      <c r="P495" s="117">
        <v>345</v>
      </c>
    </row>
    <row r="496" spans="1:16" x14ac:dyDescent="0.3">
      <c r="A496" s="146"/>
      <c r="B496" s="94">
        <v>43374</v>
      </c>
      <c r="C496" s="92">
        <f t="shared" si="11"/>
        <v>84314.59</v>
      </c>
      <c r="D496" s="92">
        <v>21732.33</v>
      </c>
      <c r="E496" s="92">
        <v>7042.92</v>
      </c>
      <c r="F496" s="92">
        <v>3375.63</v>
      </c>
      <c r="G496" s="92">
        <v>906.5</v>
      </c>
      <c r="H496" s="92">
        <v>544.85</v>
      </c>
      <c r="I496" s="92">
        <v>121.85</v>
      </c>
      <c r="J496" s="92">
        <v>43413</v>
      </c>
      <c r="K496" s="92">
        <v>4068.62</v>
      </c>
      <c r="L496" s="92">
        <v>2336.89</v>
      </c>
      <c r="M496" s="92">
        <v>147</v>
      </c>
      <c r="P496" s="117">
        <v>625</v>
      </c>
    </row>
    <row r="497" spans="1:16" x14ac:dyDescent="0.3">
      <c r="A497" s="146"/>
      <c r="B497" s="94">
        <v>43405</v>
      </c>
      <c r="C497" s="92">
        <f t="shared" si="11"/>
        <v>85725.03</v>
      </c>
      <c r="D497" s="92">
        <v>34045.29</v>
      </c>
      <c r="E497" s="92">
        <v>1217.8</v>
      </c>
      <c r="F497" s="92">
        <v>4894.76</v>
      </c>
      <c r="G497" s="92">
        <v>1218.1600000000001</v>
      </c>
      <c r="H497" s="92">
        <v>4236.2299999999996</v>
      </c>
      <c r="I497" s="92">
        <v>520.57000000000005</v>
      </c>
      <c r="J497" s="92">
        <v>32450</v>
      </c>
      <c r="K497" s="92">
        <v>4771.78</v>
      </c>
      <c r="L497" s="92">
        <v>1991.49</v>
      </c>
      <c r="M497" s="92">
        <v>133.94999999999999</v>
      </c>
      <c r="P497" s="117">
        <v>245</v>
      </c>
    </row>
    <row r="498" spans="1:16" x14ac:dyDescent="0.3">
      <c r="A498" s="146"/>
      <c r="B498" s="94">
        <v>43435</v>
      </c>
      <c r="C498" s="92">
        <f t="shared" si="11"/>
        <v>66148.88</v>
      </c>
      <c r="D498" s="92">
        <v>15598.83</v>
      </c>
      <c r="E498" s="92">
        <v>2123.9499999999998</v>
      </c>
      <c r="F498" s="92">
        <v>2264.98</v>
      </c>
      <c r="G498" s="92">
        <v>448.84</v>
      </c>
      <c r="H498" s="92">
        <v>2175.84</v>
      </c>
      <c r="I498" s="92">
        <v>2954.4</v>
      </c>
      <c r="J498" s="92">
        <v>36202</v>
      </c>
      <c r="K498" s="92">
        <v>2719.02</v>
      </c>
      <c r="L498" s="92">
        <v>1423.42</v>
      </c>
      <c r="M498" s="92">
        <v>50.1</v>
      </c>
      <c r="P498" s="117">
        <v>187.5</v>
      </c>
    </row>
    <row r="499" spans="1:16" x14ac:dyDescent="0.3">
      <c r="A499" s="146"/>
      <c r="B499" s="94">
        <v>43466</v>
      </c>
      <c r="C499" s="105">
        <f t="shared" si="11"/>
        <v>53462.87000000001</v>
      </c>
      <c r="D499" s="105">
        <v>25747.33</v>
      </c>
      <c r="E499" s="105">
        <v>1687.08</v>
      </c>
      <c r="F499" s="105">
        <v>7254.96</v>
      </c>
      <c r="G499" s="105">
        <v>1346.08</v>
      </c>
      <c r="H499" s="105">
        <v>1555.98</v>
      </c>
      <c r="I499" s="105">
        <v>76.260000000000005</v>
      </c>
      <c r="J499" s="105">
        <v>7216.5</v>
      </c>
      <c r="K499" s="105">
        <v>4963.1099999999997</v>
      </c>
      <c r="L499" s="105">
        <v>540.95000000000005</v>
      </c>
      <c r="M499" s="105">
        <v>65.900000000000006</v>
      </c>
      <c r="N499" s="105">
        <v>2280</v>
      </c>
      <c r="O499" s="105">
        <v>668.72</v>
      </c>
      <c r="P499" s="119">
        <v>60</v>
      </c>
    </row>
    <row r="500" spans="1:16" x14ac:dyDescent="0.3">
      <c r="A500" s="146"/>
      <c r="B500" s="94">
        <v>43497</v>
      </c>
      <c r="C500" s="105">
        <f t="shared" si="11"/>
        <v>77778.739999999991</v>
      </c>
      <c r="D500" s="105">
        <v>57727.01</v>
      </c>
      <c r="E500" s="105">
        <v>1050.68</v>
      </c>
      <c r="F500" s="105">
        <v>2889.62</v>
      </c>
      <c r="G500" s="105">
        <v>612.28</v>
      </c>
      <c r="H500" s="105">
        <v>2080</v>
      </c>
      <c r="I500" s="105">
        <v>619.52</v>
      </c>
      <c r="J500" s="105">
        <v>7040</v>
      </c>
      <c r="K500" s="105">
        <v>3843.01</v>
      </c>
      <c r="L500" s="105">
        <v>648</v>
      </c>
      <c r="M500" s="105">
        <v>102</v>
      </c>
      <c r="N500" s="105"/>
      <c r="O500" s="105">
        <v>1121.6199999999999</v>
      </c>
      <c r="P500" s="119">
        <v>45</v>
      </c>
    </row>
    <row r="501" spans="1:16" x14ac:dyDescent="0.3">
      <c r="A501" s="146"/>
      <c r="B501" s="94">
        <v>43525</v>
      </c>
      <c r="C501" s="105">
        <f t="shared" si="11"/>
        <v>77742.31</v>
      </c>
      <c r="D501" s="105">
        <v>32932.92</v>
      </c>
      <c r="E501" s="105">
        <v>7464.49</v>
      </c>
      <c r="F501" s="105">
        <v>4921.2700000000004</v>
      </c>
      <c r="G501" s="105">
        <v>531.41</v>
      </c>
      <c r="H501" s="105">
        <v>2652</v>
      </c>
      <c r="I501" s="105">
        <v>766</v>
      </c>
      <c r="J501" s="105">
        <v>18944</v>
      </c>
      <c r="K501" s="105">
        <v>5610.44</v>
      </c>
      <c r="L501" s="105">
        <v>729.95</v>
      </c>
      <c r="M501" s="105">
        <v>21</v>
      </c>
      <c r="N501" s="105">
        <v>1710</v>
      </c>
      <c r="O501" s="105">
        <v>1428.83</v>
      </c>
      <c r="P501" s="119">
        <v>30</v>
      </c>
    </row>
    <row r="502" spans="1:16" x14ac:dyDescent="0.3">
      <c r="A502" s="146"/>
      <c r="B502" s="94">
        <v>43556</v>
      </c>
      <c r="C502" s="105">
        <f t="shared" si="11"/>
        <v>32554.53</v>
      </c>
      <c r="D502" s="105">
        <v>14570.52</v>
      </c>
      <c r="E502" s="105">
        <v>1679.56</v>
      </c>
      <c r="F502" s="105">
        <v>3686.03</v>
      </c>
      <c r="G502" s="105">
        <v>777.79</v>
      </c>
      <c r="H502" s="105">
        <v>329.95</v>
      </c>
      <c r="I502" s="105">
        <v>62.6</v>
      </c>
      <c r="J502" s="105">
        <v>4569</v>
      </c>
      <c r="K502" s="105">
        <v>4519.3900000000003</v>
      </c>
      <c r="L502" s="105">
        <v>752.87</v>
      </c>
      <c r="M502" s="105">
        <v>185</v>
      </c>
      <c r="N502" s="105">
        <v>570</v>
      </c>
      <c r="O502" s="105">
        <v>776.82</v>
      </c>
      <c r="P502" s="119">
        <v>75</v>
      </c>
    </row>
    <row r="503" spans="1:16" x14ac:dyDescent="0.3">
      <c r="A503" s="146"/>
      <c r="B503" s="94">
        <v>43586</v>
      </c>
      <c r="C503" s="105">
        <f t="shared" si="11"/>
        <v>42428.72</v>
      </c>
      <c r="D503" s="105">
        <v>18034.509999999998</v>
      </c>
      <c r="E503" s="105">
        <v>1164.68</v>
      </c>
      <c r="F503" s="105">
        <v>2776.62</v>
      </c>
      <c r="G503" s="105">
        <v>1186.58</v>
      </c>
      <c r="H503" s="105">
        <v>2177.0300000000002</v>
      </c>
      <c r="I503" s="105">
        <v>7623.75</v>
      </c>
      <c r="J503" s="105">
        <v>3783</v>
      </c>
      <c r="K503" s="105">
        <v>4939.79</v>
      </c>
      <c r="L503" s="105">
        <v>426.51</v>
      </c>
      <c r="M503" s="105">
        <v>29.45</v>
      </c>
      <c r="N503" s="105"/>
      <c r="O503" s="105">
        <v>286.8</v>
      </c>
      <c r="P503" s="119"/>
    </row>
    <row r="504" spans="1:16" x14ac:dyDescent="0.3">
      <c r="A504" s="146"/>
      <c r="B504" s="94">
        <v>43617</v>
      </c>
      <c r="C504" s="105">
        <f t="shared" si="11"/>
        <v>80591.63</v>
      </c>
      <c r="D504" s="105">
        <v>41568.379999999997</v>
      </c>
      <c r="E504" s="105">
        <v>2195.21</v>
      </c>
      <c r="F504" s="105">
        <v>5032.79</v>
      </c>
      <c r="G504" s="105">
        <v>291.05</v>
      </c>
      <c r="H504" s="105">
        <v>546.54</v>
      </c>
      <c r="I504" s="105">
        <v>415.3</v>
      </c>
      <c r="J504" s="105">
        <v>21974</v>
      </c>
      <c r="K504" s="105">
        <v>4811.55</v>
      </c>
      <c r="L504" s="105">
        <v>1502.17</v>
      </c>
      <c r="M504" s="105">
        <v>45.5</v>
      </c>
      <c r="N504" s="105">
        <v>190</v>
      </c>
      <c r="O504" s="105">
        <v>99.14</v>
      </c>
      <c r="P504" s="119">
        <v>1920</v>
      </c>
    </row>
    <row r="505" spans="1:16" x14ac:dyDescent="0.3">
      <c r="A505" s="146"/>
      <c r="B505" s="94">
        <v>43647</v>
      </c>
      <c r="C505" s="105">
        <f t="shared" si="11"/>
        <v>44553.170000000006</v>
      </c>
      <c r="D505" s="105">
        <v>23188.68</v>
      </c>
      <c r="E505" s="105">
        <v>3612.21</v>
      </c>
      <c r="F505" s="105">
        <v>2334.29</v>
      </c>
      <c r="G505" s="105">
        <v>320.93</v>
      </c>
      <c r="H505" s="105">
        <v>1179.9000000000001</v>
      </c>
      <c r="I505" s="105">
        <v>33.22</v>
      </c>
      <c r="J505" s="105">
        <v>7692</v>
      </c>
      <c r="K505" s="105">
        <v>3608.79</v>
      </c>
      <c r="L505" s="105">
        <v>1014.53</v>
      </c>
      <c r="M505" s="105">
        <v>17.3</v>
      </c>
      <c r="N505" s="105">
        <v>1140</v>
      </c>
      <c r="O505" s="105">
        <v>106.32</v>
      </c>
      <c r="P505" s="119">
        <v>305</v>
      </c>
    </row>
    <row r="506" spans="1:16" x14ac:dyDescent="0.3">
      <c r="A506" s="146"/>
      <c r="B506" s="94">
        <v>43678</v>
      </c>
      <c r="C506" s="105">
        <f t="shared" si="11"/>
        <v>44060.160000000003</v>
      </c>
      <c r="D506" s="105">
        <v>11602.22</v>
      </c>
      <c r="E506" s="105">
        <v>622</v>
      </c>
      <c r="F506" s="105">
        <v>1754.62</v>
      </c>
      <c r="G506" s="105">
        <v>405.72</v>
      </c>
      <c r="H506" s="105">
        <v>972.5</v>
      </c>
      <c r="I506" s="105">
        <v>114.84</v>
      </c>
      <c r="J506" s="105">
        <v>25783</v>
      </c>
      <c r="K506" s="105">
        <v>1126.68</v>
      </c>
      <c r="L506" s="105">
        <v>819.78</v>
      </c>
      <c r="M506" s="105"/>
      <c r="N506" s="105">
        <v>760</v>
      </c>
      <c r="O506" s="105">
        <v>98.8</v>
      </c>
      <c r="P506" s="119"/>
    </row>
    <row r="507" spans="1:16" x14ac:dyDescent="0.3">
      <c r="A507" s="146"/>
      <c r="B507" s="94">
        <v>43709</v>
      </c>
      <c r="C507" s="105">
        <f t="shared" si="11"/>
        <v>75785.099999999991</v>
      </c>
      <c r="D507" s="105">
        <v>27025.68</v>
      </c>
      <c r="E507" s="105">
        <v>925.07</v>
      </c>
      <c r="F507" s="105">
        <v>3836.07</v>
      </c>
      <c r="G507" s="105">
        <v>696.37</v>
      </c>
      <c r="H507" s="105">
        <v>3257.23</v>
      </c>
      <c r="I507" s="105">
        <v>263.45999999999998</v>
      </c>
      <c r="J507" s="105">
        <v>29137</v>
      </c>
      <c r="K507" s="105">
        <v>7031.23</v>
      </c>
      <c r="L507" s="105">
        <v>1752.16</v>
      </c>
      <c r="M507" s="105">
        <v>16.649999999999999</v>
      </c>
      <c r="N507" s="105">
        <v>1330</v>
      </c>
      <c r="O507" s="105">
        <v>344.18</v>
      </c>
      <c r="P507" s="119">
        <v>170</v>
      </c>
    </row>
    <row r="508" spans="1:16" x14ac:dyDescent="0.3">
      <c r="A508" s="146"/>
      <c r="B508" s="94">
        <v>43739</v>
      </c>
      <c r="C508" s="105">
        <f t="shared" si="11"/>
        <v>85056.24</v>
      </c>
      <c r="D508" s="105">
        <v>37015.629999999997</v>
      </c>
      <c r="E508" s="105">
        <v>1783.91</v>
      </c>
      <c r="F508" s="105">
        <v>3234.76</v>
      </c>
      <c r="G508" s="105">
        <v>1024.25</v>
      </c>
      <c r="H508" s="105">
        <v>1575.84</v>
      </c>
      <c r="I508" s="105">
        <v>26.95</v>
      </c>
      <c r="J508" s="105">
        <v>33284</v>
      </c>
      <c r="K508" s="105">
        <v>4840.84</v>
      </c>
      <c r="L508" s="105">
        <v>1447.35</v>
      </c>
      <c r="M508" s="105">
        <v>22.25</v>
      </c>
      <c r="N508" s="105">
        <v>380</v>
      </c>
      <c r="O508" s="105">
        <v>145.46</v>
      </c>
      <c r="P508" s="119">
        <v>275</v>
      </c>
    </row>
    <row r="509" spans="1:16" x14ac:dyDescent="0.3">
      <c r="A509" s="146"/>
      <c r="B509" s="94">
        <v>43770</v>
      </c>
      <c r="C509" s="105">
        <f t="shared" si="11"/>
        <v>77053.009999999995</v>
      </c>
      <c r="D509" s="105">
        <v>36921.879999999997</v>
      </c>
      <c r="E509" s="105">
        <v>1540.74</v>
      </c>
      <c r="F509" s="105">
        <v>2963.15</v>
      </c>
      <c r="G509" s="105">
        <v>302.27999999999997</v>
      </c>
      <c r="H509" s="105">
        <v>3454.25</v>
      </c>
      <c r="I509" s="105">
        <v>227.88</v>
      </c>
      <c r="J509" s="105">
        <v>25483</v>
      </c>
      <c r="K509" s="105">
        <v>4482.03</v>
      </c>
      <c r="L509" s="105">
        <v>749.7</v>
      </c>
      <c r="M509" s="105">
        <v>14</v>
      </c>
      <c r="N509" s="105">
        <v>570</v>
      </c>
      <c r="O509" s="105">
        <v>309.10000000000002</v>
      </c>
      <c r="P509" s="119">
        <v>35</v>
      </c>
    </row>
    <row r="510" spans="1:16" x14ac:dyDescent="0.3">
      <c r="A510" s="146"/>
      <c r="B510" s="94">
        <v>43800</v>
      </c>
      <c r="C510" s="105">
        <f t="shared" si="11"/>
        <v>42891.650000000009</v>
      </c>
      <c r="D510" s="105">
        <v>21521</v>
      </c>
      <c r="E510" s="105">
        <v>4390.99</v>
      </c>
      <c r="F510" s="105">
        <v>3145.46</v>
      </c>
      <c r="G510" s="105">
        <v>249.31</v>
      </c>
      <c r="H510" s="105">
        <v>1274.74</v>
      </c>
      <c r="I510" s="105">
        <v>123.88</v>
      </c>
      <c r="J510" s="105">
        <v>6585</v>
      </c>
      <c r="K510" s="105">
        <v>3770.86</v>
      </c>
      <c r="L510" s="105">
        <v>839.7</v>
      </c>
      <c r="M510" s="105">
        <v>-18.45</v>
      </c>
      <c r="N510" s="105">
        <v>690</v>
      </c>
      <c r="O510" s="105">
        <v>69.16</v>
      </c>
      <c r="P510" s="119">
        <v>250</v>
      </c>
    </row>
    <row r="511" spans="1:16" x14ac:dyDescent="0.3">
      <c r="A511" s="146"/>
      <c r="B511" s="94">
        <v>43831</v>
      </c>
      <c r="C511" s="105">
        <f t="shared" si="11"/>
        <v>60632.78</v>
      </c>
      <c r="D511" s="105">
        <v>22844.69</v>
      </c>
      <c r="E511" s="105">
        <v>4270.1400000000003</v>
      </c>
      <c r="F511" s="105">
        <v>1851.88</v>
      </c>
      <c r="G511" s="105">
        <v>218.84</v>
      </c>
      <c r="H511" s="105">
        <v>2930.52</v>
      </c>
      <c r="I511" s="105">
        <v>171.47</v>
      </c>
      <c r="J511" s="105">
        <v>23097</v>
      </c>
      <c r="K511" s="105">
        <v>3997.88</v>
      </c>
      <c r="L511" s="105">
        <v>299.39999999999998</v>
      </c>
      <c r="M511" s="105">
        <v>7</v>
      </c>
      <c r="N511" s="105">
        <v>725</v>
      </c>
      <c r="O511" s="105">
        <v>98.96</v>
      </c>
      <c r="P511" s="119">
        <v>120</v>
      </c>
    </row>
    <row r="512" spans="1:16" x14ac:dyDescent="0.3">
      <c r="A512" s="146"/>
      <c r="B512" s="94">
        <v>43862</v>
      </c>
      <c r="C512" s="105">
        <f t="shared" si="11"/>
        <v>39855.379999999997</v>
      </c>
      <c r="D512" s="105">
        <v>21810.31</v>
      </c>
      <c r="E512" s="105">
        <v>664.44</v>
      </c>
      <c r="F512" s="105">
        <v>2439.58</v>
      </c>
      <c r="G512" s="105">
        <v>55.39</v>
      </c>
      <c r="H512" s="105">
        <v>917</v>
      </c>
      <c r="I512" s="105">
        <v>4.0999999999999996</v>
      </c>
      <c r="J512" s="105">
        <v>9217</v>
      </c>
      <c r="K512" s="105">
        <v>3194.82</v>
      </c>
      <c r="L512" s="105">
        <v>229.99</v>
      </c>
      <c r="M512" s="105">
        <v>90.2</v>
      </c>
      <c r="N512" s="105">
        <v>345</v>
      </c>
      <c r="O512" s="105">
        <v>492.55</v>
      </c>
      <c r="P512" s="119">
        <v>395</v>
      </c>
    </row>
    <row r="513" spans="1:16" x14ac:dyDescent="0.3">
      <c r="A513" s="146"/>
      <c r="B513" s="94">
        <v>43891</v>
      </c>
      <c r="C513" s="105">
        <f t="shared" si="11"/>
        <v>48101.88</v>
      </c>
      <c r="D513" s="105">
        <v>47179</v>
      </c>
      <c r="E513" s="105"/>
      <c r="F513" s="105"/>
      <c r="G513" s="105"/>
      <c r="H513" s="105">
        <v>644</v>
      </c>
      <c r="I513" s="105"/>
      <c r="J513" s="105"/>
      <c r="K513" s="105">
        <v>148.88</v>
      </c>
      <c r="L513" s="105">
        <v>130</v>
      </c>
      <c r="M513" s="105"/>
      <c r="N513" s="105"/>
      <c r="O513" s="105"/>
      <c r="P513" s="119"/>
    </row>
    <row r="514" spans="1:16" x14ac:dyDescent="0.3">
      <c r="A514" s="146"/>
      <c r="B514" s="94">
        <v>43922</v>
      </c>
      <c r="C514" s="105">
        <f t="shared" si="11"/>
        <v>26078.85</v>
      </c>
      <c r="D514" s="105">
        <v>23037.85</v>
      </c>
      <c r="E514" s="105"/>
      <c r="F514" s="105"/>
      <c r="G514" s="105"/>
      <c r="H514" s="105">
        <v>1560</v>
      </c>
      <c r="I514" s="105">
        <v>1400</v>
      </c>
      <c r="J514" s="105">
        <v>1512</v>
      </c>
      <c r="K514" s="105"/>
      <c r="L514" s="105">
        <v>120</v>
      </c>
      <c r="M514" s="105">
        <v>-1551</v>
      </c>
      <c r="N514" s="105"/>
      <c r="O514" s="105"/>
      <c r="P514" s="119"/>
    </row>
    <row r="515" spans="1:16" x14ac:dyDescent="0.3">
      <c r="A515" s="146"/>
      <c r="B515" s="94">
        <v>43952</v>
      </c>
      <c r="C515" s="92">
        <f t="shared" si="11"/>
        <v>26981.699999999997</v>
      </c>
      <c r="D515" s="92">
        <v>19003.46</v>
      </c>
      <c r="E515" s="92">
        <v>1300</v>
      </c>
      <c r="H515" s="92">
        <v>5494.05</v>
      </c>
      <c r="J515" s="92">
        <v>210</v>
      </c>
      <c r="K515" s="92">
        <v>415.5</v>
      </c>
      <c r="L515" s="92">
        <v>528.69000000000005</v>
      </c>
      <c r="M515" s="92">
        <v>30</v>
      </c>
    </row>
    <row r="516" spans="1:16" x14ac:dyDescent="0.3">
      <c r="A516" s="146"/>
      <c r="B516" s="94">
        <v>43983</v>
      </c>
      <c r="C516" s="92">
        <f t="shared" si="11"/>
        <v>41834.39</v>
      </c>
      <c r="D516" s="109">
        <v>41031.39</v>
      </c>
      <c r="E516" s="109">
        <v>240</v>
      </c>
      <c r="F516" s="109">
        <v>56.2</v>
      </c>
      <c r="G516" s="109"/>
      <c r="H516" s="109">
        <v>216</v>
      </c>
      <c r="I516" s="109"/>
      <c r="J516" s="109"/>
      <c r="K516" s="109">
        <v>195.8</v>
      </c>
      <c r="L516" s="109"/>
      <c r="M516" s="109"/>
      <c r="N516" s="109"/>
      <c r="O516" s="109"/>
      <c r="P516" s="121">
        <v>95</v>
      </c>
    </row>
    <row r="517" spans="1:16" x14ac:dyDescent="0.3">
      <c r="A517" s="146"/>
      <c r="B517" s="94">
        <v>44013</v>
      </c>
      <c r="C517" s="92">
        <f t="shared" si="11"/>
        <v>18948.66</v>
      </c>
      <c r="D517" s="109">
        <v>14481.96</v>
      </c>
      <c r="E517" s="109"/>
      <c r="F517" s="109"/>
      <c r="G517" s="109"/>
      <c r="H517" s="109">
        <v>940.28</v>
      </c>
      <c r="I517" s="109"/>
      <c r="J517" s="109"/>
      <c r="K517" s="109">
        <v>1506.42</v>
      </c>
      <c r="L517" s="109">
        <v>120</v>
      </c>
      <c r="M517" s="109"/>
      <c r="N517" s="109">
        <v>1900</v>
      </c>
      <c r="O517" s="109"/>
      <c r="P517" s="121"/>
    </row>
    <row r="518" spans="1:16" x14ac:dyDescent="0.3">
      <c r="A518" s="146"/>
      <c r="B518" s="94">
        <v>44044</v>
      </c>
      <c r="C518" s="92">
        <f t="shared" si="11"/>
        <v>26835.609999999997</v>
      </c>
      <c r="D518" s="109">
        <v>26426.87</v>
      </c>
      <c r="E518" s="109"/>
      <c r="F518" s="109">
        <v>63.64</v>
      </c>
      <c r="G518" s="109"/>
      <c r="H518" s="109"/>
      <c r="I518" s="109"/>
      <c r="J518" s="109"/>
      <c r="K518" s="109">
        <v>328.6</v>
      </c>
      <c r="L518" s="109"/>
      <c r="M518" s="109">
        <v>16.5</v>
      </c>
      <c r="N518" s="109"/>
      <c r="O518" s="109"/>
      <c r="P518" s="121"/>
    </row>
    <row r="519" spans="1:16" x14ac:dyDescent="0.3">
      <c r="A519" s="146"/>
      <c r="B519" s="94">
        <v>44075</v>
      </c>
      <c r="C519" s="92">
        <f t="shared" si="11"/>
        <v>58729.839999999989</v>
      </c>
      <c r="D519" s="110">
        <v>31850.84</v>
      </c>
      <c r="E519" s="110">
        <v>4775.47</v>
      </c>
      <c r="F519" s="110">
        <v>2291.38</v>
      </c>
      <c r="G519" s="110">
        <v>240.03</v>
      </c>
      <c r="H519" s="110">
        <v>1815.8</v>
      </c>
      <c r="I519" s="110">
        <v>21.6</v>
      </c>
      <c r="J519" s="110">
        <v>4953</v>
      </c>
      <c r="K519" s="110">
        <v>5202.9799999999996</v>
      </c>
      <c r="L519" s="110">
        <v>801.17</v>
      </c>
      <c r="M519" s="110">
        <v>-432.97</v>
      </c>
      <c r="N519" s="110">
        <v>440</v>
      </c>
      <c r="O519" s="110">
        <v>6770.54</v>
      </c>
      <c r="P519" s="122"/>
    </row>
    <row r="520" spans="1:16" x14ac:dyDescent="0.3">
      <c r="A520" s="146"/>
      <c r="B520" s="94">
        <v>44105</v>
      </c>
      <c r="C520" s="92">
        <f t="shared" si="11"/>
        <v>42681.860000000008</v>
      </c>
      <c r="D520" s="110">
        <v>31583.42</v>
      </c>
      <c r="E520" s="110">
        <v>873.83</v>
      </c>
      <c r="F520" s="110">
        <v>1957.58</v>
      </c>
      <c r="G520" s="110">
        <v>176.91</v>
      </c>
      <c r="H520" s="110">
        <v>171.83</v>
      </c>
      <c r="I520" s="110">
        <v>1813.81</v>
      </c>
      <c r="J520" s="110">
        <v>-1426.5</v>
      </c>
      <c r="K520" s="110">
        <v>5803.46</v>
      </c>
      <c r="L520" s="110">
        <v>564.6</v>
      </c>
      <c r="M520" s="110">
        <v>-464.24</v>
      </c>
      <c r="N520" s="110">
        <v>345</v>
      </c>
      <c r="O520" s="111">
        <v>1282.1600000000001</v>
      </c>
      <c r="P520" s="122"/>
    </row>
    <row r="521" spans="1:16" x14ac:dyDescent="0.3">
      <c r="A521" s="146"/>
      <c r="B521" s="94">
        <v>44136</v>
      </c>
      <c r="C521" s="105">
        <f t="shared" si="11"/>
        <v>66712.59</v>
      </c>
      <c r="D521" s="110">
        <v>41905.89</v>
      </c>
      <c r="E521" s="110">
        <v>445.92</v>
      </c>
      <c r="F521" s="110">
        <v>1533.65</v>
      </c>
      <c r="G521" s="110">
        <v>1329.84</v>
      </c>
      <c r="H521" s="110"/>
      <c r="I521" s="110"/>
      <c r="J521" s="110">
        <v>5743</v>
      </c>
      <c r="K521" s="110">
        <v>7425.34</v>
      </c>
      <c r="L521" s="110">
        <v>1308.6300000000001</v>
      </c>
      <c r="M521" s="110">
        <v>190</v>
      </c>
      <c r="N521" s="110"/>
      <c r="O521" s="110">
        <v>6830.32</v>
      </c>
      <c r="P521" s="122"/>
    </row>
    <row r="522" spans="1:16" x14ac:dyDescent="0.3">
      <c r="A522" s="146"/>
      <c r="B522" s="94">
        <v>44166</v>
      </c>
      <c r="C522" s="105">
        <f t="shared" si="11"/>
        <v>52141.7</v>
      </c>
      <c r="D522" s="110">
        <v>23512.55</v>
      </c>
      <c r="E522" s="110">
        <v>149.38999999999999</v>
      </c>
      <c r="F522" s="110">
        <v>3481.49</v>
      </c>
      <c r="G522" s="110">
        <v>83.19</v>
      </c>
      <c r="H522" s="110">
        <v>232.63</v>
      </c>
      <c r="I522" s="110">
        <v>1271.26</v>
      </c>
      <c r="J522" s="110">
        <v>20546.25</v>
      </c>
      <c r="K522" s="110">
        <v>3629.82</v>
      </c>
      <c r="L522" s="110">
        <v>407.05</v>
      </c>
      <c r="M522" s="110">
        <v>-1171.93</v>
      </c>
      <c r="N522" s="110"/>
      <c r="O522" s="110"/>
      <c r="P522" s="122"/>
    </row>
    <row r="523" spans="1:16" x14ac:dyDescent="0.3">
      <c r="A523" s="146"/>
      <c r="B523" s="94">
        <v>44197</v>
      </c>
      <c r="C523" s="105">
        <f t="shared" si="11"/>
        <v>53724.26999999999</v>
      </c>
      <c r="D523" s="110">
        <v>24041.75</v>
      </c>
      <c r="E523" s="110">
        <v>599.36</v>
      </c>
      <c r="F523" s="110">
        <v>3511.99</v>
      </c>
      <c r="G523" s="110">
        <v>142.44</v>
      </c>
      <c r="H523" s="110">
        <v>21295</v>
      </c>
      <c r="I523" s="110"/>
      <c r="J523" s="110">
        <v>1384</v>
      </c>
      <c r="K523" s="110">
        <v>2359.39</v>
      </c>
      <c r="L523" s="110">
        <v>363.59</v>
      </c>
      <c r="M523" s="110">
        <v>26.75</v>
      </c>
      <c r="N523" s="110"/>
      <c r="O523" s="110"/>
      <c r="P523" s="122"/>
    </row>
    <row r="524" spans="1:16" x14ac:dyDescent="0.3">
      <c r="A524" s="146"/>
      <c r="B524" s="94">
        <v>44228</v>
      </c>
      <c r="C524" s="105">
        <f t="shared" ref="C524:C530" si="12">SUM(D524:P524)</f>
        <v>137942.78</v>
      </c>
      <c r="D524" s="110">
        <v>24268.09</v>
      </c>
      <c r="E524" s="110">
        <v>1367.07</v>
      </c>
      <c r="F524" s="110">
        <v>3919.83</v>
      </c>
      <c r="G524" s="110">
        <v>96.6</v>
      </c>
      <c r="H524" s="110">
        <v>25765.8</v>
      </c>
      <c r="I524" s="110">
        <v>921.58</v>
      </c>
      <c r="J524" s="110">
        <v>66107.850000000006</v>
      </c>
      <c r="K524" s="110">
        <v>5394.71</v>
      </c>
      <c r="L524" s="110">
        <v>9450.9500000000007</v>
      </c>
      <c r="M524" s="110">
        <v>305.3</v>
      </c>
      <c r="N524" s="110">
        <v>345</v>
      </c>
      <c r="O524" s="110"/>
      <c r="P524" s="122"/>
    </row>
    <row r="525" spans="1:16" x14ac:dyDescent="0.3">
      <c r="A525" s="146"/>
      <c r="B525" s="94">
        <v>44256</v>
      </c>
      <c r="C525" s="105">
        <f t="shared" si="12"/>
        <v>64929.760000000002</v>
      </c>
      <c r="D525" s="110">
        <v>17307.2</v>
      </c>
      <c r="E525" s="110">
        <v>1257.8399999999999</v>
      </c>
      <c r="F525" s="110">
        <v>9258.7199999999993</v>
      </c>
      <c r="G525" s="110">
        <v>98.83</v>
      </c>
      <c r="H525" s="110">
        <v>439.36</v>
      </c>
      <c r="I525" s="110">
        <v>1221.4000000000001</v>
      </c>
      <c r="J525" s="110">
        <v>28002.5</v>
      </c>
      <c r="K525" s="110">
        <v>4376.42</v>
      </c>
      <c r="L525" s="110">
        <v>609.49</v>
      </c>
      <c r="M525" s="110">
        <v>602.54999999999995</v>
      </c>
      <c r="N525" s="110">
        <v>1690</v>
      </c>
      <c r="O525" s="110"/>
      <c r="P525" s="110">
        <v>65.45</v>
      </c>
    </row>
    <row r="526" spans="1:16" x14ac:dyDescent="0.3">
      <c r="A526" s="146"/>
      <c r="B526" s="94">
        <v>44287</v>
      </c>
      <c r="C526" s="105">
        <f t="shared" si="12"/>
        <v>41962.21</v>
      </c>
      <c r="D526" s="110">
        <v>18390.169999999998</v>
      </c>
      <c r="E526" s="110">
        <v>1990.51</v>
      </c>
      <c r="F526" s="110">
        <v>5295.02</v>
      </c>
      <c r="G526" s="110">
        <v>272.36</v>
      </c>
      <c r="H526" s="110">
        <v>918.4</v>
      </c>
      <c r="I526" s="110">
        <v>51.07</v>
      </c>
      <c r="J526" s="110">
        <v>7140</v>
      </c>
      <c r="K526" s="110">
        <v>6140.82</v>
      </c>
      <c r="L526" s="110">
        <v>1253.31</v>
      </c>
      <c r="M526" s="110">
        <v>115.55</v>
      </c>
      <c r="N526" s="110">
        <v>395</v>
      </c>
      <c r="O526" s="110"/>
      <c r="P526" s="110"/>
    </row>
    <row r="527" spans="1:16" x14ac:dyDescent="0.3">
      <c r="A527" s="146"/>
      <c r="B527" s="94">
        <v>44317</v>
      </c>
      <c r="C527" s="105">
        <f t="shared" si="12"/>
        <v>70068.86</v>
      </c>
      <c r="D527" s="110">
        <v>20053.490000000002</v>
      </c>
      <c r="E527" s="110">
        <v>5250.36</v>
      </c>
      <c r="F527" s="110">
        <v>1136.5999999999999</v>
      </c>
      <c r="G527" s="110">
        <v>118.72</v>
      </c>
      <c r="H527" s="110">
        <v>21764.5</v>
      </c>
      <c r="I527" s="110">
        <v>134.47999999999999</v>
      </c>
      <c r="J527" s="110">
        <v>16404</v>
      </c>
      <c r="K527" s="110">
        <v>3857.59</v>
      </c>
      <c r="L527" s="110">
        <v>876.37</v>
      </c>
      <c r="M527" s="110">
        <v>61.25</v>
      </c>
      <c r="N527" s="110">
        <v>395</v>
      </c>
      <c r="O527" s="110"/>
      <c r="P527" s="110">
        <v>16.5</v>
      </c>
    </row>
    <row r="528" spans="1:16" x14ac:dyDescent="0.3">
      <c r="A528" s="146"/>
      <c r="B528" s="94">
        <v>44348</v>
      </c>
      <c r="C528" s="105">
        <f t="shared" si="12"/>
        <v>65018.73</v>
      </c>
      <c r="D528" s="110">
        <v>16007.43</v>
      </c>
      <c r="E528" s="110">
        <v>2151.5100000000002</v>
      </c>
      <c r="F528" s="110">
        <v>3456.23</v>
      </c>
      <c r="G528" s="110">
        <v>286.88</v>
      </c>
      <c r="H528" s="110">
        <v>1946.95</v>
      </c>
      <c r="I528" s="110">
        <v>183.86</v>
      </c>
      <c r="J528" s="110">
        <v>35162</v>
      </c>
      <c r="K528" s="110">
        <v>3745.07</v>
      </c>
      <c r="L528" s="110">
        <v>1499.8</v>
      </c>
      <c r="M528" s="110">
        <v>44</v>
      </c>
      <c r="N528" s="110">
        <v>395</v>
      </c>
      <c r="O528" s="110"/>
      <c r="P528" s="110">
        <v>140</v>
      </c>
    </row>
    <row r="529" spans="1:17" x14ac:dyDescent="0.3">
      <c r="A529" s="146"/>
      <c r="B529" s="94">
        <v>44378</v>
      </c>
      <c r="C529" s="105">
        <f t="shared" si="12"/>
        <v>62395.509999999995</v>
      </c>
      <c r="D529" s="110">
        <v>32265.85</v>
      </c>
      <c r="E529" s="110">
        <v>378.82</v>
      </c>
      <c r="F529" s="110">
        <v>6383.4</v>
      </c>
      <c r="G529" s="110">
        <v>322.39</v>
      </c>
      <c r="H529" s="110"/>
      <c r="I529" s="110">
        <v>396.29</v>
      </c>
      <c r="J529" s="110">
        <v>9356</v>
      </c>
      <c r="K529" s="110">
        <v>11055.63</v>
      </c>
      <c r="L529" s="110">
        <v>1027.18</v>
      </c>
      <c r="M529" s="110">
        <v>1189.95</v>
      </c>
      <c r="N529" s="110"/>
      <c r="O529" s="110"/>
      <c r="P529" s="110">
        <v>20</v>
      </c>
    </row>
    <row r="530" spans="1:17" x14ac:dyDescent="0.3">
      <c r="A530" s="146"/>
      <c r="B530" s="94">
        <v>44409</v>
      </c>
      <c r="C530" s="105">
        <f t="shared" si="12"/>
        <v>11773.960000000001</v>
      </c>
      <c r="D530" s="110">
        <v>7456.74</v>
      </c>
      <c r="E530" s="110">
        <v>315.48</v>
      </c>
      <c r="F530" s="110">
        <v>745.19</v>
      </c>
      <c r="G530" s="110">
        <v>203.91</v>
      </c>
      <c r="H530" s="110">
        <v>101.91</v>
      </c>
      <c r="I530" s="110">
        <v>92.7</v>
      </c>
      <c r="J530" s="110"/>
      <c r="K530" s="110">
        <v>1612.29</v>
      </c>
      <c r="L530" s="110">
        <v>356.99</v>
      </c>
      <c r="M530" s="110">
        <v>8.75</v>
      </c>
      <c r="N530" s="110">
        <v>790</v>
      </c>
      <c r="O530" s="110"/>
      <c r="P530" s="110">
        <v>90</v>
      </c>
    </row>
    <row r="531" spans="1:17" x14ac:dyDescent="0.3">
      <c r="A531" s="146"/>
      <c r="B531" s="94">
        <v>44440</v>
      </c>
      <c r="C531" s="105">
        <f t="shared" ref="C531:C536" si="13">SUM(D531:P531)</f>
        <v>69582.570000000022</v>
      </c>
      <c r="D531" s="105">
        <f>GETPIVOTDATA("CA",[1]Feuil1!$A$1,"Agence","Mesnil","Catégorie","Petit Format Couleur")</f>
        <v>18508.7</v>
      </c>
      <c r="E531" s="105">
        <f>GETPIVOTDATA("CA",[1]Feuil1!$A$1,"Agence","Mesnil","Catégorie","Petit Format N&amp;B")</f>
        <v>1139.1600000000001</v>
      </c>
      <c r="F531" s="105">
        <f>GETPIVOTDATA("CA",[1]Feuil1!$A$1,"Agence","Mesnil","Catégorie","Grand Format Couleur")</f>
        <v>2067.6999999999998</v>
      </c>
      <c r="G531" s="105">
        <f>GETPIVOTDATA("CA",[1]Feuil1!$A$1,"Agence","Mesnil","Catégorie","Grand Format n&amp;b")</f>
        <v>197.11</v>
      </c>
      <c r="H531" s="105">
        <f>GETPIVOTDATA("CA",[1]Feuil1!$A$1,"Agence","Mesnil","Catégorie","imagerie")</f>
        <v>398.54</v>
      </c>
      <c r="I531" s="105">
        <f>GETPIVOTDATA("CA",[1]Feuil1!$A$1,"Agence","Mesnil","Catégorie","Numérisation")</f>
        <v>444.98</v>
      </c>
      <c r="J531" s="105">
        <f>GETPIVOTDATA("CA",[1]Feuil1!$A$1,"Agence","Mesnil","Catégorie","Sous Traitance")</f>
        <v>40725</v>
      </c>
      <c r="K531" s="105">
        <f>GETPIVOTDATA("CA",[1]Feuil1!$A$1,"Agence","Mesnil","Catégorie","finition")</f>
        <v>5331.46</v>
      </c>
      <c r="L531" s="105">
        <f>GETPIVOTDATA("CA",[1]Feuil1!$A$1,"Agence","Mesnil","Catégorie","Livraison")</f>
        <v>687.57</v>
      </c>
      <c r="M531" s="105">
        <f>GETPIVOTDATA("CA",[1]Feuil1!$A$1,"Agence","Mesnil","Catégorie","divers")</f>
        <v>22.35</v>
      </c>
      <c r="N531" s="105">
        <f>GETPIVOTDATA("CA",[1]Feuil1!$A$1,"Agence","Mesnil","Catégorie","Cross Media")</f>
        <v>0</v>
      </c>
      <c r="O531" s="105">
        <f>GETPIVOTDATA("CA",[1]Feuil1!$A$1,"Agence","Mesnil","Catégorie","affranchissement")</f>
        <v>0</v>
      </c>
      <c r="P531" s="105">
        <f>GETPIVOTDATA("CA",[1]Feuil1!$A$1,"Agence","Mesnil","Catégorie","STUDIO GRAPHIQUE")</f>
        <v>60</v>
      </c>
      <c r="Q531" s="105"/>
    </row>
    <row r="532" spans="1:17" x14ac:dyDescent="0.3">
      <c r="A532" s="146"/>
      <c r="B532" s="94">
        <v>44470</v>
      </c>
      <c r="C532" s="105">
        <f t="shared" si="13"/>
        <v>51194.580000000009</v>
      </c>
      <c r="D532" s="110">
        <f>GETPIVOTDATA("CA",[2]Feuil1!$A$1,"Agence","Mesnil","Catégorie","Petit Format Couleur")</f>
        <v>28787.75</v>
      </c>
      <c r="E532" s="110">
        <f>GETPIVOTDATA("CA",[2]Feuil1!$A$1,"Agence","Mesnil","Catégorie","Petit Format N&amp;B")</f>
        <v>1498.24</v>
      </c>
      <c r="F532" s="110">
        <f>GETPIVOTDATA("CA",[2]Feuil1!$A$1,"Agence","Mesnil","Catégorie","Grand Format Couleur")</f>
        <v>6725.24</v>
      </c>
      <c r="G532" s="110">
        <f>GETPIVOTDATA("CA",[2]Feuil1!$A$1,"Agence","Mesnil","Catégorie","Grand Format n&amp;b")</f>
        <v>198.54</v>
      </c>
      <c r="H532" s="110">
        <f>GETPIVOTDATA("CA",[2]Feuil1!$A$1,"Agence","Mesnil","Catégorie","imagerie")</f>
        <v>1452.19</v>
      </c>
      <c r="I532" s="110">
        <f>GETPIVOTDATA("CA",[2]Feuil1!$A$1,"Agence","Mesnil","Catégorie","Numérisation")</f>
        <v>337.29</v>
      </c>
      <c r="J532" s="110">
        <f>GETPIVOTDATA("CA",[2]Feuil1!$A$1,"Agence","Mesnil","Catégorie","Sous Traitance")</f>
        <v>1768</v>
      </c>
      <c r="K532" s="110">
        <f>GETPIVOTDATA("CA",[2]Feuil1!$A$1,"Agence","Mesnil","Catégorie","finition")</f>
        <v>8129.7</v>
      </c>
      <c r="L532" s="110">
        <f>GETPIVOTDATA("CA",[2]Feuil1!$A$1,"Agence","Mesnil","Catégorie","Livraison")</f>
        <v>1578.08</v>
      </c>
      <c r="M532" s="110">
        <f>GETPIVOTDATA("CA",[2]Feuil1!$A$1,"Agence","Mesnil","Catégorie","divers")</f>
        <v>264.55</v>
      </c>
      <c r="N532" s="110">
        <f>GETPIVOTDATA("CA",[2]Feuil1!$A$1,"Agence","Mesnil","Catégorie","Cross Media")</f>
        <v>395</v>
      </c>
      <c r="O532" s="110">
        <f>GETPIVOTDATA("CA",[2]Feuil1!$A$1,"Agence","Mesnil","Catégorie","affranchissement")</f>
        <v>0</v>
      </c>
      <c r="P532" s="122">
        <f>GETPIVOTDATA("CA",[2]Feuil1!$A$1,"Agence","Mesnil","Catégorie","STUDIO GRAPHIQUE")</f>
        <v>60</v>
      </c>
    </row>
    <row r="533" spans="1:17" x14ac:dyDescent="0.3">
      <c r="A533" s="146"/>
      <c r="B533" s="94">
        <v>44501</v>
      </c>
      <c r="C533" s="105">
        <f t="shared" si="13"/>
        <v>36108.9</v>
      </c>
      <c r="D533" s="110">
        <f>GETPIVOTDATA("CA",[3]Feuil1!$A$1,"Agence","Mesnil","Catégorie","Petit Format Couleur")</f>
        <v>19670.25</v>
      </c>
      <c r="E533" s="110">
        <f>GETPIVOTDATA("CA",[3]Feuil1!$A$1,"Agence","Mesnil","Catégorie","Petit Format N&amp;B")</f>
        <v>1597.07</v>
      </c>
      <c r="F533" s="110">
        <f>GETPIVOTDATA("CA",[3]Feuil1!$A$1,"Agence","Mesnil","Catégorie","Grand Format Couleur")</f>
        <v>2390.58</v>
      </c>
      <c r="G533" s="110">
        <f>GETPIVOTDATA("CA",[3]Feuil1!$A$1,"Agence","Mesnil","Catégorie","Grand Format n&amp;b")</f>
        <v>102.26</v>
      </c>
      <c r="H533" s="110">
        <f>GETPIVOTDATA("CA",[3]Feuil1!$A$1,"Agence","Mesnil","Catégorie","imagerie")</f>
        <v>2729.48</v>
      </c>
      <c r="I533" s="110">
        <f>GETPIVOTDATA("CA",[3]Feuil1!$A$1,"Agence","Mesnil","Catégorie","Numérisation")</f>
        <v>420</v>
      </c>
      <c r="J533" s="110">
        <f>GETPIVOTDATA("CA",[3]Feuil1!$A$1,"Agence","Mesnil","Catégorie","Sous Traitance")</f>
        <v>3683.16</v>
      </c>
      <c r="K533" s="110">
        <f>GETPIVOTDATA("CA",[3]Feuil1!$A$1,"Agence","Mesnil","Catégorie","finition")</f>
        <v>3760.84</v>
      </c>
      <c r="L533" s="110">
        <f>GETPIVOTDATA("CA",[3]Feuil1!$A$1,"Agence","Mesnil","Catégorie","Livraison")</f>
        <v>1312.76</v>
      </c>
      <c r="M533" s="110">
        <f>GETPIVOTDATA("CA",[3]Feuil1!$A$1,"Agence","Mesnil","Catégorie","divers")</f>
        <v>57.5</v>
      </c>
      <c r="N533" s="110">
        <f>GETPIVOTDATA("CA",[3]Feuil1!$A$1,"Agence","Mesnil","Catégorie","Cross Media")</f>
        <v>295</v>
      </c>
      <c r="O533" s="110">
        <f>GETPIVOTDATA("CA",[3]Feuil1!$A$1,"Agence","Mesnil","Catégorie","affranchissement")</f>
        <v>0</v>
      </c>
      <c r="P533" s="122">
        <f>GETPIVOTDATA("CA",[3]Feuil1!$A$1,"Agence","Mesnil","Catégorie","STUDIO GRAPHIQUE")</f>
        <v>90</v>
      </c>
    </row>
    <row r="534" spans="1:17" x14ac:dyDescent="0.3">
      <c r="A534" s="146"/>
      <c r="B534" s="94">
        <v>44531</v>
      </c>
      <c r="C534" s="105">
        <f t="shared" si="13"/>
        <v>49026.340000000004</v>
      </c>
      <c r="D534" s="110">
        <f>GETPIVOTDATA("CA",[4]Feuil1!$A$1,"Agence","Mesnil","Catégorie","Petit Format Couleur")</f>
        <v>15007.61</v>
      </c>
      <c r="E534" s="110">
        <f>GETPIVOTDATA("CA",[4]Feuil1!$A$1,"Agence","Mesnil","Catégorie","Petit Format N&amp;B")</f>
        <v>638.62</v>
      </c>
      <c r="F534" s="110">
        <f>GETPIVOTDATA("CA",[4]Feuil1!$A$1,"Agence","Mesnil","Catégorie","Grand Format Couleur")</f>
        <v>3166.19</v>
      </c>
      <c r="G534" s="110">
        <f>GETPIVOTDATA("CA",[4]Feuil1!$A$1,"Agence","Mesnil","Catégorie","Grand Format n&amp;b")</f>
        <v>75.03</v>
      </c>
      <c r="H534" s="110">
        <f>GETPIVOTDATA("CA",[4]Feuil1!$A$1,"Agence","Mesnil","Catégorie","imagerie")</f>
        <v>3403.4</v>
      </c>
      <c r="I534" s="110">
        <f>GETPIVOTDATA("CA",[4]Feuil1!$A$1,"Agence","Mesnil","Catégorie","Numérisation")</f>
        <v>282.86</v>
      </c>
      <c r="J534" s="110">
        <f>GETPIVOTDATA("CA",[4]Feuil1!$A$1,"Agence","Mesnil","Catégorie","Sous Traitance")</f>
        <v>21760.080000000002</v>
      </c>
      <c r="K534" s="110">
        <f>GETPIVOTDATA("CA",[4]Feuil1!$A$1,"Agence","Mesnil","Catégorie","finition")</f>
        <v>3282.31</v>
      </c>
      <c r="L534" s="110">
        <f>GETPIVOTDATA("CA",[4]Feuil1!$A$1,"Agence","Mesnil","Catégorie","Livraison")</f>
        <v>1083.99</v>
      </c>
      <c r="M534" s="110">
        <f>GETPIVOTDATA("CA",[4]Feuil1!$A$1,"Agence","Mesnil","Catégorie","divers")</f>
        <v>131.25</v>
      </c>
      <c r="N534" s="110">
        <f>GETPIVOTDATA("CA",[4]Feuil1!$A$1,"Agence","Mesnil","Catégorie","Cross Media")</f>
        <v>0</v>
      </c>
      <c r="O534" s="110">
        <f>GETPIVOTDATA("CA",[4]Feuil1!$A$1,"Agence","Mesnil","Catégorie","affranchissement")</f>
        <v>0</v>
      </c>
      <c r="P534" s="122">
        <f>GETPIVOTDATA("CA",[4]Feuil1!$A$1,"Agence","Mesnil","Catégorie","STUDIO GRAPHIQUE")</f>
        <v>195</v>
      </c>
    </row>
    <row r="535" spans="1:17" x14ac:dyDescent="0.3">
      <c r="A535" s="146"/>
      <c r="B535" s="94">
        <v>44562</v>
      </c>
      <c r="C535" s="105">
        <f t="shared" si="13"/>
        <v>30497.139999999996</v>
      </c>
      <c r="D535" s="110">
        <f>GETPIVOTDATA("CA",[5]Feuil1!$A$1,"Agence","Mesnil","Catégorie","Petit Format Couleur")</f>
        <v>20060.189999999999</v>
      </c>
      <c r="E535" s="110">
        <f>GETPIVOTDATA("CA",[5]Feuil1!$A$1,"Agence","Mesnil","Catégorie","Petit Format N&amp;B")</f>
        <v>729.62</v>
      </c>
      <c r="F535" s="110">
        <f>GETPIVOTDATA("CA",[5]Feuil1!$A$1,"Agence","Mesnil","Catégorie","Grand Format Couleur")</f>
        <v>1248.94</v>
      </c>
      <c r="G535" s="110">
        <f>GETPIVOTDATA("CA",[5]Feuil1!$A$1,"Agence","Mesnil","Catégorie","Grand Format n&amp;b")</f>
        <v>43.59</v>
      </c>
      <c r="H535" s="110">
        <f>GETPIVOTDATA("CA",[5]Feuil1!$A$1,"Agence","Mesnil","Catégorie","imagerie")</f>
        <v>1130</v>
      </c>
      <c r="I535" s="110">
        <f>GETPIVOTDATA("CA",[5]Feuil1!$A$1,"Agence","Mesnil","Catégorie","Numérisation")</f>
        <v>6.05</v>
      </c>
      <c r="J535" s="110">
        <f>GETPIVOTDATA("CA",[5]Feuil1!$A$1,"Agence","Mesnil","Catégorie","Sous Traitance")</f>
        <v>3548.29</v>
      </c>
      <c r="K535" s="110">
        <f>GETPIVOTDATA("CA",[5]Feuil1!$A$1,"Agence","Mesnil","Catégorie","finition")</f>
        <v>2012.14</v>
      </c>
      <c r="L535" s="110">
        <f>GETPIVOTDATA("CA",[5]Feuil1!$A$1,"Agence","Mesnil","Catégorie","Livraison")</f>
        <v>1018.32</v>
      </c>
      <c r="M535" s="110">
        <f>GETPIVOTDATA("CA",[5]Feuil1!$A$1,"Agence","Mesnil","Catégorie","divers")</f>
        <v>610</v>
      </c>
      <c r="N535" s="110">
        <f>GETPIVOTDATA("CA",[5]Feuil1!$A$1,"Agence","Mesnil","Catégorie","Cross Media")</f>
        <v>0</v>
      </c>
      <c r="O535" s="110">
        <f>GETPIVOTDATA("CA",[5]Feuil1!$A$1,"Agence","Mesnil","Catégorie","affranchissement")</f>
        <v>0</v>
      </c>
      <c r="P535" s="122">
        <f>GETPIVOTDATA("CA",[5]Feuil1!$A$1,"Agence","Mesnil","Catégorie","STUDIO GRAPHIQUE")</f>
        <v>90</v>
      </c>
    </row>
    <row r="536" spans="1:17" x14ac:dyDescent="0.3">
      <c r="A536" s="146"/>
      <c r="B536" s="94">
        <v>44593</v>
      </c>
      <c r="C536" s="105">
        <f t="shared" si="13"/>
        <v>62188.329999999994</v>
      </c>
      <c r="D536" s="110">
        <f>GETPIVOTDATA("CA",[6]Feuil1!$A$1,"Agence","Mesnil","Catégorie","Petit Format Couleur")</f>
        <v>22355.96</v>
      </c>
      <c r="E536" s="110">
        <f>GETPIVOTDATA("CA",[6]Feuil1!$A$1,"Agence","Mesnil","Catégorie","Petit Format N&amp;B")</f>
        <v>679.55</v>
      </c>
      <c r="F536" s="110">
        <f>GETPIVOTDATA("CA",[6]Feuil1!$A$1,"Agence","Mesnil","Catégorie","Grand Format Couleur")</f>
        <v>4552.32</v>
      </c>
      <c r="G536" s="110">
        <f>GETPIVOTDATA("CA",[6]Feuil1!$A$1,"Agence","Mesnil","Catégorie","Grand Format n&amp;b")</f>
        <v>617.29999999999995</v>
      </c>
      <c r="H536" s="110">
        <f>GETPIVOTDATA("CA",[6]Feuil1!$A$1,"Agence","Mesnil","Catégorie","imagerie")</f>
        <v>127.5</v>
      </c>
      <c r="I536" s="110">
        <f>GETPIVOTDATA("CA",[6]Feuil1!$A$1,"Agence","Mesnil","Catégorie","Numérisation")</f>
        <v>50.9</v>
      </c>
      <c r="J536" s="110">
        <f>GETPIVOTDATA("CA",[6]Feuil1!$A$1,"Agence","Mesnil","Catégorie","Sous Traitance")</f>
        <v>21935</v>
      </c>
      <c r="K536" s="110">
        <f>GETPIVOTDATA("CA",[6]Feuil1!$A$1,"Agence","Mesnil","Catégorie","finition")</f>
        <v>7729.16</v>
      </c>
      <c r="L536" s="110">
        <f>GETPIVOTDATA("CA",[6]Feuil1!$A$1,"Agence","Mesnil","Catégorie","Livraison")</f>
        <v>1866.84</v>
      </c>
      <c r="M536" s="110">
        <f>GETPIVOTDATA("CA",[6]Feuil1!$A$1,"Agence","Mesnil","Catégorie","divers")</f>
        <v>204.95</v>
      </c>
      <c r="N536" s="110">
        <f>GETPIVOTDATA("CA",[6]Feuil1!$A$1,"Agence","Mesnil","Catégorie","Cross Media")</f>
        <v>605</v>
      </c>
      <c r="O536" s="110">
        <f>GETPIVOTDATA("CA",[6]Feuil1!$A$1,"Agence","Mesnil","Catégorie","affranchissement")</f>
        <v>1093.8499999999999</v>
      </c>
      <c r="P536" s="122">
        <f>GETPIVOTDATA("CA",[6]Feuil1!$A$1,"Agence","Mesnil","Catégorie","STUDIO GRAPHIQUE")</f>
        <v>370</v>
      </c>
    </row>
    <row r="537" spans="1:17" x14ac:dyDescent="0.3">
      <c r="A537" s="146"/>
      <c r="B537" s="94">
        <v>44621</v>
      </c>
      <c r="C537" s="105">
        <f>SUM(D537:P537)</f>
        <v>27392.759999999995</v>
      </c>
      <c r="D537" s="110">
        <f>GETPIVOTDATA("Montant",[7]Feuil1!$A$1,"Agence","Mesnil","Catégorie","Petit Format Couleur")</f>
        <v>12631.57</v>
      </c>
      <c r="E537" s="110">
        <f>GETPIVOTDATA("Montant",[7]Feuil1!$A$1,"Agence","Mesnil","Catégorie","Petit Format N&amp;B")</f>
        <v>17.21</v>
      </c>
      <c r="F537" s="110">
        <f>GETPIVOTDATA("Montant",[7]Feuil1!$A$1,"Agence","Mesnil","Catégorie","Grand Format Couleur")</f>
        <v>1605.48</v>
      </c>
      <c r="G537" s="110">
        <f>GETPIVOTDATA("Montant",[7]Feuil1!$A$1,"Agence","Mesnil","Catégorie","Grand Format n&amp;b")</f>
        <v>53.98</v>
      </c>
      <c r="H537" s="110">
        <f>GETPIVOTDATA("Montant",[7]Feuil1!$A$1,"Agence","Mesnil","Catégorie","imagerie")</f>
        <v>6048.24</v>
      </c>
      <c r="I537" s="110">
        <f>GETPIVOTDATA("Montant",[7]Feuil1!$A$1,"Agence","Mesnil","Catégorie","Numérisation")</f>
        <v>15.83</v>
      </c>
      <c r="J537" s="110">
        <f>GETPIVOTDATA("Montant",[7]Feuil1!$A$1,"Agence","Mesnil","Catégorie","Sous Traitance")</f>
        <v>1292</v>
      </c>
      <c r="K537" s="110">
        <f>GETPIVOTDATA("Montant",[7]Feuil1!$A$1,"Agence","Mesnil","Catégorie","finition")</f>
        <v>3674.42</v>
      </c>
      <c r="L537" s="110">
        <f>GETPIVOTDATA("Montant",[7]Feuil1!$A$1,"Agence","Mesnil","Catégorie","Livraison")</f>
        <v>1214.03</v>
      </c>
      <c r="M537" s="110">
        <f>GETPIVOTDATA("Montant",[7]Feuil1!$A$1,"Agence","Mesnil","Catégorie","divers")</f>
        <v>50</v>
      </c>
      <c r="N537" s="110">
        <f>GETPIVOTDATA("Montant",[7]Feuil1!$A$1,"Agence","Mesnil","Catégorie","Cross Media")</f>
        <v>295</v>
      </c>
      <c r="O537" s="110">
        <f>GETPIVOTDATA("Montant",[7]Feuil1!$A$1,"Agence","Mesnil","Catégorie","affranchissement")</f>
        <v>0</v>
      </c>
      <c r="P537" s="122">
        <f>GETPIVOTDATA("Montant",[7]Feuil1!$A$1,"Agence","Mesnil","Catégorie","STUDIO GRAPHIQUE")</f>
        <v>495</v>
      </c>
    </row>
    <row r="538" spans="1:17" x14ac:dyDescent="0.3">
      <c r="A538" s="146"/>
      <c r="B538" s="94">
        <v>44652</v>
      </c>
      <c r="C538" s="105">
        <f>SUM(D538:P538)</f>
        <v>39446.880000000005</v>
      </c>
      <c r="D538" s="110">
        <f>GETPIVOTDATA("CA",[8]Feuil1!$A$1,"Agence","Mesnil","Catégorie","Petit Format Couleur")</f>
        <v>19384.560000000001</v>
      </c>
      <c r="E538" s="110">
        <f>GETPIVOTDATA("CA",[8]Feuil1!$A$1,"Agence","Mesnil","Catégorie","Petit Format N&amp;B")</f>
        <v>1436.74</v>
      </c>
      <c r="F538" s="110">
        <f>GETPIVOTDATA("CA",[8]Feuil1!$A$1,"Agence","Mesnil","Catégorie","Grand Format Couleur")</f>
        <v>3585.16</v>
      </c>
      <c r="G538" s="110">
        <f>GETPIVOTDATA("CA",[8]Feuil1!$A$1,"Agence","Mesnil","Catégorie","Grand Format n&amp;b")</f>
        <v>47.19</v>
      </c>
      <c r="H538" s="110">
        <f>GETPIVOTDATA("CA",[8]Feuil1!$A$1,"Agence","Mesnil","Catégorie","imagerie")</f>
        <v>2597.5</v>
      </c>
      <c r="I538" s="110">
        <f>GETPIVOTDATA("CA",[8]Feuil1!$A$1,"Agence","Mesnil","Catégorie","Numérisation")</f>
        <v>96.5</v>
      </c>
      <c r="J538" s="110">
        <f>GETPIVOTDATA("CA",[8]Feuil1!$A$1,"Agence","Mesnil","Catégorie","Sous Traitance")</f>
        <v>4501</v>
      </c>
      <c r="K538" s="110">
        <f>GETPIVOTDATA("CA",[8]Feuil1!$A$1,"Agence","Mesnil","Catégorie","finition")</f>
        <v>5026.12</v>
      </c>
      <c r="L538" s="110">
        <f>GETPIVOTDATA("CA",[8]Feuil1!$A$1,"Agence","Mesnil","Catégorie","Livraison")</f>
        <v>1278.3599999999999</v>
      </c>
      <c r="M538" s="110">
        <f>GETPIVOTDATA("CA",[8]Feuil1!$A$1,"Agence","Mesnil","Catégorie","divers")</f>
        <v>1103.75</v>
      </c>
      <c r="N538" s="110">
        <v>0</v>
      </c>
      <c r="O538" s="110">
        <f>GETPIVOTDATA("CA",[8]Feuil1!$A$1,"Agence","Mesnil","Catégorie","affranchissement")</f>
        <v>0</v>
      </c>
      <c r="P538" s="122">
        <f>GETPIVOTDATA("CA",[8]Feuil1!$A$1,"Agence","Mesnil","Catégorie","STUDIO GRAPHIQUE")</f>
        <v>390</v>
      </c>
    </row>
    <row r="539" spans="1:17" x14ac:dyDescent="0.3">
      <c r="A539" s="146"/>
      <c r="B539" s="94">
        <v>44682</v>
      </c>
      <c r="C539" s="105">
        <f>SUM(D539:P539)</f>
        <v>62871.090000000011</v>
      </c>
      <c r="D539" s="110">
        <f>GETPIVOTDATA("CA",[9]Feuil1!$A$1,"Agence","Mesnil","Catégorie","Petit Format Couleur")</f>
        <v>22375.4</v>
      </c>
      <c r="E539" s="110">
        <f>GETPIVOTDATA("CA",[9]Feuil1!$A$1,"Agence","Mesnil","Catégorie","Petit Format N&amp;B")</f>
        <v>697.26</v>
      </c>
      <c r="F539" s="110">
        <f>GETPIVOTDATA("CA",[9]Feuil1!$A$1,"Agence","Mesnil","Catégorie","Grand Format Couleur")</f>
        <v>2267.4699999999998</v>
      </c>
      <c r="G539" s="110">
        <f>GETPIVOTDATA("CA",[9]Feuil1!$A$1,"Agence","Mesnil","Catégorie","Grand Format n&amp;b")</f>
        <v>31.46</v>
      </c>
      <c r="H539" s="110">
        <f>GETPIVOTDATA("CA",[9]Feuil1!$A$1,"Agence","Mesnil","Catégorie","imagerie")</f>
        <v>2806.44</v>
      </c>
      <c r="I539" s="110">
        <f>GETPIVOTDATA("CA",[9]Feuil1!$A$1,"Agence","Mesnil","Catégorie","Numérisation")</f>
        <v>24</v>
      </c>
      <c r="J539" s="110">
        <f>GETPIVOTDATA("CA",[9]Feuil1!$A$1,"Agence","Mesnil","Catégorie","Sous Traitance")</f>
        <v>23595.38</v>
      </c>
      <c r="K539" s="110">
        <f>GETPIVOTDATA("CA",[9]Feuil1!$A$1,"Agence","Mesnil","Catégorie","finition")</f>
        <v>3927.69</v>
      </c>
      <c r="L539" s="110">
        <f>GETPIVOTDATA("CA",[9]Feuil1!$A$1,"Agence","Mesnil","Catégorie","Livraison")</f>
        <v>1219.44</v>
      </c>
      <c r="M539" s="110">
        <f>GETPIVOTDATA("CA",[9]Feuil1!$A$1,"Agence","Mesnil","Catégorie","divers")</f>
        <v>1129.5</v>
      </c>
      <c r="N539" s="110">
        <f>GETPIVOTDATA("CA",[9]Feuil1!$A$1,"Agence","Mesnil","Catégorie","Cross Media")</f>
        <v>0</v>
      </c>
      <c r="O539" s="110">
        <f>GETPIVOTDATA("CA",[9]Feuil1!$A$1,"Agence","Mesnil","Catégorie","affranchissement")</f>
        <v>4347.05</v>
      </c>
      <c r="P539" s="122">
        <f>GETPIVOTDATA("CA",[9]Feuil1!$A$1,"Agence","Mesnil","Catégorie","STUDIO GRAPHIQUE")</f>
        <v>450</v>
      </c>
    </row>
    <row r="540" spans="1:17" x14ac:dyDescent="0.3">
      <c r="A540" s="146"/>
      <c r="B540" s="94">
        <v>44713</v>
      </c>
      <c r="C540" s="105">
        <f>SUM(D540:P540)</f>
        <v>32074.859999999997</v>
      </c>
      <c r="D540" s="110">
        <f>GETPIVOTDATA("Montant",[10]Feuil1!$A$1,"Agence","Mesnil","Catégorie","Petit Format Couleur")</f>
        <v>15730.49</v>
      </c>
      <c r="E540" s="110">
        <f>GETPIVOTDATA("Montant",[10]Feuil1!$A$1,"Agence","Mesnil","Catégorie","Petit Format N&amp;B")</f>
        <v>115.55</v>
      </c>
      <c r="F540" s="110">
        <f>GETPIVOTDATA("Montant",[10]Feuil1!$A$1,"Agence","Mesnil","Catégorie","Grand Format Couleur")</f>
        <v>1519.34</v>
      </c>
      <c r="G540" s="110">
        <f>GETPIVOTDATA("Montant",[10]Feuil1!$A$1,"Agence","Mesnil","Catégorie","Grand Format n&amp;b")</f>
        <v>269.58999999999997</v>
      </c>
      <c r="H540" s="110">
        <f>GETPIVOTDATA("Montant",[10]Feuil1!$A$1,"Agence","Mesnil","Catégorie","imagerie")</f>
        <v>2306.64</v>
      </c>
      <c r="I540" s="110">
        <f>GETPIVOTDATA("Montant",[10]Feuil1!$A$1,"Agence","Mesnil","Catégorie","Numérisation")</f>
        <v>15</v>
      </c>
      <c r="J540" s="110">
        <f>GETPIVOTDATA("Montant",[10]Feuil1!$A$1,"Agence","Mesnil","Catégorie","Sous Traitance")</f>
        <v>4536</v>
      </c>
      <c r="K540" s="110">
        <f>GETPIVOTDATA("Montant",[10]Feuil1!$A$1,"Agence","Mesnil","Catégorie","finition")</f>
        <v>4203.38</v>
      </c>
      <c r="L540" s="110">
        <f>GETPIVOTDATA("Montant",[10]Feuil1!$A$1,"Agence","Mesnil","Catégorie","Livraison")</f>
        <v>1794.37</v>
      </c>
      <c r="M540" s="110">
        <f>GETPIVOTDATA("Montant",[10]Feuil1!$A$1,"Agence","Mesnil","Catégorie","divers")</f>
        <v>1344.5</v>
      </c>
      <c r="N540" s="110">
        <f>GETPIVOTDATA("Montant",[10]Feuil1!$A$1,"Agence","Mesnil","Catégorie","Cross Media")</f>
        <v>0</v>
      </c>
      <c r="O540" s="110">
        <f>GETPIVOTDATA("Montant",[10]Feuil1!$A$1,"Agence","Mesnil","Catégorie","affranchissement")</f>
        <v>0</v>
      </c>
      <c r="P540" s="122">
        <f>GETPIVOTDATA("Montant",[10]Feuil1!$A$1,"Agence","Mesnil","Catégorie","STUDIO GRAPHIQUE")</f>
        <v>240</v>
      </c>
    </row>
    <row r="541" spans="1:17" x14ac:dyDescent="0.3">
      <c r="A541" s="146"/>
      <c r="B541" s="94">
        <v>44743</v>
      </c>
      <c r="C541" s="105"/>
      <c r="D541" s="110"/>
      <c r="E541" s="110"/>
      <c r="F541" s="110"/>
      <c r="G541" s="110"/>
      <c r="H541" s="110"/>
      <c r="I541" s="110"/>
      <c r="J541" s="110"/>
      <c r="K541" s="110"/>
      <c r="L541" s="110"/>
      <c r="M541" s="110"/>
      <c r="N541" s="110"/>
      <c r="O541" s="110"/>
      <c r="P541" s="122"/>
    </row>
    <row r="542" spans="1:17" x14ac:dyDescent="0.3">
      <c r="A542" s="146"/>
      <c r="B542" s="94">
        <v>44774</v>
      </c>
      <c r="C542" s="105"/>
      <c r="D542" s="110"/>
      <c r="E542" s="110"/>
      <c r="F542" s="110"/>
      <c r="G542" s="110"/>
      <c r="H542" s="110"/>
      <c r="I542" s="110"/>
      <c r="J542" s="110"/>
      <c r="K542" s="110"/>
      <c r="L542" s="110"/>
      <c r="M542" s="110"/>
      <c r="N542" s="110"/>
      <c r="O542" s="110"/>
      <c r="P542" s="122"/>
    </row>
    <row r="543" spans="1:17" x14ac:dyDescent="0.3">
      <c r="A543" s="146"/>
      <c r="B543" s="94">
        <v>44805</v>
      </c>
      <c r="C543" s="105"/>
      <c r="D543" s="110"/>
      <c r="E543" s="110"/>
      <c r="F543" s="110"/>
      <c r="G543" s="110"/>
      <c r="H543" s="110"/>
      <c r="I543" s="110"/>
      <c r="J543" s="110"/>
      <c r="K543" s="110"/>
      <c r="L543" s="110"/>
      <c r="M543" s="110"/>
      <c r="N543" s="110"/>
      <c r="O543" s="110"/>
      <c r="P543" s="122"/>
    </row>
    <row r="544" spans="1:17" x14ac:dyDescent="0.3">
      <c r="A544" s="146"/>
      <c r="B544" s="94">
        <v>44835</v>
      </c>
      <c r="C544" s="105"/>
      <c r="D544" s="110"/>
      <c r="E544" s="110"/>
      <c r="F544" s="110"/>
      <c r="G544" s="110"/>
      <c r="H544" s="110"/>
      <c r="I544" s="110"/>
      <c r="J544" s="110"/>
      <c r="K544" s="110"/>
      <c r="L544" s="110"/>
      <c r="M544" s="110"/>
      <c r="N544" s="110"/>
      <c r="O544" s="110"/>
      <c r="P544" s="122"/>
    </row>
    <row r="545" spans="1:16" x14ac:dyDescent="0.3">
      <c r="A545" s="146"/>
      <c r="B545" s="94">
        <v>44866</v>
      </c>
      <c r="C545" s="105"/>
      <c r="D545" s="110"/>
      <c r="E545" s="110"/>
      <c r="F545" s="110"/>
      <c r="G545" s="110"/>
      <c r="H545" s="110"/>
      <c r="I545" s="110"/>
      <c r="J545" s="110"/>
      <c r="K545" s="110"/>
      <c r="L545" s="110"/>
      <c r="M545" s="110"/>
      <c r="N545" s="110"/>
      <c r="O545" s="110"/>
      <c r="P545" s="122"/>
    </row>
    <row r="546" spans="1:16" x14ac:dyDescent="0.3">
      <c r="A546" s="146"/>
      <c r="B546" s="94">
        <v>44896</v>
      </c>
      <c r="C546" s="105"/>
      <c r="D546" s="110"/>
      <c r="E546" s="110"/>
      <c r="F546" s="110"/>
      <c r="G546" s="110"/>
      <c r="H546" s="110"/>
      <c r="I546" s="110"/>
      <c r="J546" s="110"/>
      <c r="K546" s="110"/>
      <c r="L546" s="110"/>
      <c r="M546" s="110"/>
      <c r="N546" s="110"/>
      <c r="O546" s="110"/>
      <c r="P546" s="122"/>
    </row>
    <row r="547" spans="1:16" s="134" customFormat="1" x14ac:dyDescent="0.3">
      <c r="A547" s="161"/>
      <c r="B547" s="130"/>
      <c r="C547" s="131"/>
      <c r="D547" s="132"/>
      <c r="E547" s="132"/>
      <c r="F547" s="132"/>
      <c r="G547" s="132"/>
      <c r="H547" s="132"/>
      <c r="I547" s="132"/>
      <c r="J547" s="132"/>
      <c r="K547" s="132"/>
      <c r="L547" s="132"/>
      <c r="M547" s="132"/>
      <c r="N547" s="132"/>
      <c r="O547" s="132"/>
      <c r="P547" s="133"/>
    </row>
    <row r="548" spans="1:16" ht="14.7" customHeight="1" x14ac:dyDescent="0.3">
      <c r="A548" s="160" t="s">
        <v>31</v>
      </c>
      <c r="B548" s="94">
        <v>41640</v>
      </c>
      <c r="C548" s="92">
        <f t="shared" si="11"/>
        <v>20898.190000000006</v>
      </c>
      <c r="D548" s="92">
        <v>7547.08</v>
      </c>
      <c r="E548" s="92">
        <v>9466.8000000000065</v>
      </c>
      <c r="F548" s="92">
        <v>0</v>
      </c>
      <c r="G548" s="92">
        <v>0</v>
      </c>
      <c r="H548" s="92">
        <v>190</v>
      </c>
      <c r="I548" s="92">
        <v>0</v>
      </c>
      <c r="J548" s="92">
        <v>0</v>
      </c>
      <c r="K548" s="92">
        <v>3634.3100000000004</v>
      </c>
      <c r="L548" s="92">
        <v>0</v>
      </c>
      <c r="M548" s="92">
        <v>60</v>
      </c>
      <c r="N548" s="92">
        <v>0</v>
      </c>
    </row>
    <row r="549" spans="1:16" x14ac:dyDescent="0.3">
      <c r="A549" s="146"/>
      <c r="B549" s="94">
        <v>41671</v>
      </c>
      <c r="C549" s="92">
        <f t="shared" si="11"/>
        <v>10319.92</v>
      </c>
      <c r="D549" s="92">
        <v>1964.8200000000004</v>
      </c>
      <c r="E549" s="92">
        <v>4400.2499999999991</v>
      </c>
      <c r="F549" s="92">
        <v>1.56</v>
      </c>
      <c r="G549" s="92">
        <v>0</v>
      </c>
      <c r="H549" s="92">
        <v>159.4</v>
      </c>
      <c r="I549" s="92">
        <v>0</v>
      </c>
      <c r="J549" s="92">
        <v>0</v>
      </c>
      <c r="K549" s="92">
        <v>3790.89</v>
      </c>
      <c r="L549" s="92">
        <v>0</v>
      </c>
      <c r="M549" s="92">
        <v>3</v>
      </c>
      <c r="N549" s="92">
        <v>0</v>
      </c>
    </row>
    <row r="550" spans="1:16" x14ac:dyDescent="0.3">
      <c r="A550" s="146"/>
      <c r="B550" s="94">
        <v>41699</v>
      </c>
      <c r="C550" s="92">
        <f t="shared" si="11"/>
        <v>11427.73</v>
      </c>
      <c r="D550" s="92">
        <v>3131.1899999999996</v>
      </c>
      <c r="E550" s="92">
        <v>5667.0800000000017</v>
      </c>
      <c r="F550" s="92">
        <v>42.66</v>
      </c>
      <c r="G550" s="92">
        <v>0</v>
      </c>
      <c r="H550" s="92">
        <v>33.400000000000006</v>
      </c>
      <c r="I550" s="92">
        <v>0</v>
      </c>
      <c r="J550" s="92">
        <v>0</v>
      </c>
      <c r="K550" s="92">
        <v>2528.3999999999987</v>
      </c>
      <c r="L550" s="92">
        <v>15</v>
      </c>
      <c r="M550" s="92">
        <v>10</v>
      </c>
      <c r="N550" s="92">
        <v>0</v>
      </c>
    </row>
    <row r="551" spans="1:16" x14ac:dyDescent="0.3">
      <c r="A551" s="146"/>
      <c r="B551" s="94">
        <v>41730</v>
      </c>
      <c r="C551" s="92">
        <f t="shared" si="11"/>
        <v>1870.34</v>
      </c>
      <c r="D551" s="92">
        <v>-149.25</v>
      </c>
      <c r="E551" s="92">
        <v>1347.76</v>
      </c>
      <c r="F551" s="92">
        <v>0</v>
      </c>
      <c r="G551" s="92">
        <v>0</v>
      </c>
      <c r="H551" s="92">
        <v>0</v>
      </c>
      <c r="I551" s="92">
        <v>0</v>
      </c>
      <c r="J551" s="92">
        <v>0</v>
      </c>
      <c r="K551" s="92">
        <v>711.74</v>
      </c>
      <c r="L551" s="92">
        <v>0</v>
      </c>
      <c r="M551" s="92">
        <v>-39.909999999999997</v>
      </c>
      <c r="N551" s="92">
        <v>0</v>
      </c>
    </row>
    <row r="552" spans="1:16" x14ac:dyDescent="0.3">
      <c r="A552" s="146"/>
      <c r="B552" s="94">
        <v>41760</v>
      </c>
      <c r="C552" s="92">
        <f t="shared" si="11"/>
        <v>3255.81</v>
      </c>
      <c r="D552" s="92">
        <v>846.40000000000009</v>
      </c>
      <c r="E552" s="92">
        <v>1580.6999999999998</v>
      </c>
      <c r="F552" s="92">
        <v>0</v>
      </c>
      <c r="G552" s="92">
        <v>0</v>
      </c>
      <c r="H552" s="92">
        <v>395</v>
      </c>
      <c r="I552" s="92">
        <v>0</v>
      </c>
      <c r="J552" s="92">
        <v>0</v>
      </c>
      <c r="K552" s="92">
        <v>456.54</v>
      </c>
      <c r="L552" s="92">
        <v>0</v>
      </c>
      <c r="M552" s="92">
        <v>-22.83</v>
      </c>
      <c r="N552" s="92">
        <v>0</v>
      </c>
    </row>
    <row r="553" spans="1:16" x14ac:dyDescent="0.3">
      <c r="A553" s="146"/>
      <c r="B553" s="94">
        <v>41791</v>
      </c>
      <c r="C553" s="92">
        <f t="shared" si="11"/>
        <v>7935.3700000000017</v>
      </c>
      <c r="D553" s="92">
        <v>3109.2100000000005</v>
      </c>
      <c r="E553" s="92">
        <v>2872.92</v>
      </c>
      <c r="F553" s="92">
        <v>387.09000000000003</v>
      </c>
      <c r="G553" s="92">
        <v>0</v>
      </c>
      <c r="H553" s="92">
        <v>230.86</v>
      </c>
      <c r="I553" s="92">
        <v>0</v>
      </c>
      <c r="J553" s="92">
        <v>0</v>
      </c>
      <c r="K553" s="92">
        <v>1385.9100000000003</v>
      </c>
      <c r="L553" s="92">
        <v>0</v>
      </c>
      <c r="M553" s="92">
        <v>-50.620000000000005</v>
      </c>
      <c r="N553" s="92">
        <v>0</v>
      </c>
    </row>
    <row r="554" spans="1:16" x14ac:dyDescent="0.3">
      <c r="A554" s="146"/>
      <c r="B554" s="94">
        <v>41821</v>
      </c>
      <c r="C554" s="92">
        <f t="shared" si="11"/>
        <v>3954.9</v>
      </c>
      <c r="D554" s="92">
        <v>881.3</v>
      </c>
      <c r="E554" s="92">
        <v>1000.2</v>
      </c>
      <c r="F554" s="92">
        <v>0</v>
      </c>
      <c r="G554" s="92">
        <v>0</v>
      </c>
      <c r="H554" s="92">
        <v>0</v>
      </c>
      <c r="I554" s="92">
        <v>0</v>
      </c>
      <c r="J554" s="92">
        <v>0</v>
      </c>
      <c r="K554" s="92">
        <v>2073.4</v>
      </c>
      <c r="L554" s="92">
        <v>0</v>
      </c>
      <c r="M554" s="92">
        <v>0</v>
      </c>
      <c r="N554" s="92">
        <v>0</v>
      </c>
    </row>
    <row r="555" spans="1:16" x14ac:dyDescent="0.3">
      <c r="A555" s="146"/>
      <c r="B555" s="94">
        <v>41852</v>
      </c>
      <c r="C555" s="92">
        <f t="shared" si="11"/>
        <v>2255.5499999999997</v>
      </c>
      <c r="D555" s="92">
        <v>17.28</v>
      </c>
      <c r="E555" s="92">
        <v>1834.08</v>
      </c>
      <c r="F555" s="92">
        <v>0</v>
      </c>
      <c r="G555" s="92">
        <v>0</v>
      </c>
      <c r="H555" s="92">
        <v>0</v>
      </c>
      <c r="I555" s="92">
        <v>0</v>
      </c>
      <c r="J555" s="92">
        <v>0</v>
      </c>
      <c r="K555" s="92">
        <v>404.19</v>
      </c>
      <c r="L555" s="92">
        <v>0</v>
      </c>
      <c r="M555" s="92">
        <v>0</v>
      </c>
      <c r="N555" s="92">
        <v>0</v>
      </c>
    </row>
    <row r="556" spans="1:16" x14ac:dyDescent="0.3">
      <c r="A556" s="146"/>
      <c r="B556" s="94">
        <v>41883</v>
      </c>
      <c r="C556" s="92">
        <f t="shared" si="11"/>
        <v>26482.820000000003</v>
      </c>
      <c r="D556" s="92">
        <v>7118.01</v>
      </c>
      <c r="E556" s="92">
        <v>15360.32</v>
      </c>
      <c r="F556" s="92">
        <v>50.34</v>
      </c>
      <c r="G556" s="92">
        <v>16.46</v>
      </c>
      <c r="H556" s="92">
        <v>149.4</v>
      </c>
      <c r="I556" s="92">
        <v>253.77000000000004</v>
      </c>
      <c r="J556" s="92">
        <v>0</v>
      </c>
      <c r="K556" s="92">
        <v>3474.5199999999995</v>
      </c>
      <c r="L556" s="92">
        <v>0</v>
      </c>
      <c r="M556" s="92">
        <v>60</v>
      </c>
      <c r="N556" s="92">
        <v>0</v>
      </c>
    </row>
    <row r="557" spans="1:16" x14ac:dyDescent="0.3">
      <c r="A557" s="146"/>
      <c r="B557" s="94">
        <v>41913</v>
      </c>
      <c r="C557" s="92">
        <f t="shared" si="11"/>
        <v>15247.97</v>
      </c>
      <c r="D557" s="92">
        <v>3176.17</v>
      </c>
      <c r="E557" s="92">
        <v>8592.68</v>
      </c>
      <c r="F557" s="92">
        <v>0</v>
      </c>
      <c r="G557" s="92">
        <v>0</v>
      </c>
      <c r="H557" s="92">
        <v>0</v>
      </c>
      <c r="I557" s="92">
        <v>0</v>
      </c>
      <c r="J557" s="92">
        <v>0</v>
      </c>
      <c r="K557" s="92">
        <v>3479.1199999999994</v>
      </c>
      <c r="L557" s="92">
        <v>0</v>
      </c>
      <c r="M557" s="92">
        <v>0</v>
      </c>
      <c r="N557" s="92">
        <v>0</v>
      </c>
    </row>
    <row r="558" spans="1:16" x14ac:dyDescent="0.3">
      <c r="A558" s="146"/>
      <c r="B558" s="94">
        <v>41944</v>
      </c>
      <c r="C558" s="92">
        <f t="shared" si="11"/>
        <v>14840.66</v>
      </c>
      <c r="D558" s="92">
        <v>4035.5399999999991</v>
      </c>
      <c r="E558" s="92">
        <v>7050.9800000000023</v>
      </c>
      <c r="F558" s="92">
        <v>67.88</v>
      </c>
      <c r="G558" s="92">
        <v>0</v>
      </c>
      <c r="H558" s="92">
        <v>71.099999999999994</v>
      </c>
      <c r="I558" s="92">
        <v>0</v>
      </c>
      <c r="J558" s="92">
        <v>0</v>
      </c>
      <c r="K558" s="92">
        <v>3615.1600000000003</v>
      </c>
      <c r="L558" s="92">
        <v>0</v>
      </c>
      <c r="M558" s="92">
        <v>0</v>
      </c>
      <c r="N558" s="92">
        <v>0</v>
      </c>
    </row>
    <row r="559" spans="1:16" x14ac:dyDescent="0.3">
      <c r="A559" s="146"/>
      <c r="B559" s="94">
        <v>41974</v>
      </c>
      <c r="C559" s="92">
        <f t="shared" si="11"/>
        <v>0</v>
      </c>
      <c r="D559" s="92">
        <v>0</v>
      </c>
      <c r="E559" s="92">
        <v>0</v>
      </c>
      <c r="F559" s="92">
        <v>0</v>
      </c>
      <c r="G559" s="92">
        <v>0</v>
      </c>
      <c r="H559" s="92">
        <v>0</v>
      </c>
      <c r="I559" s="92">
        <v>0</v>
      </c>
      <c r="J559" s="92">
        <v>0</v>
      </c>
      <c r="K559" s="92">
        <v>0</v>
      </c>
      <c r="L559" s="92">
        <v>0</v>
      </c>
      <c r="M559" s="92">
        <v>0</v>
      </c>
      <c r="N559" s="92">
        <v>0</v>
      </c>
    </row>
    <row r="560" spans="1:16" x14ac:dyDescent="0.3">
      <c r="A560" s="146"/>
      <c r="B560" s="94">
        <v>42005</v>
      </c>
      <c r="C560" s="92">
        <f t="shared" si="11"/>
        <v>22557.610000000004</v>
      </c>
      <c r="D560" s="92">
        <v>5035.050000000002</v>
      </c>
      <c r="E560" s="92">
        <v>13312.810000000003</v>
      </c>
      <c r="F560" s="92">
        <v>270</v>
      </c>
      <c r="G560" s="92">
        <v>0</v>
      </c>
      <c r="H560" s="92">
        <v>135.34</v>
      </c>
      <c r="I560" s="92">
        <v>0</v>
      </c>
      <c r="J560" s="92">
        <v>0</v>
      </c>
      <c r="K560" s="92">
        <v>3779.41</v>
      </c>
      <c r="L560" s="92">
        <v>25</v>
      </c>
      <c r="M560" s="92">
        <v>0</v>
      </c>
      <c r="N560" s="92">
        <v>0</v>
      </c>
    </row>
    <row r="561" spans="1:17" x14ac:dyDescent="0.3">
      <c r="A561" s="146"/>
      <c r="B561" s="94">
        <v>42036</v>
      </c>
      <c r="C561" s="92">
        <f t="shared" si="11"/>
        <v>7682.090000000002</v>
      </c>
      <c r="D561" s="104">
        <v>2047.0500000000004</v>
      </c>
      <c r="E561" s="103">
        <v>3791.0900000000006</v>
      </c>
      <c r="F561" s="92">
        <v>0</v>
      </c>
      <c r="G561" s="92">
        <v>0</v>
      </c>
      <c r="H561" s="103">
        <v>272.72000000000003</v>
      </c>
      <c r="I561" s="92">
        <v>0</v>
      </c>
      <c r="J561" s="92">
        <v>0</v>
      </c>
      <c r="K561" s="103">
        <v>1562.23</v>
      </c>
      <c r="L561" s="92">
        <v>0</v>
      </c>
      <c r="M561" s="103">
        <v>9</v>
      </c>
      <c r="N561" s="92">
        <v>0</v>
      </c>
      <c r="Q561" s="101"/>
    </row>
    <row r="562" spans="1:17" x14ac:dyDescent="0.3">
      <c r="A562" s="146"/>
      <c r="B562" s="94">
        <v>42064</v>
      </c>
      <c r="C562" s="92">
        <f t="shared" si="11"/>
        <v>21301.360000000001</v>
      </c>
      <c r="D562" s="92">
        <v>7732.4900000000007</v>
      </c>
      <c r="E562" s="92">
        <v>8150.89</v>
      </c>
      <c r="F562" s="92">
        <v>176.31</v>
      </c>
      <c r="G562" s="92">
        <v>0</v>
      </c>
      <c r="H562" s="92">
        <v>1669.95</v>
      </c>
      <c r="I562" s="92">
        <v>0</v>
      </c>
      <c r="J562" s="92">
        <v>0</v>
      </c>
      <c r="K562" s="92">
        <v>3571.7200000000003</v>
      </c>
      <c r="L562" s="92">
        <v>0</v>
      </c>
      <c r="M562" s="92">
        <v>0</v>
      </c>
      <c r="N562" s="92">
        <v>0</v>
      </c>
    </row>
    <row r="563" spans="1:17" x14ac:dyDescent="0.3">
      <c r="A563" s="146"/>
      <c r="B563" s="94">
        <v>42095</v>
      </c>
      <c r="C563" s="92">
        <f t="shared" si="11"/>
        <v>1905.1699999999998</v>
      </c>
      <c r="D563" s="92">
        <v>277.3</v>
      </c>
      <c r="E563" s="92">
        <v>1152.5199999999998</v>
      </c>
      <c r="F563" s="92">
        <v>0</v>
      </c>
      <c r="G563" s="92">
        <v>0</v>
      </c>
      <c r="H563" s="92">
        <v>0</v>
      </c>
      <c r="I563" s="92">
        <v>0</v>
      </c>
      <c r="J563" s="92">
        <v>0</v>
      </c>
      <c r="K563" s="92">
        <v>475.35000000000008</v>
      </c>
      <c r="L563" s="92">
        <v>0</v>
      </c>
      <c r="M563" s="92">
        <v>0</v>
      </c>
      <c r="N563" s="92">
        <v>0</v>
      </c>
    </row>
    <row r="564" spans="1:17" x14ac:dyDescent="0.3">
      <c r="A564" s="146"/>
      <c r="B564" s="94">
        <v>42125</v>
      </c>
      <c r="C564" s="92">
        <f t="shared" si="11"/>
        <v>4717.3599999999997</v>
      </c>
      <c r="D564" s="104">
        <v>1453.5800000000002</v>
      </c>
      <c r="E564" s="103">
        <v>2275.04</v>
      </c>
      <c r="F564" s="92">
        <v>0</v>
      </c>
      <c r="G564" s="92">
        <v>0</v>
      </c>
      <c r="H564" s="103">
        <v>153.25</v>
      </c>
      <c r="I564" s="92">
        <v>0</v>
      </c>
      <c r="J564" s="92">
        <v>0</v>
      </c>
      <c r="K564" s="103">
        <v>835.49</v>
      </c>
      <c r="L564" s="92">
        <v>0</v>
      </c>
      <c r="M564" s="92">
        <v>0</v>
      </c>
      <c r="N564" s="92">
        <v>0</v>
      </c>
      <c r="Q564" s="101"/>
    </row>
    <row r="565" spans="1:17" x14ac:dyDescent="0.3">
      <c r="A565" s="146"/>
      <c r="B565" s="94">
        <v>42156</v>
      </c>
      <c r="C565" s="92">
        <f t="shared" ref="C565:C630" si="14">SUM(D565:P565)</f>
        <v>6237.4400000000005</v>
      </c>
      <c r="D565" s="104">
        <v>2443.85</v>
      </c>
      <c r="E565" s="103">
        <v>2602.1700000000005</v>
      </c>
      <c r="F565" s="103">
        <v>2.88</v>
      </c>
      <c r="G565" s="92">
        <v>0</v>
      </c>
      <c r="H565" s="103">
        <v>179.27999999999997</v>
      </c>
      <c r="I565" s="92">
        <v>0</v>
      </c>
      <c r="J565" s="92">
        <v>0</v>
      </c>
      <c r="K565" s="103">
        <v>1009.26</v>
      </c>
      <c r="L565" s="92">
        <v>0</v>
      </c>
      <c r="M565" s="92">
        <v>0</v>
      </c>
      <c r="N565" s="92">
        <v>0</v>
      </c>
      <c r="Q565" s="101"/>
    </row>
    <row r="566" spans="1:17" x14ac:dyDescent="0.3">
      <c r="A566" s="146"/>
      <c r="B566" s="94">
        <v>42186</v>
      </c>
      <c r="C566" s="92">
        <f t="shared" si="14"/>
        <v>0</v>
      </c>
      <c r="D566" s="92">
        <v>0</v>
      </c>
      <c r="E566" s="92">
        <v>0</v>
      </c>
      <c r="F566" s="92">
        <v>0</v>
      </c>
      <c r="G566" s="92">
        <v>0</v>
      </c>
      <c r="H566" s="92">
        <v>0</v>
      </c>
      <c r="I566" s="92">
        <v>0</v>
      </c>
      <c r="J566" s="92">
        <v>0</v>
      </c>
      <c r="K566" s="92">
        <v>0</v>
      </c>
      <c r="L566" s="92">
        <v>0</v>
      </c>
      <c r="M566" s="92">
        <v>0</v>
      </c>
      <c r="N566" s="92">
        <v>0</v>
      </c>
      <c r="Q566" s="101"/>
    </row>
    <row r="567" spans="1:17" x14ac:dyDescent="0.3">
      <c r="A567" s="146"/>
      <c r="B567" s="94">
        <v>42217</v>
      </c>
      <c r="C567" s="92">
        <f t="shared" si="14"/>
        <v>5408.09</v>
      </c>
      <c r="D567" s="92">
        <v>1134.6100000000001</v>
      </c>
      <c r="E567" s="92">
        <v>3358.2900000000004</v>
      </c>
      <c r="F567" s="92">
        <v>0</v>
      </c>
      <c r="G567" s="92">
        <v>0</v>
      </c>
      <c r="H567" s="92">
        <v>20</v>
      </c>
      <c r="I567" s="92">
        <v>0</v>
      </c>
      <c r="J567" s="92">
        <v>0</v>
      </c>
      <c r="K567" s="92">
        <v>895.18999999999994</v>
      </c>
      <c r="L567" s="92">
        <v>0</v>
      </c>
      <c r="M567" s="92">
        <v>0</v>
      </c>
      <c r="N567" s="92">
        <v>0</v>
      </c>
    </row>
    <row r="568" spans="1:17" x14ac:dyDescent="0.3">
      <c r="A568" s="146"/>
      <c r="B568" s="94">
        <v>42248</v>
      </c>
      <c r="C568" s="92">
        <f t="shared" si="14"/>
        <v>30051.110000000004</v>
      </c>
      <c r="D568" s="104">
        <v>9251.19</v>
      </c>
      <c r="E568" s="103">
        <v>15499.279999999999</v>
      </c>
      <c r="F568" s="103">
        <v>155</v>
      </c>
      <c r="G568" s="103">
        <v>26.88</v>
      </c>
      <c r="H568" s="103">
        <v>230.01999999999998</v>
      </c>
      <c r="I568" s="92">
        <v>0</v>
      </c>
      <c r="J568" s="92">
        <v>0</v>
      </c>
      <c r="K568" s="103">
        <v>4837.0800000000017</v>
      </c>
      <c r="L568" s="103">
        <v>51.66</v>
      </c>
      <c r="M568" s="92">
        <v>0</v>
      </c>
      <c r="N568" s="92">
        <v>0</v>
      </c>
      <c r="Q568" s="101"/>
    </row>
    <row r="569" spans="1:17" x14ac:dyDescent="0.3">
      <c r="A569" s="146"/>
      <c r="B569" s="94">
        <v>42278</v>
      </c>
      <c r="C569" s="92">
        <f t="shared" si="14"/>
        <v>8742.16</v>
      </c>
      <c r="D569" s="92">
        <v>2580.5700000000002</v>
      </c>
      <c r="E569" s="92">
        <v>4771.1400000000003</v>
      </c>
      <c r="F569" s="92">
        <v>0</v>
      </c>
      <c r="G569" s="92">
        <v>0</v>
      </c>
      <c r="H569" s="92">
        <v>102</v>
      </c>
      <c r="I569" s="92">
        <v>0</v>
      </c>
      <c r="J569" s="92">
        <v>0</v>
      </c>
      <c r="K569" s="92">
        <v>1340.1099999999997</v>
      </c>
      <c r="L569" s="92">
        <v>-51.66</v>
      </c>
      <c r="M569" s="92">
        <v>0</v>
      </c>
      <c r="N569" s="92">
        <v>0</v>
      </c>
    </row>
    <row r="570" spans="1:17" x14ac:dyDescent="0.3">
      <c r="A570" s="146"/>
      <c r="B570" s="94">
        <v>42309</v>
      </c>
      <c r="C570" s="92">
        <f t="shared" si="14"/>
        <v>13298.170000000002</v>
      </c>
      <c r="D570" s="104">
        <v>4415.6300000000019</v>
      </c>
      <c r="E570" s="103">
        <v>5559.0699999999988</v>
      </c>
      <c r="F570" s="103">
        <v>19.8</v>
      </c>
      <c r="G570" s="92">
        <v>0</v>
      </c>
      <c r="H570" s="103">
        <v>508.54</v>
      </c>
      <c r="I570" s="92">
        <v>0</v>
      </c>
      <c r="J570" s="92">
        <v>0</v>
      </c>
      <c r="K570" s="103">
        <v>2795.13</v>
      </c>
      <c r="L570" s="92">
        <v>0</v>
      </c>
      <c r="M570" s="92">
        <v>0</v>
      </c>
      <c r="N570" s="92">
        <v>0</v>
      </c>
      <c r="Q570" s="101"/>
    </row>
    <row r="571" spans="1:17" x14ac:dyDescent="0.3">
      <c r="A571" s="146"/>
      <c r="B571" s="94">
        <v>42339</v>
      </c>
      <c r="C571" s="92">
        <f t="shared" si="14"/>
        <v>-151.5</v>
      </c>
      <c r="D571" s="92">
        <v>0</v>
      </c>
      <c r="E571" s="92">
        <v>11</v>
      </c>
      <c r="F571" s="92">
        <v>0</v>
      </c>
      <c r="G571" s="92">
        <v>0</v>
      </c>
      <c r="H571" s="92">
        <v>0</v>
      </c>
      <c r="I571" s="92">
        <v>0</v>
      </c>
      <c r="J571" s="92">
        <v>0</v>
      </c>
      <c r="K571" s="92">
        <v>-162.5</v>
      </c>
      <c r="L571" s="92">
        <v>0</v>
      </c>
      <c r="M571" s="92">
        <v>0</v>
      </c>
      <c r="N571" s="92">
        <v>0</v>
      </c>
    </row>
    <row r="572" spans="1:17" x14ac:dyDescent="0.3">
      <c r="A572" s="146"/>
      <c r="B572" s="94">
        <v>42370</v>
      </c>
      <c r="C572" s="92">
        <f t="shared" si="14"/>
        <v>25099.45</v>
      </c>
      <c r="D572" s="92">
        <v>6750.5599999999995</v>
      </c>
      <c r="E572" s="92">
        <v>13601.79</v>
      </c>
      <c r="F572" s="92">
        <v>17.68</v>
      </c>
      <c r="G572" s="92">
        <v>0</v>
      </c>
      <c r="H572" s="92">
        <v>100</v>
      </c>
      <c r="I572" s="92">
        <v>0</v>
      </c>
      <c r="J572" s="92">
        <v>0</v>
      </c>
      <c r="K572" s="92">
        <v>4614.420000000001</v>
      </c>
      <c r="L572" s="92">
        <v>15</v>
      </c>
      <c r="M572" s="92">
        <v>0</v>
      </c>
      <c r="N572" s="92">
        <v>0</v>
      </c>
    </row>
    <row r="573" spans="1:17" x14ac:dyDescent="0.3">
      <c r="A573" s="146"/>
      <c r="B573" s="94">
        <v>42401</v>
      </c>
      <c r="C573" s="92">
        <f t="shared" si="14"/>
        <v>9248.7099999999991</v>
      </c>
      <c r="D573" s="92">
        <v>2160.31</v>
      </c>
      <c r="E573" s="92">
        <v>4040.92</v>
      </c>
      <c r="F573" s="92">
        <v>0</v>
      </c>
      <c r="G573" s="92">
        <v>0</v>
      </c>
      <c r="H573" s="92">
        <v>226.04</v>
      </c>
      <c r="I573" s="92">
        <v>0</v>
      </c>
      <c r="J573" s="92">
        <v>0</v>
      </c>
      <c r="K573" s="92">
        <v>2821.44</v>
      </c>
      <c r="L573" s="92">
        <v>0</v>
      </c>
      <c r="M573" s="92">
        <v>0</v>
      </c>
      <c r="N573" s="92">
        <v>0</v>
      </c>
    </row>
    <row r="574" spans="1:17" x14ac:dyDescent="0.3">
      <c r="A574" s="146"/>
      <c r="B574" s="94">
        <v>42430</v>
      </c>
      <c r="C574" s="92">
        <f t="shared" si="14"/>
        <v>13754.97</v>
      </c>
      <c r="D574" s="92">
        <v>5520.09</v>
      </c>
      <c r="E574" s="92">
        <v>4492.0200000000004</v>
      </c>
      <c r="F574" s="92">
        <v>36.39</v>
      </c>
      <c r="G574" s="92">
        <v>0</v>
      </c>
      <c r="H574" s="92">
        <v>732.39</v>
      </c>
      <c r="I574" s="92">
        <v>0</v>
      </c>
      <c r="J574" s="92">
        <v>0</v>
      </c>
      <c r="K574" s="92">
        <v>2949.0799999999995</v>
      </c>
      <c r="L574" s="92">
        <v>25</v>
      </c>
      <c r="M574" s="92">
        <v>0</v>
      </c>
      <c r="N574" s="92">
        <v>0</v>
      </c>
    </row>
    <row r="575" spans="1:17" x14ac:dyDescent="0.3">
      <c r="A575" s="146"/>
      <c r="B575" s="94">
        <v>42461</v>
      </c>
      <c r="C575" s="92">
        <f t="shared" si="14"/>
        <v>2550.11</v>
      </c>
      <c r="D575" s="92">
        <v>130.29999999999998</v>
      </c>
      <c r="E575" s="92">
        <v>1746.6100000000001</v>
      </c>
      <c r="F575" s="92">
        <v>0</v>
      </c>
      <c r="G575" s="92">
        <v>0</v>
      </c>
      <c r="H575" s="92">
        <v>10</v>
      </c>
      <c r="I575" s="92">
        <v>0</v>
      </c>
      <c r="J575" s="92">
        <v>0</v>
      </c>
      <c r="K575" s="92">
        <v>663.2</v>
      </c>
      <c r="L575" s="92">
        <v>0</v>
      </c>
      <c r="M575" s="92">
        <v>0</v>
      </c>
      <c r="N575" s="92">
        <v>0</v>
      </c>
    </row>
    <row r="576" spans="1:17" x14ac:dyDescent="0.3">
      <c r="A576" s="146"/>
      <c r="B576" s="94">
        <v>42491</v>
      </c>
      <c r="C576" s="92">
        <f t="shared" si="14"/>
        <v>7614.08</v>
      </c>
      <c r="D576" s="92">
        <v>3446.1199999999994</v>
      </c>
      <c r="E576" s="92">
        <v>2311.15</v>
      </c>
      <c r="F576" s="92">
        <v>0</v>
      </c>
      <c r="G576" s="92">
        <v>0</v>
      </c>
      <c r="H576" s="92">
        <v>0</v>
      </c>
      <c r="I576" s="92">
        <v>0</v>
      </c>
      <c r="J576" s="92">
        <v>0</v>
      </c>
      <c r="K576" s="92">
        <v>1856.81</v>
      </c>
      <c r="L576" s="92">
        <v>0</v>
      </c>
      <c r="M576" s="92">
        <v>0</v>
      </c>
      <c r="N576" s="92">
        <v>0</v>
      </c>
    </row>
    <row r="577" spans="1:14" x14ac:dyDescent="0.3">
      <c r="A577" s="146"/>
      <c r="B577" s="94">
        <v>42522</v>
      </c>
      <c r="C577" s="92">
        <f t="shared" si="14"/>
        <v>12231.990000000002</v>
      </c>
      <c r="D577" s="92">
        <v>5847.5900000000011</v>
      </c>
      <c r="E577" s="92">
        <v>3358.4900000000002</v>
      </c>
      <c r="F577" s="92">
        <v>129.61000000000001</v>
      </c>
      <c r="G577" s="92">
        <v>0</v>
      </c>
      <c r="H577" s="92">
        <v>484.43</v>
      </c>
      <c r="I577" s="92">
        <v>5.0600000000000005</v>
      </c>
      <c r="J577" s="92">
        <v>116.1</v>
      </c>
      <c r="K577" s="92">
        <v>2205.71</v>
      </c>
      <c r="L577" s="92">
        <v>25</v>
      </c>
      <c r="M577" s="92">
        <v>60</v>
      </c>
      <c r="N577" s="92">
        <v>0</v>
      </c>
    </row>
    <row r="578" spans="1:14" x14ac:dyDescent="0.3">
      <c r="A578" s="146"/>
      <c r="B578" s="94">
        <v>42552</v>
      </c>
      <c r="C578" s="92">
        <f t="shared" si="14"/>
        <v>0</v>
      </c>
      <c r="D578" s="92">
        <v>0</v>
      </c>
      <c r="E578" s="92">
        <v>0</v>
      </c>
      <c r="F578" s="92">
        <v>0</v>
      </c>
      <c r="G578" s="92">
        <v>0</v>
      </c>
      <c r="H578" s="92">
        <v>0</v>
      </c>
      <c r="I578" s="92">
        <v>0</v>
      </c>
      <c r="J578" s="92">
        <v>0</v>
      </c>
      <c r="K578" s="92">
        <v>0</v>
      </c>
      <c r="L578" s="92">
        <v>0</v>
      </c>
      <c r="M578" s="92">
        <v>0</v>
      </c>
      <c r="N578" s="92">
        <v>0</v>
      </c>
    </row>
    <row r="579" spans="1:14" x14ac:dyDescent="0.3">
      <c r="A579" s="146"/>
      <c r="B579" s="94">
        <v>42583</v>
      </c>
      <c r="C579" s="92">
        <f t="shared" si="14"/>
        <v>5098.16</v>
      </c>
      <c r="D579" s="92">
        <v>1198.3400000000001</v>
      </c>
      <c r="E579" s="92">
        <v>2963.5</v>
      </c>
      <c r="F579" s="92">
        <v>0</v>
      </c>
      <c r="G579" s="92">
        <v>0</v>
      </c>
      <c r="H579" s="92">
        <v>0</v>
      </c>
      <c r="I579" s="92">
        <v>0</v>
      </c>
      <c r="J579" s="92">
        <v>0</v>
      </c>
      <c r="K579" s="92">
        <v>936.31999999999994</v>
      </c>
      <c r="L579" s="92">
        <v>0</v>
      </c>
      <c r="M579" s="92">
        <v>0</v>
      </c>
      <c r="N579" s="92">
        <v>0</v>
      </c>
    </row>
    <row r="580" spans="1:14" x14ac:dyDescent="0.3">
      <c r="A580" s="146"/>
      <c r="B580" s="94">
        <v>42614</v>
      </c>
      <c r="C580" s="92">
        <f t="shared" si="14"/>
        <v>30884.139999999996</v>
      </c>
      <c r="D580" s="92">
        <v>9708.91</v>
      </c>
      <c r="E580" s="92">
        <v>16252.669999999998</v>
      </c>
      <c r="F580" s="92">
        <v>1.43</v>
      </c>
      <c r="G580" s="92">
        <v>16.32</v>
      </c>
      <c r="H580" s="92">
        <v>174.3</v>
      </c>
      <c r="I580" s="92">
        <v>0</v>
      </c>
      <c r="J580" s="92">
        <v>0</v>
      </c>
      <c r="K580" s="92">
        <v>4746.3099999999995</v>
      </c>
      <c r="L580" s="92">
        <v>27.95</v>
      </c>
      <c r="M580" s="92">
        <v>-43.75</v>
      </c>
      <c r="N580" s="92">
        <v>0</v>
      </c>
    </row>
    <row r="581" spans="1:14" x14ac:dyDescent="0.3">
      <c r="A581" s="146"/>
      <c r="B581" s="94">
        <v>42644</v>
      </c>
      <c r="C581" s="92">
        <f t="shared" si="14"/>
        <v>7140.6900000000005</v>
      </c>
      <c r="D581" s="92">
        <v>1921.8099999999997</v>
      </c>
      <c r="E581" s="92">
        <v>3864.1800000000007</v>
      </c>
      <c r="F581" s="92">
        <v>0</v>
      </c>
      <c r="G581" s="92">
        <v>0</v>
      </c>
      <c r="H581" s="92">
        <v>145.51</v>
      </c>
      <c r="I581" s="92">
        <v>0</v>
      </c>
      <c r="J581" s="92">
        <v>0</v>
      </c>
      <c r="K581" s="92">
        <v>1209.19</v>
      </c>
      <c r="L581" s="92">
        <v>0</v>
      </c>
      <c r="M581" s="92">
        <v>0</v>
      </c>
      <c r="N581" s="92">
        <v>0</v>
      </c>
    </row>
    <row r="582" spans="1:14" x14ac:dyDescent="0.3">
      <c r="A582" s="146"/>
      <c r="B582" s="94">
        <v>42675</v>
      </c>
      <c r="C582" s="92">
        <f t="shared" si="14"/>
        <v>15321.880000000001</v>
      </c>
      <c r="D582" s="92">
        <v>3757.1000000000004</v>
      </c>
      <c r="E582" s="92">
        <v>4924.58</v>
      </c>
      <c r="F582" s="92">
        <v>0</v>
      </c>
      <c r="G582" s="92">
        <v>0</v>
      </c>
      <c r="H582" s="92">
        <v>3152.17</v>
      </c>
      <c r="I582" s="92">
        <v>0</v>
      </c>
      <c r="J582" s="92">
        <v>0</v>
      </c>
      <c r="K582" s="92">
        <v>1638.0300000000002</v>
      </c>
      <c r="L582" s="92">
        <v>0</v>
      </c>
      <c r="M582" s="92">
        <v>0</v>
      </c>
      <c r="N582" s="92">
        <v>1850</v>
      </c>
    </row>
    <row r="583" spans="1:14" x14ac:dyDescent="0.3">
      <c r="A583" s="146"/>
      <c r="B583" s="94">
        <v>42705</v>
      </c>
      <c r="C583" s="92">
        <f t="shared" si="14"/>
        <v>0</v>
      </c>
      <c r="D583" s="92">
        <v>0</v>
      </c>
      <c r="E583" s="92">
        <v>0</v>
      </c>
      <c r="F583" s="92">
        <v>0</v>
      </c>
      <c r="G583" s="92">
        <v>0</v>
      </c>
      <c r="H583" s="92">
        <v>0</v>
      </c>
      <c r="I583" s="92">
        <v>0</v>
      </c>
      <c r="J583" s="92">
        <v>0</v>
      </c>
      <c r="K583" s="92">
        <v>0</v>
      </c>
      <c r="L583" s="92">
        <v>0</v>
      </c>
      <c r="M583" s="92">
        <v>0</v>
      </c>
      <c r="N583" s="92">
        <v>0</v>
      </c>
    </row>
    <row r="584" spans="1:14" x14ac:dyDescent="0.3">
      <c r="A584" s="146"/>
      <c r="B584" s="94">
        <v>42736</v>
      </c>
      <c r="C584" s="92">
        <f t="shared" si="14"/>
        <v>25374.510000000002</v>
      </c>
      <c r="D584" s="92">
        <v>5023.51</v>
      </c>
      <c r="E584" s="92">
        <v>15134.93</v>
      </c>
      <c r="F584" s="92">
        <v>0</v>
      </c>
      <c r="G584" s="92">
        <v>0</v>
      </c>
      <c r="H584" s="92">
        <v>0</v>
      </c>
      <c r="I584" s="92">
        <v>0</v>
      </c>
      <c r="J584" s="92">
        <v>0</v>
      </c>
      <c r="K584" s="92">
        <v>5216.07</v>
      </c>
      <c r="L584" s="92">
        <v>0</v>
      </c>
      <c r="M584" s="92">
        <v>0</v>
      </c>
      <c r="N584" s="92">
        <v>0</v>
      </c>
    </row>
    <row r="585" spans="1:14" x14ac:dyDescent="0.3">
      <c r="A585" s="146"/>
      <c r="B585" s="94">
        <v>42767</v>
      </c>
      <c r="C585" s="92">
        <f t="shared" si="14"/>
        <v>9769.93</v>
      </c>
      <c r="D585" s="92">
        <v>3336.63</v>
      </c>
      <c r="E585" s="92">
        <v>3811.54</v>
      </c>
      <c r="F585" s="92">
        <v>0</v>
      </c>
      <c r="G585" s="92">
        <v>0</v>
      </c>
      <c r="H585" s="92">
        <v>789.55</v>
      </c>
      <c r="I585" s="92">
        <v>0</v>
      </c>
      <c r="J585" s="92">
        <v>0</v>
      </c>
      <c r="K585" s="92">
        <v>1702.21</v>
      </c>
      <c r="L585" s="92">
        <v>0</v>
      </c>
      <c r="M585" s="92">
        <v>130</v>
      </c>
      <c r="N585" s="92">
        <v>0</v>
      </c>
    </row>
    <row r="586" spans="1:14" x14ac:dyDescent="0.3">
      <c r="A586" s="146"/>
      <c r="B586" s="94">
        <v>42795</v>
      </c>
      <c r="C586" s="92">
        <f t="shared" si="14"/>
        <v>11643.4</v>
      </c>
      <c r="D586" s="92">
        <v>4812.42</v>
      </c>
      <c r="E586" s="92">
        <v>4987.97</v>
      </c>
      <c r="F586" s="92">
        <v>10.08</v>
      </c>
      <c r="G586" s="92">
        <v>0</v>
      </c>
      <c r="H586" s="92">
        <v>62</v>
      </c>
      <c r="I586" s="92">
        <v>0</v>
      </c>
      <c r="J586" s="92">
        <v>0</v>
      </c>
      <c r="K586" s="92">
        <v>1770.93</v>
      </c>
      <c r="L586" s="92">
        <v>0</v>
      </c>
      <c r="M586" s="92">
        <v>0</v>
      </c>
      <c r="N586" s="92">
        <v>0</v>
      </c>
    </row>
    <row r="587" spans="1:14" x14ac:dyDescent="0.3">
      <c r="A587" s="146"/>
      <c r="B587" s="94">
        <v>42826</v>
      </c>
      <c r="C587" s="92">
        <f t="shared" si="14"/>
        <v>3959.3700000000003</v>
      </c>
      <c r="D587" s="92">
        <v>1082.55</v>
      </c>
      <c r="E587" s="92">
        <v>1988.13</v>
      </c>
      <c r="F587" s="92">
        <v>0</v>
      </c>
      <c r="G587" s="92">
        <v>0</v>
      </c>
      <c r="H587" s="92">
        <v>84</v>
      </c>
      <c r="I587" s="92">
        <v>0</v>
      </c>
      <c r="J587" s="92">
        <v>0</v>
      </c>
      <c r="K587" s="92">
        <v>804.69</v>
      </c>
      <c r="L587" s="92">
        <v>0</v>
      </c>
      <c r="M587" s="92">
        <v>0</v>
      </c>
      <c r="N587" s="92">
        <v>0</v>
      </c>
    </row>
    <row r="588" spans="1:14" x14ac:dyDescent="0.3">
      <c r="A588" s="146"/>
      <c r="B588" s="94">
        <v>42856</v>
      </c>
      <c r="C588" s="92">
        <f t="shared" si="14"/>
        <v>8107.0099999999993</v>
      </c>
      <c r="D588" s="92">
        <v>1889.65</v>
      </c>
      <c r="E588" s="92">
        <v>3799.68</v>
      </c>
      <c r="F588" s="92">
        <v>0</v>
      </c>
      <c r="G588" s="92">
        <v>6.36</v>
      </c>
      <c r="H588" s="92">
        <v>250</v>
      </c>
      <c r="I588" s="92">
        <v>22.4</v>
      </c>
      <c r="K588" s="92">
        <v>2138.92</v>
      </c>
      <c r="L588" s="92">
        <v>0</v>
      </c>
      <c r="M588" s="92">
        <v>0</v>
      </c>
      <c r="N588" s="92">
        <v>0</v>
      </c>
    </row>
    <row r="589" spans="1:14" x14ac:dyDescent="0.3">
      <c r="A589" s="146"/>
      <c r="B589" s="94">
        <v>42887</v>
      </c>
      <c r="C589" s="92">
        <f t="shared" si="14"/>
        <v>7618.9599999999991</v>
      </c>
      <c r="D589" s="92">
        <v>2700.11</v>
      </c>
      <c r="E589" s="92">
        <v>2646.46</v>
      </c>
      <c r="F589" s="92">
        <v>19.88</v>
      </c>
      <c r="G589" s="92">
        <v>17.940000000000001</v>
      </c>
      <c r="H589" s="92">
        <v>932.4</v>
      </c>
      <c r="I589" s="92">
        <v>0</v>
      </c>
      <c r="J589" s="92">
        <v>0</v>
      </c>
      <c r="K589" s="92">
        <v>1302.17</v>
      </c>
      <c r="L589" s="92">
        <v>0</v>
      </c>
      <c r="M589" s="92">
        <v>0</v>
      </c>
      <c r="N589" s="92">
        <v>0</v>
      </c>
    </row>
    <row r="590" spans="1:14" x14ac:dyDescent="0.3">
      <c r="A590" s="146"/>
      <c r="B590" s="94">
        <v>42917</v>
      </c>
      <c r="C590" s="92">
        <f t="shared" si="14"/>
        <v>0</v>
      </c>
      <c r="D590" s="92">
        <v>0</v>
      </c>
      <c r="E590" s="92">
        <v>0</v>
      </c>
      <c r="F590" s="92">
        <v>0</v>
      </c>
      <c r="G590" s="92">
        <v>0</v>
      </c>
      <c r="H590" s="92">
        <v>0</v>
      </c>
      <c r="I590" s="92">
        <v>0</v>
      </c>
      <c r="J590" s="92">
        <v>0</v>
      </c>
      <c r="K590" s="92">
        <v>0</v>
      </c>
      <c r="L590" s="92">
        <v>0</v>
      </c>
      <c r="M590" s="92">
        <v>0</v>
      </c>
      <c r="N590" s="92">
        <v>0</v>
      </c>
    </row>
    <row r="591" spans="1:14" x14ac:dyDescent="0.3">
      <c r="A591" s="146"/>
      <c r="B591" s="94">
        <v>42948</v>
      </c>
      <c r="C591" s="92">
        <f t="shared" si="14"/>
        <v>8025</v>
      </c>
      <c r="D591" s="92">
        <v>1752</v>
      </c>
      <c r="E591" s="92">
        <v>4240</v>
      </c>
      <c r="F591" s="92">
        <v>0</v>
      </c>
      <c r="G591" s="92">
        <v>0</v>
      </c>
      <c r="H591" s="92">
        <v>7</v>
      </c>
      <c r="I591" s="92">
        <v>0</v>
      </c>
      <c r="J591" s="92">
        <v>0</v>
      </c>
      <c r="K591" s="92">
        <v>2026</v>
      </c>
      <c r="L591" s="92">
        <v>0</v>
      </c>
      <c r="M591" s="92">
        <v>0</v>
      </c>
      <c r="N591" s="92">
        <v>0</v>
      </c>
    </row>
    <row r="592" spans="1:14" x14ac:dyDescent="0.3">
      <c r="A592" s="146"/>
      <c r="B592" s="94">
        <v>42979</v>
      </c>
      <c r="C592" s="92">
        <f t="shared" si="14"/>
        <v>23212.46</v>
      </c>
      <c r="D592" s="92">
        <v>3425.99</v>
      </c>
      <c r="E592" s="92">
        <v>14833.04</v>
      </c>
      <c r="F592" s="92">
        <v>38.08</v>
      </c>
      <c r="G592" s="92">
        <v>32.64</v>
      </c>
      <c r="H592" s="92">
        <v>28</v>
      </c>
      <c r="K592" s="92">
        <v>4854.71</v>
      </c>
    </row>
    <row r="593" spans="1:16" x14ac:dyDescent="0.3">
      <c r="A593" s="146"/>
      <c r="B593" s="94">
        <v>43009</v>
      </c>
      <c r="C593" s="92">
        <f t="shared" si="14"/>
        <v>13703.55</v>
      </c>
      <c r="D593" s="92">
        <v>1918.47</v>
      </c>
      <c r="E593" s="92">
        <v>8104.35</v>
      </c>
      <c r="F593" s="92">
        <v>106.4</v>
      </c>
      <c r="H593" s="92">
        <v>264.39999999999998</v>
      </c>
      <c r="I593" s="92">
        <v>82.56</v>
      </c>
      <c r="K593" s="92">
        <v>3227.37</v>
      </c>
    </row>
    <row r="594" spans="1:16" x14ac:dyDescent="0.3">
      <c r="A594" s="146"/>
      <c r="B594" s="94">
        <v>43040</v>
      </c>
      <c r="C594" s="92">
        <f t="shared" si="14"/>
        <v>9102.42</v>
      </c>
      <c r="D594" s="92">
        <v>2750.56</v>
      </c>
      <c r="E594" s="92">
        <v>4362.95</v>
      </c>
      <c r="F594" s="92">
        <v>1.68</v>
      </c>
      <c r="G594" s="92">
        <v>15.75</v>
      </c>
      <c r="H594" s="92">
        <v>47.9</v>
      </c>
      <c r="I594" s="92">
        <v>116.83</v>
      </c>
      <c r="K594" s="92">
        <v>1806.75</v>
      </c>
    </row>
    <row r="595" spans="1:16" x14ac:dyDescent="0.3">
      <c r="A595" s="146"/>
      <c r="B595" s="94">
        <v>43070</v>
      </c>
      <c r="C595" s="92">
        <f t="shared" si="14"/>
        <v>0</v>
      </c>
      <c r="D595" s="92">
        <v>0</v>
      </c>
      <c r="E595" s="92">
        <v>0</v>
      </c>
      <c r="F595" s="92">
        <v>0</v>
      </c>
      <c r="G595" s="92">
        <v>0</v>
      </c>
      <c r="H595" s="92">
        <v>0</v>
      </c>
      <c r="I595" s="92">
        <v>0</v>
      </c>
      <c r="J595" s="92">
        <v>0</v>
      </c>
      <c r="K595" s="92">
        <v>0</v>
      </c>
      <c r="L595" s="92">
        <v>0</v>
      </c>
      <c r="M595" s="92">
        <v>0</v>
      </c>
      <c r="N595" s="92">
        <v>0</v>
      </c>
    </row>
    <row r="596" spans="1:16" x14ac:dyDescent="0.3">
      <c r="A596" s="146"/>
      <c r="B596" s="94">
        <v>43101</v>
      </c>
      <c r="C596" s="92">
        <f t="shared" si="14"/>
        <v>27935.410000000003</v>
      </c>
      <c r="D596" s="92">
        <v>6515.56</v>
      </c>
      <c r="E596" s="92">
        <v>14355.04</v>
      </c>
      <c r="F596" s="92">
        <v>83.16</v>
      </c>
      <c r="H596" s="92">
        <v>447.5</v>
      </c>
      <c r="K596" s="92">
        <v>6534.15</v>
      </c>
    </row>
    <row r="597" spans="1:16" x14ac:dyDescent="0.3">
      <c r="A597" s="146"/>
      <c r="B597" s="94">
        <v>43132</v>
      </c>
      <c r="C597" s="92">
        <f t="shared" si="14"/>
        <v>7618.0099999999993</v>
      </c>
      <c r="D597" s="92">
        <v>1698.6</v>
      </c>
      <c r="E597" s="92">
        <v>3683.04</v>
      </c>
      <c r="F597" s="92">
        <v>141.12</v>
      </c>
      <c r="G597" s="92">
        <v>6.63</v>
      </c>
      <c r="H597" s="92">
        <v>584</v>
      </c>
      <c r="K597" s="92">
        <v>1504.62</v>
      </c>
    </row>
    <row r="598" spans="1:16" x14ac:dyDescent="0.3">
      <c r="A598" s="146"/>
      <c r="B598" s="94">
        <v>43160</v>
      </c>
      <c r="C598" s="92">
        <f t="shared" si="14"/>
        <v>8726.0099999999984</v>
      </c>
      <c r="D598" s="92">
        <v>2983.24</v>
      </c>
      <c r="E598" s="92">
        <v>3641.89</v>
      </c>
      <c r="F598" s="92">
        <v>45.36</v>
      </c>
      <c r="H598" s="92">
        <v>-32.56</v>
      </c>
      <c r="I598" s="92">
        <v>59.94</v>
      </c>
      <c r="K598" s="92">
        <v>2028.14</v>
      </c>
    </row>
    <row r="599" spans="1:16" x14ac:dyDescent="0.3">
      <c r="A599" s="146"/>
      <c r="B599" s="94">
        <v>43191</v>
      </c>
      <c r="C599" s="92">
        <f t="shared" si="14"/>
        <v>5121.25</v>
      </c>
      <c r="D599" s="92">
        <v>1428.38</v>
      </c>
      <c r="E599" s="92">
        <v>2488.25</v>
      </c>
      <c r="G599" s="92">
        <v>1.44</v>
      </c>
      <c r="H599" s="92">
        <v>44.97</v>
      </c>
      <c r="I599" s="92">
        <v>10.8</v>
      </c>
      <c r="K599" s="92">
        <v>1147.4100000000001</v>
      </c>
    </row>
    <row r="600" spans="1:16" x14ac:dyDescent="0.3">
      <c r="A600" s="146"/>
      <c r="B600" s="94">
        <v>43221</v>
      </c>
      <c r="C600" s="92">
        <f t="shared" si="14"/>
        <v>4601.93</v>
      </c>
      <c r="D600" s="92">
        <v>1948.42</v>
      </c>
      <c r="E600" s="92">
        <v>1731.29</v>
      </c>
      <c r="F600" s="92">
        <v>45.36</v>
      </c>
      <c r="H600" s="92">
        <v>169.15</v>
      </c>
      <c r="K600" s="92">
        <v>677.71</v>
      </c>
      <c r="P600" s="117">
        <v>30</v>
      </c>
    </row>
    <row r="601" spans="1:16" x14ac:dyDescent="0.3">
      <c r="A601" s="146"/>
      <c r="B601" s="94">
        <v>43252</v>
      </c>
      <c r="C601" s="92">
        <f t="shared" si="14"/>
        <v>7420.3499999999995</v>
      </c>
      <c r="D601" s="92">
        <v>1218.45</v>
      </c>
      <c r="E601" s="92">
        <v>3406.88</v>
      </c>
      <c r="F601" s="92">
        <v>38.08</v>
      </c>
      <c r="H601" s="92">
        <v>708.37</v>
      </c>
      <c r="K601" s="92">
        <v>2023.57</v>
      </c>
      <c r="L601" s="92">
        <v>25</v>
      </c>
    </row>
    <row r="602" spans="1:16" x14ac:dyDescent="0.3">
      <c r="A602" s="146"/>
      <c r="B602" s="94">
        <v>43282</v>
      </c>
      <c r="C602" s="92">
        <f t="shared" si="14"/>
        <v>0</v>
      </c>
      <c r="D602" s="92">
        <v>0</v>
      </c>
      <c r="E602" s="92">
        <v>0</v>
      </c>
      <c r="F602" s="92">
        <v>0</v>
      </c>
      <c r="G602" s="92">
        <v>0</v>
      </c>
      <c r="H602" s="92">
        <v>0</v>
      </c>
      <c r="I602" s="92">
        <v>0</v>
      </c>
      <c r="J602" s="92">
        <v>0</v>
      </c>
      <c r="K602" s="92">
        <v>0</v>
      </c>
      <c r="L602" s="92">
        <v>0</v>
      </c>
      <c r="M602" s="92">
        <v>0</v>
      </c>
      <c r="N602" s="92">
        <v>0</v>
      </c>
      <c r="P602" s="117">
        <v>0</v>
      </c>
    </row>
    <row r="603" spans="1:16" x14ac:dyDescent="0.3">
      <c r="A603" s="146"/>
      <c r="B603" s="94">
        <v>43313</v>
      </c>
      <c r="C603" s="92">
        <f t="shared" si="14"/>
        <v>8931.130000000001</v>
      </c>
      <c r="D603" s="92">
        <v>1837.4</v>
      </c>
      <c r="E603" s="92">
        <v>5123.6400000000003</v>
      </c>
      <c r="F603" s="92">
        <v>31.22</v>
      </c>
      <c r="G603" s="92">
        <v>8.64</v>
      </c>
      <c r="H603" s="92">
        <v>428.38</v>
      </c>
      <c r="I603" s="92">
        <v>0</v>
      </c>
      <c r="J603" s="92">
        <v>0</v>
      </c>
      <c r="K603" s="92">
        <v>1501.85</v>
      </c>
    </row>
    <row r="604" spans="1:16" x14ac:dyDescent="0.3">
      <c r="A604" s="146"/>
      <c r="B604" s="94">
        <v>43344</v>
      </c>
      <c r="C604" s="92">
        <f t="shared" si="14"/>
        <v>24321.3</v>
      </c>
      <c r="D604" s="92">
        <v>3722.01</v>
      </c>
      <c r="E604" s="92">
        <v>15033.46</v>
      </c>
      <c r="F604" s="92">
        <v>4.2</v>
      </c>
      <c r="H604" s="92">
        <v>829.6</v>
      </c>
      <c r="K604" s="92">
        <v>4715.1099999999997</v>
      </c>
      <c r="L604" s="92">
        <v>16.920000000000002</v>
      </c>
    </row>
    <row r="605" spans="1:16" x14ac:dyDescent="0.3">
      <c r="A605" s="146"/>
      <c r="B605" s="94">
        <v>43374</v>
      </c>
      <c r="C605" s="92">
        <f t="shared" si="14"/>
        <v>14020.58</v>
      </c>
      <c r="D605" s="92">
        <v>2686.62</v>
      </c>
      <c r="E605" s="92">
        <v>8082.88</v>
      </c>
      <c r="F605" s="92">
        <v>49.21</v>
      </c>
      <c r="H605" s="92">
        <v>249.34</v>
      </c>
      <c r="K605" s="92">
        <v>2952.53</v>
      </c>
    </row>
    <row r="606" spans="1:16" x14ac:dyDescent="0.3">
      <c r="A606" s="146"/>
      <c r="B606" s="94">
        <v>43405</v>
      </c>
      <c r="C606" s="92">
        <f t="shared" si="14"/>
        <v>10132.869999999999</v>
      </c>
      <c r="D606" s="92">
        <v>1999.12</v>
      </c>
      <c r="E606" s="92">
        <v>4815.37</v>
      </c>
      <c r="F606" s="92">
        <v>47.04</v>
      </c>
      <c r="G606" s="92">
        <v>5.76</v>
      </c>
      <c r="H606" s="92">
        <v>1039.04</v>
      </c>
      <c r="I606" s="92">
        <v>80.819999999999993</v>
      </c>
      <c r="K606" s="92">
        <v>2130.7199999999998</v>
      </c>
      <c r="L606" s="92">
        <v>5</v>
      </c>
      <c r="P606" s="117">
        <v>10</v>
      </c>
    </row>
    <row r="607" spans="1:16" x14ac:dyDescent="0.3">
      <c r="A607" s="146"/>
      <c r="B607" s="94">
        <v>43435</v>
      </c>
      <c r="C607" s="92">
        <f t="shared" si="14"/>
        <v>0</v>
      </c>
      <c r="D607" s="92">
        <v>0</v>
      </c>
      <c r="E607" s="92">
        <v>0</v>
      </c>
      <c r="F607" s="92">
        <v>0</v>
      </c>
      <c r="G607" s="92">
        <v>0</v>
      </c>
      <c r="H607" s="92">
        <v>0</v>
      </c>
      <c r="I607" s="92">
        <v>0</v>
      </c>
      <c r="J607" s="92">
        <v>0</v>
      </c>
      <c r="K607" s="92">
        <v>0</v>
      </c>
      <c r="L607" s="92">
        <v>0</v>
      </c>
      <c r="M607" s="92">
        <v>0</v>
      </c>
      <c r="N607" s="92">
        <v>0</v>
      </c>
      <c r="P607" s="117">
        <v>0</v>
      </c>
    </row>
    <row r="608" spans="1:16" x14ac:dyDescent="0.3">
      <c r="A608" s="146"/>
      <c r="B608" s="94">
        <v>43466</v>
      </c>
      <c r="C608" s="92">
        <f t="shared" si="14"/>
        <v>31002.99</v>
      </c>
      <c r="D608" s="92">
        <v>7496.89</v>
      </c>
      <c r="E608" s="92">
        <v>16836.28</v>
      </c>
      <c r="F608" s="92">
        <v>150.15</v>
      </c>
      <c r="H608" s="92">
        <v>255.59</v>
      </c>
      <c r="I608" s="92">
        <v>9.9</v>
      </c>
      <c r="K608" s="92">
        <v>6254.18</v>
      </c>
    </row>
    <row r="609" spans="1:16" x14ac:dyDescent="0.3">
      <c r="A609" s="146"/>
      <c r="B609" s="94">
        <v>43497</v>
      </c>
      <c r="C609" s="105">
        <f t="shared" si="14"/>
        <v>9762.9600000000009</v>
      </c>
      <c r="D609" s="105">
        <v>3149.6</v>
      </c>
      <c r="E609" s="105">
        <v>4238.59</v>
      </c>
      <c r="F609" s="105">
        <v>50.47</v>
      </c>
      <c r="G609" s="105"/>
      <c r="H609" s="105">
        <v>602.45000000000005</v>
      </c>
      <c r="I609" s="105"/>
      <c r="J609" s="105"/>
      <c r="K609" s="105">
        <v>1721.85</v>
      </c>
      <c r="L609" s="105"/>
      <c r="M609" s="105"/>
      <c r="N609" s="105"/>
      <c r="O609" s="105"/>
      <c r="P609" s="119"/>
    </row>
    <row r="610" spans="1:16" x14ac:dyDescent="0.3">
      <c r="A610" s="146"/>
      <c r="B610" s="94">
        <v>43525</v>
      </c>
      <c r="C610" s="105">
        <f t="shared" si="14"/>
        <v>8118.4299999999994</v>
      </c>
      <c r="D610" s="105">
        <v>2768.71</v>
      </c>
      <c r="E610" s="105">
        <v>3374.11</v>
      </c>
      <c r="F610" s="105">
        <v>109.2</v>
      </c>
      <c r="G610" s="105"/>
      <c r="H610" s="105">
        <v>504.4</v>
      </c>
      <c r="I610" s="105"/>
      <c r="J610" s="105"/>
      <c r="K610" s="105">
        <v>1362.01</v>
      </c>
      <c r="L610" s="105"/>
      <c r="M610" s="105"/>
      <c r="N610" s="105"/>
      <c r="O610" s="105"/>
      <c r="P610" s="119"/>
    </row>
    <row r="611" spans="1:16" x14ac:dyDescent="0.3">
      <c r="A611" s="146"/>
      <c r="B611" s="94">
        <v>43556</v>
      </c>
      <c r="C611" s="105">
        <f t="shared" si="14"/>
        <v>7606.34</v>
      </c>
      <c r="D611" s="105">
        <v>1518.42</v>
      </c>
      <c r="E611" s="105">
        <v>3175.8</v>
      </c>
      <c r="F611" s="105">
        <v>51.1</v>
      </c>
      <c r="G611" s="105">
        <v>14.4</v>
      </c>
      <c r="H611" s="105">
        <v>1541.64</v>
      </c>
      <c r="I611" s="105"/>
      <c r="J611" s="105"/>
      <c r="K611" s="105">
        <v>1304.98</v>
      </c>
      <c r="L611" s="105"/>
      <c r="M611" s="105"/>
      <c r="N611" s="105"/>
      <c r="O611" s="105"/>
      <c r="P611" s="119"/>
    </row>
    <row r="612" spans="1:16" x14ac:dyDescent="0.3">
      <c r="A612" s="146"/>
      <c r="B612" s="94">
        <v>43586</v>
      </c>
      <c r="C612" s="105">
        <f t="shared" si="14"/>
        <v>5382.9399999999987</v>
      </c>
      <c r="D612" s="105">
        <v>1751.31</v>
      </c>
      <c r="E612" s="105">
        <v>1559.34</v>
      </c>
      <c r="F612" s="105">
        <v>30.31</v>
      </c>
      <c r="G612" s="105"/>
      <c r="H612" s="105">
        <v>1102.5</v>
      </c>
      <c r="I612" s="105"/>
      <c r="J612" s="105"/>
      <c r="K612" s="105">
        <v>939.48</v>
      </c>
      <c r="L612" s="105"/>
      <c r="M612" s="105"/>
      <c r="N612" s="105"/>
      <c r="O612" s="105"/>
      <c r="P612" s="119"/>
    </row>
    <row r="613" spans="1:16" x14ac:dyDescent="0.3">
      <c r="A613" s="146"/>
      <c r="B613" s="94">
        <v>43617</v>
      </c>
      <c r="C613" s="105">
        <f t="shared" si="14"/>
        <v>3803.04</v>
      </c>
      <c r="D613" s="105">
        <v>574.94000000000005</v>
      </c>
      <c r="E613" s="105">
        <v>1550.12</v>
      </c>
      <c r="F613" s="105"/>
      <c r="G613" s="105"/>
      <c r="H613" s="105">
        <v>528.1</v>
      </c>
      <c r="I613" s="105"/>
      <c r="J613" s="105"/>
      <c r="K613" s="105">
        <v>1149.8800000000001</v>
      </c>
      <c r="L613" s="105"/>
      <c r="M613" s="105"/>
      <c r="N613" s="105"/>
      <c r="O613" s="105"/>
      <c r="P613" s="119"/>
    </row>
    <row r="614" spans="1:16" x14ac:dyDescent="0.3">
      <c r="A614" s="146"/>
      <c r="B614" s="94">
        <v>43647</v>
      </c>
      <c r="C614" s="105">
        <f t="shared" si="14"/>
        <v>0</v>
      </c>
      <c r="D614" s="105"/>
      <c r="E614" s="105"/>
      <c r="F614" s="105"/>
      <c r="G614" s="105"/>
      <c r="H614" s="105"/>
      <c r="I614" s="105"/>
      <c r="J614" s="105"/>
      <c r="K614" s="105"/>
      <c r="L614" s="105"/>
      <c r="M614" s="105"/>
      <c r="N614" s="105"/>
      <c r="O614" s="105"/>
      <c r="P614" s="119"/>
    </row>
    <row r="615" spans="1:16" x14ac:dyDescent="0.3">
      <c r="A615" s="146"/>
      <c r="B615" s="94">
        <v>43678</v>
      </c>
      <c r="C615" s="105">
        <f t="shared" si="14"/>
        <v>11523.76</v>
      </c>
      <c r="D615" s="105">
        <v>3855</v>
      </c>
      <c r="E615" s="105">
        <v>5518.65</v>
      </c>
      <c r="F615" s="105">
        <v>28.56</v>
      </c>
      <c r="G615" s="105">
        <v>3.6</v>
      </c>
      <c r="H615" s="105">
        <v>126</v>
      </c>
      <c r="I615" s="105"/>
      <c r="J615" s="105"/>
      <c r="K615" s="105">
        <v>1991.95</v>
      </c>
      <c r="L615" s="105"/>
      <c r="M615" s="105"/>
      <c r="N615" s="105"/>
      <c r="O615" s="105"/>
      <c r="P615" s="119"/>
    </row>
    <row r="616" spans="1:16" x14ac:dyDescent="0.3">
      <c r="A616" s="146"/>
      <c r="B616" s="94">
        <v>43709</v>
      </c>
      <c r="C616" s="105">
        <f t="shared" si="14"/>
        <v>28276.78</v>
      </c>
      <c r="D616" s="105">
        <v>7329.85</v>
      </c>
      <c r="E616" s="105">
        <v>16043.05</v>
      </c>
      <c r="F616" s="105">
        <v>37.869999999999997</v>
      </c>
      <c r="G616" s="105"/>
      <c r="H616" s="105">
        <v>659.5</v>
      </c>
      <c r="I616" s="105"/>
      <c r="J616" s="105"/>
      <c r="K616" s="105">
        <v>4206.51</v>
      </c>
      <c r="L616" s="105"/>
      <c r="M616" s="105"/>
      <c r="N616" s="105"/>
      <c r="O616" s="105"/>
      <c r="P616" s="119"/>
    </row>
    <row r="617" spans="1:16" x14ac:dyDescent="0.3">
      <c r="A617" s="146"/>
      <c r="B617" s="94">
        <v>43739</v>
      </c>
      <c r="C617" s="105">
        <f t="shared" si="14"/>
        <v>10083.780000000001</v>
      </c>
      <c r="D617" s="105">
        <v>2599.42</v>
      </c>
      <c r="E617" s="105">
        <v>5475.52</v>
      </c>
      <c r="F617" s="105">
        <v>14.28</v>
      </c>
      <c r="G617" s="105"/>
      <c r="H617" s="105">
        <v>147.75</v>
      </c>
      <c r="I617" s="105"/>
      <c r="J617" s="105"/>
      <c r="K617" s="105">
        <v>1846.81</v>
      </c>
      <c r="L617" s="105"/>
      <c r="M617" s="105"/>
      <c r="N617" s="105"/>
      <c r="O617" s="105"/>
      <c r="P617" s="119"/>
    </row>
    <row r="618" spans="1:16" x14ac:dyDescent="0.3">
      <c r="A618" s="146"/>
      <c r="B618" s="94">
        <v>43770</v>
      </c>
      <c r="C618" s="105">
        <f t="shared" si="14"/>
        <v>8732.74</v>
      </c>
      <c r="D618" s="105">
        <v>2183.42</v>
      </c>
      <c r="E618" s="105">
        <v>4767.7299999999996</v>
      </c>
      <c r="F618" s="105">
        <v>30.84</v>
      </c>
      <c r="G618" s="105"/>
      <c r="H618" s="105"/>
      <c r="I618" s="105"/>
      <c r="J618" s="105"/>
      <c r="K618" s="105">
        <v>1750.75</v>
      </c>
      <c r="L618" s="105"/>
      <c r="M618" s="105"/>
      <c r="N618" s="105"/>
      <c r="O618" s="105"/>
      <c r="P618" s="119"/>
    </row>
    <row r="619" spans="1:16" x14ac:dyDescent="0.3">
      <c r="A619" s="146"/>
      <c r="B619" s="94">
        <v>43800</v>
      </c>
      <c r="C619" s="105">
        <f t="shared" si="14"/>
        <v>16597.169999999998</v>
      </c>
      <c r="D619" s="105">
        <v>4221.71</v>
      </c>
      <c r="E619" s="105">
        <v>7892.73</v>
      </c>
      <c r="F619" s="105"/>
      <c r="G619" s="105"/>
      <c r="H619" s="105">
        <v>127</v>
      </c>
      <c r="I619" s="105"/>
      <c r="J619" s="105"/>
      <c r="K619" s="105">
        <v>1950.5</v>
      </c>
      <c r="L619" s="105"/>
      <c r="M619" s="105"/>
      <c r="N619" s="105"/>
      <c r="O619" s="105">
        <v>2405.23</v>
      </c>
      <c r="P619" s="119"/>
    </row>
    <row r="620" spans="1:16" x14ac:dyDescent="0.3">
      <c r="A620" s="146"/>
      <c r="B620" s="94">
        <v>43831</v>
      </c>
      <c r="C620" s="105">
        <f t="shared" si="14"/>
        <v>21459.409999999996</v>
      </c>
      <c r="D620" s="105">
        <v>6492.73</v>
      </c>
      <c r="E620" s="105">
        <v>10158.299999999999</v>
      </c>
      <c r="F620" s="105">
        <v>56.42</v>
      </c>
      <c r="G620" s="105"/>
      <c r="H620" s="105">
        <v>594.62</v>
      </c>
      <c r="I620" s="105"/>
      <c r="J620" s="105"/>
      <c r="K620" s="105">
        <v>4157.34</v>
      </c>
      <c r="L620" s="105"/>
      <c r="M620" s="105"/>
      <c r="N620" s="105"/>
      <c r="O620" s="105"/>
      <c r="P620" s="119"/>
    </row>
    <row r="621" spans="1:16" x14ac:dyDescent="0.3">
      <c r="A621" s="146"/>
      <c r="B621" s="94">
        <v>43862</v>
      </c>
      <c r="C621" s="92">
        <f t="shared" si="14"/>
        <v>6175.9599999999991</v>
      </c>
      <c r="D621" s="92">
        <v>1387.31</v>
      </c>
      <c r="E621" s="92">
        <v>3624.65</v>
      </c>
      <c r="F621" s="92">
        <v>86.44</v>
      </c>
      <c r="H621" s="92">
        <v>33</v>
      </c>
      <c r="K621" s="92">
        <v>1044.56</v>
      </c>
    </row>
    <row r="622" spans="1:16" x14ac:dyDescent="0.3">
      <c r="A622" s="146"/>
      <c r="B622" s="94">
        <v>43891</v>
      </c>
      <c r="C622" s="92">
        <f t="shared" si="14"/>
        <v>0</v>
      </c>
    </row>
    <row r="623" spans="1:16" x14ac:dyDescent="0.3">
      <c r="A623" s="146"/>
      <c r="B623" s="94">
        <v>43922</v>
      </c>
      <c r="C623" s="92">
        <f t="shared" si="14"/>
        <v>0</v>
      </c>
    </row>
    <row r="624" spans="1:16" x14ac:dyDescent="0.3">
      <c r="A624" s="146"/>
      <c r="B624" s="94">
        <v>43952</v>
      </c>
      <c r="C624" s="92">
        <f t="shared" si="14"/>
        <v>3566.5800000000004</v>
      </c>
      <c r="D624" s="92">
        <v>1023.9</v>
      </c>
      <c r="E624" s="92">
        <v>1560.33</v>
      </c>
      <c r="F624" s="92">
        <v>16.8</v>
      </c>
      <c r="H624" s="92">
        <v>359</v>
      </c>
      <c r="I624" s="92">
        <v>140</v>
      </c>
      <c r="K624" s="92">
        <v>466.55</v>
      </c>
    </row>
    <row r="625" spans="1:16" x14ac:dyDescent="0.3">
      <c r="A625" s="146"/>
      <c r="B625" s="94">
        <v>43983</v>
      </c>
      <c r="C625" s="92">
        <f t="shared" si="14"/>
        <v>0</v>
      </c>
    </row>
    <row r="626" spans="1:16" x14ac:dyDescent="0.3">
      <c r="A626" s="146"/>
      <c r="B626" s="94">
        <v>44013</v>
      </c>
      <c r="C626" s="92">
        <f t="shared" si="14"/>
        <v>0</v>
      </c>
    </row>
    <row r="627" spans="1:16" x14ac:dyDescent="0.3">
      <c r="A627" s="146"/>
      <c r="B627" s="94">
        <v>44044</v>
      </c>
      <c r="C627" s="92">
        <f t="shared" si="14"/>
        <v>7561.68</v>
      </c>
      <c r="D627" s="109">
        <v>2023.93</v>
      </c>
      <c r="E627" s="109">
        <v>4059.24</v>
      </c>
      <c r="F627" s="109">
        <v>150</v>
      </c>
      <c r="G627" s="109"/>
      <c r="H627" s="109">
        <v>182</v>
      </c>
      <c r="I627" s="109">
        <v>140</v>
      </c>
      <c r="J627" s="109"/>
      <c r="K627" s="109">
        <v>911.51</v>
      </c>
      <c r="L627" s="109">
        <v>10</v>
      </c>
      <c r="M627" s="109"/>
      <c r="N627" s="109"/>
      <c r="O627" s="109"/>
      <c r="P627" s="121">
        <v>85</v>
      </c>
    </row>
    <row r="628" spans="1:16" x14ac:dyDescent="0.3">
      <c r="A628" s="146"/>
      <c r="B628" s="94">
        <v>44075</v>
      </c>
      <c r="C628" s="92">
        <f t="shared" si="14"/>
        <v>26720.86</v>
      </c>
      <c r="D628" s="110">
        <v>6084.26</v>
      </c>
      <c r="E628" s="110">
        <v>14766.56</v>
      </c>
      <c r="F628" s="110">
        <v>24.64</v>
      </c>
      <c r="G628" s="110">
        <v>3.57</v>
      </c>
      <c r="H628" s="110">
        <v>362.45</v>
      </c>
      <c r="I628" s="110"/>
      <c r="J628" s="110"/>
      <c r="K628" s="110">
        <v>5394.38</v>
      </c>
      <c r="L628" s="110"/>
      <c r="M628" s="110"/>
      <c r="N628" s="110"/>
      <c r="O628" s="110"/>
      <c r="P628" s="122">
        <v>85</v>
      </c>
    </row>
    <row r="629" spans="1:16" x14ac:dyDescent="0.3">
      <c r="A629" s="146"/>
      <c r="B629" s="94">
        <v>44105</v>
      </c>
      <c r="C629" s="92">
        <f t="shared" si="14"/>
        <v>10483.510000000002</v>
      </c>
      <c r="D629" s="110">
        <v>3129.69</v>
      </c>
      <c r="E629" s="110">
        <v>4191.92</v>
      </c>
      <c r="F629" s="110"/>
      <c r="G629" s="110">
        <v>17.100000000000001</v>
      </c>
      <c r="H629" s="110">
        <v>1308.5999999999999</v>
      </c>
      <c r="I629" s="110">
        <v>54.02</v>
      </c>
      <c r="J629" s="110"/>
      <c r="K629" s="110">
        <v>1782.18</v>
      </c>
      <c r="L629" s="110"/>
      <c r="M629" s="110"/>
      <c r="N629" s="110"/>
      <c r="O629" s="111"/>
      <c r="P629" s="122"/>
    </row>
    <row r="630" spans="1:16" x14ac:dyDescent="0.3">
      <c r="A630" s="146"/>
      <c r="B630" s="94">
        <v>44136</v>
      </c>
      <c r="C630" s="92">
        <f t="shared" si="14"/>
        <v>1104.45</v>
      </c>
      <c r="D630" s="110">
        <v>382.55</v>
      </c>
      <c r="E630" s="110">
        <v>518.94000000000005</v>
      </c>
      <c r="F630" s="110"/>
      <c r="G630" s="110"/>
      <c r="H630" s="110"/>
      <c r="I630" s="110"/>
      <c r="J630" s="110"/>
      <c r="K630" s="110">
        <v>202.96</v>
      </c>
      <c r="L630" s="110"/>
      <c r="M630" s="110"/>
      <c r="N630" s="110"/>
      <c r="O630" s="110"/>
      <c r="P630" s="122"/>
    </row>
    <row r="631" spans="1:16" x14ac:dyDescent="0.3">
      <c r="A631" s="146"/>
      <c r="B631" s="94">
        <v>44166</v>
      </c>
      <c r="C631" s="92">
        <f t="shared" ref="C631:C632" si="15">SUM(D631:P631)</f>
        <v>11791.41</v>
      </c>
      <c r="D631" s="110">
        <v>3199.86</v>
      </c>
      <c r="E631" s="110">
        <v>5648.44</v>
      </c>
      <c r="F631" s="110"/>
      <c r="G631" s="110"/>
      <c r="H631" s="110">
        <v>48</v>
      </c>
      <c r="I631" s="110"/>
      <c r="J631" s="110"/>
      <c r="K631" s="110">
        <v>2880.11</v>
      </c>
      <c r="L631" s="110"/>
      <c r="M631" s="110"/>
      <c r="N631" s="110"/>
      <c r="O631" s="110"/>
      <c r="P631" s="122">
        <v>15</v>
      </c>
    </row>
    <row r="632" spans="1:16" x14ac:dyDescent="0.3">
      <c r="A632" s="146"/>
      <c r="B632" s="94">
        <v>44197</v>
      </c>
      <c r="C632" s="92">
        <f t="shared" si="15"/>
        <v>6268.4000000000005</v>
      </c>
      <c r="D632" s="110">
        <v>1587.24</v>
      </c>
      <c r="E632" s="110">
        <v>3721.11</v>
      </c>
      <c r="F632" s="110"/>
      <c r="G632" s="110"/>
      <c r="H632" s="110"/>
      <c r="I632" s="110"/>
      <c r="J632" s="110"/>
      <c r="K632" s="110">
        <v>960.05</v>
      </c>
      <c r="L632" s="110"/>
      <c r="M632" s="110"/>
      <c r="N632" s="110"/>
      <c r="O632" s="110"/>
      <c r="P632" s="122"/>
    </row>
    <row r="633" spans="1:16" x14ac:dyDescent="0.3">
      <c r="A633" s="146"/>
      <c r="B633" s="94">
        <v>44228</v>
      </c>
      <c r="C633" s="92">
        <f t="shared" ref="C633:C639" si="16">SUM(D633:P633)</f>
        <v>2579.71</v>
      </c>
      <c r="D633" s="110">
        <v>951.78</v>
      </c>
      <c r="E633" s="110">
        <v>959.02</v>
      </c>
      <c r="F633" s="110"/>
      <c r="G633" s="110"/>
      <c r="H633" s="110">
        <v>89</v>
      </c>
      <c r="I633" s="110"/>
      <c r="J633" s="110"/>
      <c r="K633" s="110">
        <v>579.91</v>
      </c>
      <c r="L633" s="110"/>
      <c r="M633" s="110"/>
      <c r="N633" s="110"/>
      <c r="O633" s="110"/>
      <c r="P633" s="122"/>
    </row>
    <row r="634" spans="1:16" x14ac:dyDescent="0.3">
      <c r="A634" s="146"/>
      <c r="B634" s="94">
        <v>44256</v>
      </c>
      <c r="C634" s="92">
        <f t="shared" si="16"/>
        <v>4947.7100000000009</v>
      </c>
      <c r="D634" s="110">
        <v>1413.57</v>
      </c>
      <c r="E634" s="110">
        <v>2374.15</v>
      </c>
      <c r="F634" s="110">
        <v>8.1199999999999992</v>
      </c>
      <c r="G634" s="110">
        <v>31.68</v>
      </c>
      <c r="H634" s="110">
        <v>288</v>
      </c>
      <c r="I634" s="110"/>
      <c r="J634" s="110"/>
      <c r="K634" s="110">
        <v>832.19</v>
      </c>
      <c r="L634" s="110"/>
      <c r="M634" s="110"/>
      <c r="N634" s="110"/>
      <c r="O634" s="110"/>
      <c r="P634" s="110"/>
    </row>
    <row r="635" spans="1:16" x14ac:dyDescent="0.3">
      <c r="A635" s="146"/>
      <c r="B635" s="94">
        <v>44287</v>
      </c>
      <c r="C635" s="92">
        <f t="shared" si="16"/>
        <v>2979.12</v>
      </c>
      <c r="D635" s="110">
        <v>408.65</v>
      </c>
      <c r="E635" s="110">
        <v>1744.43</v>
      </c>
      <c r="F635" s="110"/>
      <c r="G635" s="110"/>
      <c r="H635" s="110"/>
      <c r="I635" s="110"/>
      <c r="J635" s="110"/>
      <c r="K635" s="110">
        <v>811.04</v>
      </c>
      <c r="L635" s="110">
        <v>15</v>
      </c>
      <c r="M635" s="110"/>
      <c r="N635" s="110"/>
      <c r="O635" s="110"/>
      <c r="P635" s="110"/>
    </row>
    <row r="636" spans="1:16" x14ac:dyDescent="0.3">
      <c r="A636" s="146"/>
      <c r="B636" s="94">
        <v>44317</v>
      </c>
      <c r="C636" s="92">
        <f t="shared" si="16"/>
        <v>2610.86</v>
      </c>
      <c r="D636" s="110">
        <v>431.69</v>
      </c>
      <c r="E636" s="110">
        <v>1170.9100000000001</v>
      </c>
      <c r="F636" s="110"/>
      <c r="G636" s="110">
        <v>5.04</v>
      </c>
      <c r="H636" s="110">
        <v>544.70000000000005</v>
      </c>
      <c r="I636" s="110"/>
      <c r="J636" s="110"/>
      <c r="K636" s="110">
        <v>458.52</v>
      </c>
      <c r="L636" s="110"/>
      <c r="M636" s="110"/>
      <c r="N636" s="110"/>
      <c r="O636" s="110"/>
      <c r="P636" s="110"/>
    </row>
    <row r="637" spans="1:16" x14ac:dyDescent="0.3">
      <c r="A637" s="146"/>
      <c r="B637" s="94">
        <v>44348</v>
      </c>
      <c r="C637" s="92">
        <f t="shared" si="16"/>
        <v>2648.55</v>
      </c>
      <c r="D637" s="110">
        <v>678.73</v>
      </c>
      <c r="E637" s="110">
        <v>1446.31</v>
      </c>
      <c r="F637" s="110"/>
      <c r="G637" s="110"/>
      <c r="H637" s="110"/>
      <c r="I637" s="110"/>
      <c r="J637" s="110"/>
      <c r="K637" s="110">
        <v>523.51</v>
      </c>
      <c r="L637" s="110"/>
      <c r="M637" s="110"/>
      <c r="N637" s="110"/>
      <c r="O637" s="110"/>
      <c r="P637" s="110"/>
    </row>
    <row r="638" spans="1:16" x14ac:dyDescent="0.3">
      <c r="A638" s="146"/>
      <c r="B638" s="94">
        <v>44378</v>
      </c>
      <c r="C638" s="92">
        <f t="shared" si="16"/>
        <v>0</v>
      </c>
      <c r="D638" s="110">
        <v>0</v>
      </c>
      <c r="E638" s="110">
        <v>0</v>
      </c>
      <c r="F638" s="110">
        <v>0</v>
      </c>
      <c r="G638" s="110"/>
      <c r="H638" s="110"/>
      <c r="I638" s="110"/>
      <c r="J638" s="110"/>
      <c r="K638" s="110">
        <v>0</v>
      </c>
      <c r="L638" s="110"/>
      <c r="M638" s="110"/>
      <c r="N638" s="110"/>
      <c r="O638" s="110"/>
      <c r="P638" s="110"/>
    </row>
    <row r="639" spans="1:16" x14ac:dyDescent="0.3">
      <c r="A639" s="146"/>
      <c r="B639" s="94">
        <v>44409</v>
      </c>
      <c r="C639" s="92">
        <f t="shared" si="16"/>
        <v>6817.01</v>
      </c>
      <c r="D639" s="110">
        <v>1647.37</v>
      </c>
      <c r="E639" s="110">
        <v>3883.48</v>
      </c>
      <c r="F639" s="110"/>
      <c r="G639" s="110">
        <v>13.8</v>
      </c>
      <c r="H639" s="110"/>
      <c r="I639" s="110"/>
      <c r="J639" s="110"/>
      <c r="K639" s="110">
        <v>1272.3599999999999</v>
      </c>
      <c r="L639" s="110"/>
      <c r="M639" s="110"/>
      <c r="N639" s="110"/>
      <c r="O639" s="110"/>
      <c r="P639" s="110"/>
    </row>
    <row r="640" spans="1:16" x14ac:dyDescent="0.3">
      <c r="A640" s="146"/>
      <c r="B640" s="94">
        <v>44440</v>
      </c>
      <c r="C640" s="92">
        <f t="shared" ref="C640:C645" si="17">SUM(D640:P640)</f>
        <v>20451.559999999998</v>
      </c>
      <c r="D640" s="92">
        <f>GETPIVOTDATA("CA",[1]Feuil1!$A$1,"Agence","Cergy","Catégorie","Petit Format Couleur")</f>
        <v>5583.28</v>
      </c>
      <c r="E640" s="92">
        <f>GETPIVOTDATA("CA",[1]Feuil1!$A$1,"Agence","Cergy","Catégorie","Petit Format N&amp;B")</f>
        <v>12037.36</v>
      </c>
      <c r="F640" s="92">
        <f>GETPIVOTDATA("CA",[1]Feuil1!$A$1,"Agence","Cergy","Catégorie","Grand Format Couleur")</f>
        <v>33</v>
      </c>
      <c r="G640" s="92">
        <f>GETPIVOTDATA("CA",[1]Feuil1!$A$1,"Agence","Cergy","Catégorie","Grand Format n&amp;b")</f>
        <v>18</v>
      </c>
      <c r="H640" s="92">
        <f>GETPIVOTDATA("CA",[1]Feuil1!$A$1,"Agence","Cergy","Catégorie","imagerie")</f>
        <v>540.38</v>
      </c>
      <c r="I640" s="92">
        <f>GETPIVOTDATA("CA",[1]Feuil1!$A$1,"Agence","Cergy","Catégorie","Numérisation")</f>
        <v>70.37</v>
      </c>
      <c r="J640" s="92">
        <f>GETPIVOTDATA("CA",[1]Feuil1!$A$1,"Agence","Cergy","Catégorie","Sous Traitance")</f>
        <v>0</v>
      </c>
      <c r="K640" s="92">
        <f>GETPIVOTDATA("CA",[1]Feuil1!$A$1,"Agence","Cergy","Catégorie","finition")</f>
        <v>2169.17</v>
      </c>
      <c r="L640" s="92">
        <f>GETPIVOTDATA("CA",[1]Feuil1!$A$1,"Agence","Cergy","Catégorie","Livraison")</f>
        <v>0</v>
      </c>
      <c r="M640" s="92">
        <f>GETPIVOTDATA("CA",[1]Feuil1!$A$1,"Agence","Cergy","Catégorie","divers")</f>
        <v>0</v>
      </c>
      <c r="N640" s="92">
        <f>GETPIVOTDATA("CA",[1]Feuil1!$A$1,"Agence","Cergy","Catégorie","Cross Media")</f>
        <v>0</v>
      </c>
      <c r="O640" s="92">
        <f>GETPIVOTDATA("CA",[1]Feuil1!$A$1,"Agence","Cergy","Catégorie","affranchissement")</f>
        <v>0</v>
      </c>
      <c r="P640" s="92">
        <f>GETPIVOTDATA("CA",[1]Feuil1!$A$1,"Agence","Cergy","Catégorie","STUDIO GRAPHIQUE")</f>
        <v>0</v>
      </c>
    </row>
    <row r="641" spans="1:16" x14ac:dyDescent="0.3">
      <c r="A641" s="146"/>
      <c r="B641" s="94">
        <v>44470</v>
      </c>
      <c r="C641" s="92">
        <f t="shared" si="17"/>
        <v>17510.189999999999</v>
      </c>
      <c r="D641" s="110">
        <f>GETPIVOTDATA("CA",[2]Feuil1!$A$1,"Agence","Cergy","Catégorie","Petit Format Couleur")</f>
        <v>7525.03</v>
      </c>
      <c r="E641" s="110">
        <f>GETPIVOTDATA("CA",[2]Feuil1!$A$1,"Agence","Cergy","Catégorie","Petit Format N&amp;B")</f>
        <v>4167.21</v>
      </c>
      <c r="F641" s="110">
        <f>GETPIVOTDATA("CA",[2]Feuil1!$A$1,"Agence","Cergy","Catégorie","Grand Format Couleur")</f>
        <v>0</v>
      </c>
      <c r="G641" s="110">
        <f>GETPIVOTDATA("CA",[2]Feuil1!$A$1,"Agence","Cergy","Catégorie","Grand Format n&amp;b")</f>
        <v>0</v>
      </c>
      <c r="H641" s="110">
        <f>GETPIVOTDATA("CA",[2]Feuil1!$A$1,"Agence","Cergy","Catégorie","imagerie")</f>
        <v>344.41</v>
      </c>
      <c r="I641" s="110">
        <f>GETPIVOTDATA("CA",[2]Feuil1!$A$1,"Agence","Cergy","Catégorie","Numérisation")</f>
        <v>0</v>
      </c>
      <c r="J641" s="110">
        <f>GETPIVOTDATA("CA",[2]Feuil1!$A$1,"Agence","Cergy","Catégorie","Sous Traitance")</f>
        <v>0</v>
      </c>
      <c r="K641" s="110">
        <f>GETPIVOTDATA("CA",[2]Feuil1!$A$1,"Agence","Cergy","Catégorie","finition")</f>
        <v>5473.54</v>
      </c>
      <c r="L641" s="110">
        <f>GETPIVOTDATA("CA",[2]Feuil1!$A$1,"Agence","Cergy","Catégorie","Livraison")</f>
        <v>0</v>
      </c>
      <c r="M641" s="110">
        <f>GETPIVOTDATA("CA",[2]Feuil1!$A$1,"Agence","Cergy","Catégorie","divers")</f>
        <v>0</v>
      </c>
      <c r="N641" s="110">
        <f>GETPIVOTDATA("CA",[2]Feuil1!$A$1,"Agence","Cergy","Catégorie","Cross Media")</f>
        <v>0</v>
      </c>
      <c r="O641" s="110">
        <f>GETPIVOTDATA("CA",[2]Feuil1!$A$1,"Agence","Cergy","Catégorie","affranchissement")</f>
        <v>0</v>
      </c>
      <c r="P641" s="122">
        <f>GETPIVOTDATA("CA",[2]Feuil1!$A$1,"Agence","Cergy","Catégorie","STUDIO GRAPHIQUE")</f>
        <v>0</v>
      </c>
    </row>
    <row r="642" spans="1:16" x14ac:dyDescent="0.3">
      <c r="A642" s="146"/>
      <c r="B642" s="94">
        <v>44501</v>
      </c>
      <c r="C642" s="92">
        <f t="shared" si="17"/>
        <v>9251.5899999999983</v>
      </c>
      <c r="D642" s="110">
        <f>GETPIVOTDATA("CA",[3]Feuil1!$A$1,"Agence","Cergy","Catégorie","Petit Format Couleur")</f>
        <v>4500.12</v>
      </c>
      <c r="E642" s="110">
        <f>GETPIVOTDATA("CA",[3]Feuil1!$A$1,"Agence","Cergy","Catégorie","Petit Format N&amp;B")</f>
        <v>3077.6</v>
      </c>
      <c r="F642" s="110">
        <f>GETPIVOTDATA("CA",[3]Feuil1!$A$1,"Agence","Cergy","Catégorie","Grand Format Couleur")</f>
        <v>0</v>
      </c>
      <c r="G642" s="110">
        <f>GETPIVOTDATA("CA",[3]Feuil1!$A$1,"Agence","Cergy","Catégorie","Grand Format n&amp;b")</f>
        <v>0</v>
      </c>
      <c r="H642" s="110">
        <f>GETPIVOTDATA("CA",[3]Feuil1!$A$1,"Agence","Cergy","Catégorie","imagerie")</f>
        <v>746.74</v>
      </c>
      <c r="I642" s="110">
        <f>GETPIVOTDATA("CA",[3]Feuil1!$A$1,"Agence","Cergy","Catégorie","Numérisation")</f>
        <v>0</v>
      </c>
      <c r="J642" s="110">
        <f>GETPIVOTDATA("CA",[3]Feuil1!$A$1,"Agence","Cergy","Catégorie","Sous Traitance")</f>
        <v>0</v>
      </c>
      <c r="K642" s="110">
        <f>GETPIVOTDATA("CA",[3]Feuil1!$A$1,"Agence","Cergy","Catégorie","finition")</f>
        <v>927.13</v>
      </c>
      <c r="L642" s="110">
        <f>GETPIVOTDATA("CA",[3]Feuil1!$A$1,"Agence","Cergy","Catégorie","Livraison")</f>
        <v>0</v>
      </c>
      <c r="M642" s="110">
        <f>GETPIVOTDATA("CA",[3]Feuil1!$A$1,"Agence","Cergy","Catégorie","divers")</f>
        <v>0</v>
      </c>
      <c r="N642" s="110">
        <f>GETPIVOTDATA("CA",[3]Feuil1!$A$1,"Agence","Cergy","Catégorie","Cross Media")</f>
        <v>0</v>
      </c>
      <c r="O642" s="110">
        <f>GETPIVOTDATA("CA",[3]Feuil1!$A$1,"Agence","Cergy","Catégorie","affranchissement")</f>
        <v>0</v>
      </c>
      <c r="P642" s="122">
        <f>GETPIVOTDATA("CA",[3]Feuil1!$A$1,"Agence","Cergy","Catégorie","STUDIO GRAPHIQUE")</f>
        <v>0</v>
      </c>
    </row>
    <row r="643" spans="1:16" x14ac:dyDescent="0.3">
      <c r="A643" s="146"/>
      <c r="B643" s="94">
        <v>44531</v>
      </c>
      <c r="C643" s="92">
        <f t="shared" si="17"/>
        <v>10419.620000000001</v>
      </c>
      <c r="D643" s="110">
        <f>GETPIVOTDATA("CA",[4]Feuil1!$A$1,"Agence","Cergy","Catégorie","Petit Format Couleur")</f>
        <v>4149.78</v>
      </c>
      <c r="E643" s="110">
        <f>GETPIVOTDATA("CA",[4]Feuil1!$A$1,"Agence","Cergy","Catégorie","Petit Format N&amp;B")</f>
        <v>4736.13</v>
      </c>
      <c r="F643" s="110">
        <f>GETPIVOTDATA("CA",[4]Feuil1!$A$1,"Agence","Cergy","Catégorie","Grand Format Couleur")</f>
        <v>0</v>
      </c>
      <c r="G643" s="110">
        <f>GETPIVOTDATA("CA",[4]Feuil1!$A$1,"Agence","Cergy","Catégorie","Grand Format n&amp;b")</f>
        <v>0</v>
      </c>
      <c r="H643" s="110">
        <f>GETPIVOTDATA("CA",[4]Feuil1!$A$1,"Agence","Cergy","Catégorie","imagerie")</f>
        <v>417.6</v>
      </c>
      <c r="I643" s="110">
        <f>GETPIVOTDATA("CA",[4]Feuil1!$A$1,"Agence","Cergy","Catégorie","Numérisation")</f>
        <v>0</v>
      </c>
      <c r="J643" s="110">
        <f>GETPIVOTDATA("CA",[4]Feuil1!$A$1,"Agence","Cergy","Catégorie","Sous Traitance")</f>
        <v>0</v>
      </c>
      <c r="K643" s="110">
        <f>GETPIVOTDATA("CA",[4]Feuil1!$A$1,"Agence","Cergy","Catégorie","finition")</f>
        <v>1086.1099999999999</v>
      </c>
      <c r="L643" s="110">
        <f>GETPIVOTDATA("CA",[4]Feuil1!$A$1,"Agence","Cergy","Catégorie","Livraison")</f>
        <v>30</v>
      </c>
      <c r="M643" s="110">
        <f>GETPIVOTDATA("CA",[4]Feuil1!$A$1,"Agence","Cergy","Catégorie","divers")</f>
        <v>0</v>
      </c>
      <c r="N643" s="110">
        <f>GETPIVOTDATA("CA",[4]Feuil1!$A$1,"Agence","Cergy","Catégorie","Cross Media")</f>
        <v>0</v>
      </c>
      <c r="O643" s="110">
        <f>GETPIVOTDATA("CA",[4]Feuil1!$A$1,"Agence","Cergy","Catégorie","affranchissement")</f>
        <v>0</v>
      </c>
      <c r="P643" s="122">
        <f>GETPIVOTDATA("CA",[4]Feuil1!$A$1,"Agence","Cergy","Catégorie","STUDIO GRAPHIQUE")</f>
        <v>0</v>
      </c>
    </row>
    <row r="644" spans="1:16" x14ac:dyDescent="0.3">
      <c r="A644" s="146"/>
      <c r="B644" s="94">
        <v>44562</v>
      </c>
      <c r="C644" s="92">
        <f t="shared" si="17"/>
        <v>13328.539999999999</v>
      </c>
      <c r="D644" s="110">
        <f>GETPIVOTDATA("CA",[5]Feuil1!$A$1,"Agence","Cergy","Catégorie","Petit Format Couleur")</f>
        <v>3264.23</v>
      </c>
      <c r="E644" s="110">
        <f>GETPIVOTDATA("CA",[5]Feuil1!$A$1,"Agence","Cergy","Catégorie","Petit Format N&amp;B")</f>
        <v>8285.26</v>
      </c>
      <c r="F644" s="110">
        <f>GETPIVOTDATA("CA",[5]Feuil1!$A$1,"Agence","Cergy","Catégorie","Grand Format Couleur")</f>
        <v>0</v>
      </c>
      <c r="G644" s="110">
        <f>GETPIVOTDATA("CA",[5]Feuil1!$A$1,"Agence","Cergy","Catégorie","Grand Format n&amp;b")</f>
        <v>0.72</v>
      </c>
      <c r="H644" s="110">
        <f>GETPIVOTDATA("CA",[5]Feuil1!$A$1,"Agence","Cergy","Catégorie","imagerie")</f>
        <v>555.28</v>
      </c>
      <c r="I644" s="110">
        <f>GETPIVOTDATA("CA",[5]Feuil1!$A$1,"Agence","Cergy","Catégorie","Numérisation")</f>
        <v>0</v>
      </c>
      <c r="J644" s="110">
        <f>GETPIVOTDATA("CA",[5]Feuil1!$A$1,"Agence","Cergy","Catégorie","Sous Traitance")</f>
        <v>0</v>
      </c>
      <c r="K644" s="110">
        <f>GETPIVOTDATA("CA",[5]Feuil1!$A$1,"Agence","Cergy","Catégorie","finition")</f>
        <v>1223.05</v>
      </c>
      <c r="L644" s="110">
        <f>GETPIVOTDATA("CA",[5]Feuil1!$A$1,"Agence","Cergy","Catégorie","Livraison")</f>
        <v>0</v>
      </c>
      <c r="M644" s="110">
        <f>GETPIVOTDATA("CA",[5]Feuil1!$A$1,"Agence","Cergy","Catégorie","divers")</f>
        <v>0</v>
      </c>
      <c r="N644" s="110">
        <f>GETPIVOTDATA("CA",[5]Feuil1!$A$1,"Agence","Cergy","Catégorie","Cross Media")</f>
        <v>0</v>
      </c>
      <c r="O644" s="110">
        <f>GETPIVOTDATA("CA",[5]Feuil1!$A$1,"Agence","Cergy","Catégorie","affranchissement")</f>
        <v>0</v>
      </c>
      <c r="P644" s="122">
        <f>GETPIVOTDATA("CA",[5]Feuil1!$A$1,"Agence","Cergy","Catégorie","STUDIO GRAPHIQUE")</f>
        <v>0</v>
      </c>
    </row>
    <row r="645" spans="1:16" x14ac:dyDescent="0.3">
      <c r="A645" s="146"/>
      <c r="B645" s="94">
        <v>44593</v>
      </c>
      <c r="C645" s="92">
        <f t="shared" si="17"/>
        <v>7140.45</v>
      </c>
      <c r="D645" s="110">
        <f>GETPIVOTDATA("CA",[6]Feuil1!$A$1,"Agence","Cergy","Catégorie","Petit Format Couleur")</f>
        <v>2607.58</v>
      </c>
      <c r="E645" s="110">
        <f>GETPIVOTDATA("CA",[6]Feuil1!$A$1,"Agence","Cergy","Catégorie","Petit Format N&amp;B")</f>
        <v>2855.06</v>
      </c>
      <c r="F645" s="110">
        <f>GETPIVOTDATA("CA",[6]Feuil1!$A$1,"Agence","Cergy","Catégorie","Grand Format Couleur")</f>
        <v>0</v>
      </c>
      <c r="G645" s="110">
        <f>GETPIVOTDATA("CA",[6]Feuil1!$A$1,"Agence","Cergy","Catégorie","Grand Format n&amp;b")</f>
        <v>0</v>
      </c>
      <c r="H645" s="110">
        <f>GETPIVOTDATA("CA",[6]Feuil1!$A$1,"Agence","Cergy","Catégorie","imagerie")</f>
        <v>754.14</v>
      </c>
      <c r="I645" s="110">
        <f>GETPIVOTDATA("CA",[6]Feuil1!$A$1,"Agence","Cergy","Catégorie","Numérisation")</f>
        <v>0</v>
      </c>
      <c r="J645" s="110">
        <f>GETPIVOTDATA("CA",[6]Feuil1!$A$1,"Agence","Cergy","Catégorie","Sous Traitance")</f>
        <v>0</v>
      </c>
      <c r="K645" s="110">
        <f>GETPIVOTDATA("CA",[6]Feuil1!$A$1,"Agence","Cergy","Catégorie","finition")</f>
        <v>923.67</v>
      </c>
      <c r="L645" s="110">
        <f>GETPIVOTDATA("CA",[6]Feuil1!$A$1,"Agence","Cergy","Catégorie","Livraison")</f>
        <v>0</v>
      </c>
      <c r="M645" s="110">
        <f>GETPIVOTDATA("CA",[6]Feuil1!$A$1,"Agence","Cergy","Catégorie","divers")</f>
        <v>0</v>
      </c>
      <c r="N645" s="110">
        <f>GETPIVOTDATA("CA",[6]Feuil1!$A$1,"Agence","Cergy","Catégorie","Cross Media")</f>
        <v>0</v>
      </c>
      <c r="O645" s="110">
        <f>GETPIVOTDATA("CA",[6]Feuil1!$A$1,"Agence","Cergy","Catégorie","affranchissement")</f>
        <v>0</v>
      </c>
      <c r="P645" s="122">
        <f>GETPIVOTDATA("CA",[6]Feuil1!$A$1,"Agence","Cergy","Catégorie","STUDIO GRAPHIQUE")</f>
        <v>0</v>
      </c>
    </row>
    <row r="646" spans="1:16" x14ac:dyDescent="0.3">
      <c r="A646" s="146"/>
      <c r="B646" s="94">
        <v>44621</v>
      </c>
      <c r="C646" s="92">
        <f>SUM(D646:P646)</f>
        <v>6829.8</v>
      </c>
      <c r="D646" s="110">
        <f>GETPIVOTDATA("Montant",[7]Feuil1!$A$1,"Agence","Cergy","Catégorie","Petit Format Couleur")</f>
        <v>2576.44</v>
      </c>
      <c r="E646" s="110">
        <f>GETPIVOTDATA("Montant",[7]Feuil1!$A$1,"Agence","Cergy","Catégorie","Petit Format N&amp;B")</f>
        <v>2714.9</v>
      </c>
      <c r="F646" s="110">
        <f>GETPIVOTDATA("Montant",[7]Feuil1!$A$1,"Agence","Cergy","Catégorie","Grand Format Couleur")</f>
        <v>38.380000000000003</v>
      </c>
      <c r="G646" s="110">
        <f>GETPIVOTDATA("Montant",[7]Feuil1!$A$1,"Agence","Cergy","Catégorie","Grand Format n&amp;b")</f>
        <v>3.57</v>
      </c>
      <c r="H646" s="110">
        <f>GETPIVOTDATA("Montant",[7]Feuil1!$A$1,"Agence","Cergy","Catégorie","imagerie")</f>
        <v>440.18</v>
      </c>
      <c r="I646" s="110">
        <f>GETPIVOTDATA("Montant",[7]Feuil1!$A$1,"Agence","Cergy","Catégorie","Numérisation")</f>
        <v>0</v>
      </c>
      <c r="J646" s="110">
        <f>GETPIVOTDATA("Montant",[7]Feuil1!$A$1,"Agence","Cergy","Catégorie","Sous Traitance")</f>
        <v>0</v>
      </c>
      <c r="K646" s="110">
        <f>GETPIVOTDATA("Montant",[7]Feuil1!$A$1,"Agence","Cergy","Catégorie","finition")</f>
        <v>1028.33</v>
      </c>
      <c r="L646" s="110">
        <f>GETPIVOTDATA("Montant",[7]Feuil1!$A$1,"Agence","Cergy","Catégorie","Livraison")</f>
        <v>0</v>
      </c>
      <c r="M646" s="110">
        <f>GETPIVOTDATA("Montant",[7]Feuil1!$A$1,"Agence","Cergy","Catégorie","divers")</f>
        <v>22</v>
      </c>
      <c r="N646" s="110">
        <f>GETPIVOTDATA("Montant",[7]Feuil1!$A$1,"Agence","Cergy","Catégorie","Cross Media")</f>
        <v>0</v>
      </c>
      <c r="O646" s="110">
        <f>GETPIVOTDATA("Montant",[7]Feuil1!$A$1,"Agence","Cergy","Catégorie","affranchissement")</f>
        <v>0</v>
      </c>
      <c r="P646" s="122">
        <f>GETPIVOTDATA("Montant",[7]Feuil1!$A$1,"Agence","Cergy","Catégorie","STUDIO GRAPHIQUE")</f>
        <v>6</v>
      </c>
    </row>
    <row r="647" spans="1:16" x14ac:dyDescent="0.3">
      <c r="A647" s="146"/>
      <c r="B647" s="94">
        <v>44652</v>
      </c>
      <c r="C647" s="92">
        <f>SUM(D647:P647)</f>
        <v>7789.1100000000006</v>
      </c>
      <c r="D647" s="110">
        <f>GETPIVOTDATA("CA",[8]Feuil1!$A$1,"Agence","Cergy","Catégorie","Petit Format Couleur")</f>
        <v>3690.78</v>
      </c>
      <c r="E647" s="110">
        <f>GETPIVOTDATA("CA",[8]Feuil1!$A$1,"Agence","Cergy","Catégorie","Petit Format N&amp;B")</f>
        <v>2944.66</v>
      </c>
      <c r="F647" s="110">
        <f>GETPIVOTDATA("CA",[8]Feuil1!$A$1,"Agence","Cergy","Catégorie","Grand Format Couleur")</f>
        <v>0</v>
      </c>
      <c r="G647" s="110">
        <f>GETPIVOTDATA("CA",[8]Feuil1!$A$1,"Agence","Cergy","Catégorie","Grand Format n&amp;b")</f>
        <v>0</v>
      </c>
      <c r="H647" s="110">
        <f>GETPIVOTDATA("CA",[8]Feuil1!$A$1,"Agence","Cergy","Catégorie","imagerie")</f>
        <v>46.33</v>
      </c>
      <c r="I647" s="110">
        <f>GETPIVOTDATA("CA",[8]Feuil1!$A$1,"Agence","Cergy","Catégorie","Numérisation")</f>
        <v>0</v>
      </c>
      <c r="J647" s="110">
        <f>GETPIVOTDATA("CA",[8]Feuil1!$A$1,"Agence","Cergy","Catégorie","Sous Traitance")</f>
        <v>0</v>
      </c>
      <c r="K647" s="110">
        <f>GETPIVOTDATA("CA",[8]Feuil1!$A$1,"Agence","Cergy","Catégorie","finition")</f>
        <v>1046.3399999999999</v>
      </c>
      <c r="L647" s="110">
        <f>GETPIVOTDATA("CA",[8]Feuil1!$A$1,"Agence","Cergy","Catégorie","Livraison")</f>
        <v>0</v>
      </c>
      <c r="M647" s="110">
        <f>GETPIVOTDATA("CA",[8]Feuil1!$A$1,"Agence","Cergy","Catégorie","divers")</f>
        <v>61</v>
      </c>
      <c r="N647" s="110">
        <v>0</v>
      </c>
      <c r="O647" s="110">
        <f>GETPIVOTDATA("CA",[8]Feuil1!$A$1,"Agence","Cergy","Catégorie","affranchissement")</f>
        <v>0</v>
      </c>
      <c r="P647" s="122">
        <f>GETPIVOTDATA("CA",[8]Feuil1!$A$1,"Agence","Cergy","Catégorie","STUDIO GRAPHIQUE")</f>
        <v>0</v>
      </c>
    </row>
    <row r="648" spans="1:16" x14ac:dyDescent="0.3">
      <c r="A648" s="146"/>
      <c r="B648" s="94">
        <v>44682</v>
      </c>
      <c r="C648" s="92">
        <f>SUM(D648:P648)</f>
        <v>3677.13</v>
      </c>
      <c r="D648" s="110">
        <f>GETPIVOTDATA("CA",[9]Feuil1!$A$1,"Agence","Cergy","Catégorie","Petit Format Couleur")</f>
        <v>1586.63</v>
      </c>
      <c r="E648" s="110">
        <f>GETPIVOTDATA("CA",[9]Feuil1!$A$1,"Agence","Cergy","Catégorie","Petit Format N&amp;B")</f>
        <v>918.56</v>
      </c>
      <c r="F648" s="110">
        <f>GETPIVOTDATA("CA",[9]Feuil1!$A$1,"Agence","Cergy","Catégorie","Grand Format Couleur")</f>
        <v>19.2</v>
      </c>
      <c r="G648" s="110">
        <f>GETPIVOTDATA("CA",[9]Feuil1!$A$1,"Agence","Cergy","Catégorie","Grand Format n&amp;b")</f>
        <v>0</v>
      </c>
      <c r="H648" s="110">
        <f>GETPIVOTDATA("CA",[9]Feuil1!$A$1,"Agence","Cergy","Catégorie","imagerie")</f>
        <v>577.03</v>
      </c>
      <c r="I648" s="110">
        <f>GETPIVOTDATA("CA",[9]Feuil1!$A$1,"Agence","Cergy","Catégorie","Numérisation")</f>
        <v>0</v>
      </c>
      <c r="J648" s="110">
        <f>GETPIVOTDATA("CA",[9]Feuil1!$A$1,"Agence","Cergy","Catégorie","Sous Traitance")</f>
        <v>0</v>
      </c>
      <c r="K648" s="110">
        <f>GETPIVOTDATA("CA",[9]Feuil1!$A$1,"Agence","Cergy","Catégorie","finition")</f>
        <v>533.42999999999995</v>
      </c>
      <c r="L648" s="110">
        <f>GETPIVOTDATA("CA",[9]Feuil1!$A$1,"Agence","Cergy","Catégorie","Livraison")</f>
        <v>35.28</v>
      </c>
      <c r="M648" s="110">
        <f>GETPIVOTDATA("CA",[9]Feuil1!$A$1,"Agence","Cergy","Catégorie","divers")</f>
        <v>7</v>
      </c>
      <c r="N648" s="110">
        <f>GETPIVOTDATA("CA",[9]Feuil1!$A$1,"Agence","Cergy","Catégorie","Cross Media")</f>
        <v>0</v>
      </c>
      <c r="O648" s="110">
        <f>GETPIVOTDATA("CA",[9]Feuil1!$A$1,"Agence","Cergy","Catégorie","affranchissement")</f>
        <v>0</v>
      </c>
      <c r="P648" s="122">
        <f>GETPIVOTDATA("CA",[9]Feuil1!$A$1,"Agence","Cergy","Catégorie","STUDIO GRAPHIQUE")</f>
        <v>0</v>
      </c>
    </row>
    <row r="649" spans="1:16" x14ac:dyDescent="0.3">
      <c r="A649" s="146"/>
      <c r="B649" s="94">
        <v>44713</v>
      </c>
      <c r="C649" s="92">
        <f>SUM(D649:P649)</f>
        <v>5163.88</v>
      </c>
      <c r="D649" s="110">
        <f>GETPIVOTDATA("Montant",[10]Feuil1!$A$1,"Agence","Cergy","Catégorie","Petit Format Couleur")</f>
        <v>1761.24</v>
      </c>
      <c r="E649" s="110">
        <f>GETPIVOTDATA("Montant",[10]Feuil1!$A$1,"Agence","Cergy","Catégorie","Petit Format N&amp;B")</f>
        <v>2370.35</v>
      </c>
      <c r="F649" s="110">
        <f>GETPIVOTDATA("Montant",[10]Feuil1!$A$1,"Agence","Cergy","Catégorie","Grand Format Couleur")</f>
        <v>2.25</v>
      </c>
      <c r="G649" s="110">
        <f>GETPIVOTDATA("Montant",[10]Feuil1!$A$1,"Agence","Cergy","Catégorie","Grand Format n&amp;b")</f>
        <v>0</v>
      </c>
      <c r="H649" s="110">
        <f>GETPIVOTDATA("Montant",[10]Feuil1!$A$1,"Agence","Cergy","Catégorie","imagerie")</f>
        <v>447.49</v>
      </c>
      <c r="I649" s="110">
        <f>GETPIVOTDATA("Montant",[10]Feuil1!$A$1,"Agence","Cergy","Catégorie","Numérisation")</f>
        <v>0</v>
      </c>
      <c r="J649" s="110">
        <f>GETPIVOTDATA("Montant",[10]Feuil1!$A$1,"Agence","Cergy","Catégorie","Sous Traitance")</f>
        <v>0</v>
      </c>
      <c r="K649" s="110">
        <f>GETPIVOTDATA("Montant",[10]Feuil1!$A$1,"Agence","Cergy","Catégorie","finition")</f>
        <v>582.54999999999995</v>
      </c>
      <c r="L649" s="110">
        <f>GETPIVOTDATA("Montant",[10]Feuil1!$A$1,"Agence","Cergy","Catégorie","Livraison")</f>
        <v>0</v>
      </c>
      <c r="M649" s="110">
        <f>GETPIVOTDATA("Montant",[10]Feuil1!$A$1,"Agence","Cergy","Catégorie","divers")</f>
        <v>0</v>
      </c>
      <c r="N649" s="110">
        <f>GETPIVOTDATA("Montant",[10]Feuil1!$A$1,"Agence","Cergy","Catégorie","Cross Media")</f>
        <v>0</v>
      </c>
      <c r="O649" s="110">
        <f>GETPIVOTDATA("Montant",[10]Feuil1!$A$1,"Agence","Cergy","Catégorie","affranchissement")</f>
        <v>0</v>
      </c>
      <c r="P649" s="122">
        <f>GETPIVOTDATA("Montant",[10]Feuil1!$A$1,"Agence","Cergy","Catégorie","STUDIO GRAPHIQUE")</f>
        <v>0</v>
      </c>
    </row>
    <row r="650" spans="1:16" x14ac:dyDescent="0.3">
      <c r="A650" s="146"/>
      <c r="B650" s="94">
        <v>44743</v>
      </c>
      <c r="D650" s="110"/>
      <c r="E650" s="110"/>
      <c r="F650" s="110"/>
      <c r="G650" s="110"/>
      <c r="H650" s="110"/>
      <c r="I650" s="110"/>
      <c r="J650" s="110"/>
      <c r="K650" s="110"/>
      <c r="L650" s="110"/>
      <c r="M650" s="110"/>
      <c r="N650" s="110"/>
      <c r="O650" s="110"/>
      <c r="P650" s="122"/>
    </row>
    <row r="651" spans="1:16" x14ac:dyDescent="0.3">
      <c r="A651" s="146"/>
      <c r="B651" s="94">
        <v>44774</v>
      </c>
      <c r="D651" s="110"/>
      <c r="E651" s="110"/>
      <c r="F651" s="110"/>
      <c r="G651" s="110"/>
      <c r="H651" s="110"/>
      <c r="I651" s="110"/>
      <c r="J651" s="110"/>
      <c r="K651" s="110"/>
      <c r="L651" s="110"/>
      <c r="M651" s="110"/>
      <c r="N651" s="110"/>
      <c r="O651" s="110"/>
      <c r="P651" s="122"/>
    </row>
    <row r="652" spans="1:16" x14ac:dyDescent="0.3">
      <c r="A652" s="146"/>
      <c r="B652" s="94">
        <v>44805</v>
      </c>
      <c r="D652" s="110"/>
      <c r="E652" s="110"/>
      <c r="F652" s="110"/>
      <c r="G652" s="110"/>
      <c r="H652" s="110"/>
      <c r="I652" s="110"/>
      <c r="J652" s="110"/>
      <c r="K652" s="110"/>
      <c r="L652" s="110"/>
      <c r="M652" s="110"/>
      <c r="N652" s="110"/>
      <c r="O652" s="110"/>
      <c r="P652" s="122"/>
    </row>
    <row r="653" spans="1:16" x14ac:dyDescent="0.3">
      <c r="A653" s="146"/>
      <c r="B653" s="94">
        <v>44835</v>
      </c>
      <c r="D653" s="110"/>
      <c r="E653" s="110"/>
      <c r="F653" s="110"/>
      <c r="G653" s="110"/>
      <c r="H653" s="110"/>
      <c r="I653" s="110"/>
      <c r="J653" s="110"/>
      <c r="K653" s="110"/>
      <c r="L653" s="110"/>
      <c r="M653" s="110"/>
      <c r="N653" s="110"/>
      <c r="O653" s="110"/>
      <c r="P653" s="122"/>
    </row>
    <row r="654" spans="1:16" x14ac:dyDescent="0.3">
      <c r="A654" s="146"/>
      <c r="B654" s="94">
        <v>44866</v>
      </c>
      <c r="D654" s="110"/>
      <c r="E654" s="110"/>
      <c r="F654" s="110"/>
      <c r="G654" s="110"/>
      <c r="H654" s="110"/>
      <c r="I654" s="110"/>
      <c r="J654" s="110"/>
      <c r="K654" s="110"/>
      <c r="L654" s="110"/>
      <c r="M654" s="110"/>
      <c r="N654" s="110"/>
      <c r="O654" s="110"/>
      <c r="P654" s="122"/>
    </row>
    <row r="655" spans="1:16" x14ac:dyDescent="0.3">
      <c r="A655" s="146"/>
      <c r="B655" s="94">
        <v>44896</v>
      </c>
      <c r="D655" s="110"/>
      <c r="E655" s="110"/>
      <c r="F655" s="110"/>
      <c r="G655" s="110"/>
      <c r="H655" s="110"/>
      <c r="I655" s="110"/>
      <c r="J655" s="110"/>
      <c r="K655" s="110"/>
      <c r="L655" s="110"/>
      <c r="M655" s="110"/>
      <c r="N655" s="110"/>
      <c r="O655" s="110"/>
      <c r="P655" s="122"/>
    </row>
    <row r="656" spans="1:16" x14ac:dyDescent="0.3">
      <c r="A656" s="146"/>
      <c r="B656" s="94"/>
      <c r="D656" s="110"/>
      <c r="E656" s="110"/>
      <c r="F656" s="110"/>
      <c r="G656" s="110"/>
      <c r="H656" s="110"/>
      <c r="I656" s="110"/>
      <c r="J656" s="110"/>
      <c r="K656" s="110"/>
      <c r="L656" s="110"/>
      <c r="M656" s="110"/>
      <c r="N656" s="110"/>
      <c r="O656" s="110"/>
      <c r="P656" s="122"/>
    </row>
    <row r="657" spans="1:16" s="134" customFormat="1" x14ac:dyDescent="0.3">
      <c r="A657" s="161"/>
      <c r="B657" s="130"/>
      <c r="C657" s="135"/>
      <c r="D657" s="132"/>
      <c r="E657" s="132"/>
      <c r="F657" s="132"/>
      <c r="G657" s="132"/>
      <c r="H657" s="132"/>
      <c r="I657" s="132"/>
      <c r="J657" s="132"/>
      <c r="K657" s="132"/>
      <c r="L657" s="132"/>
      <c r="M657" s="132"/>
      <c r="N657" s="132"/>
      <c r="O657" s="132"/>
      <c r="P657" s="133"/>
    </row>
    <row r="658" spans="1:16" ht="14.7" customHeight="1" x14ac:dyDescent="0.3">
      <c r="A658" s="160" t="s">
        <v>21</v>
      </c>
      <c r="B658" s="94">
        <v>41640</v>
      </c>
      <c r="C658" s="92">
        <f t="shared" ref="C658:C717" si="18">SUM(D658:P658)</f>
        <v>44224.880000000005</v>
      </c>
      <c r="D658" s="92">
        <v>17054.510000000002</v>
      </c>
      <c r="E658" s="92">
        <v>4561.9799999999996</v>
      </c>
      <c r="F658" s="92">
        <v>4.51</v>
      </c>
      <c r="G658" s="92">
        <v>4.5199999999999996</v>
      </c>
      <c r="H658" s="92">
        <v>49.68</v>
      </c>
      <c r="I658" s="92">
        <v>216.60999999999996</v>
      </c>
      <c r="J658" s="92">
        <v>0</v>
      </c>
      <c r="K658" s="92">
        <v>22333.07</v>
      </c>
      <c r="L658" s="92">
        <v>0</v>
      </c>
      <c r="M658" s="92">
        <v>0</v>
      </c>
    </row>
    <row r="659" spans="1:16" x14ac:dyDescent="0.3">
      <c r="A659" s="146"/>
      <c r="B659" s="94">
        <v>41671</v>
      </c>
      <c r="C659" s="92">
        <f t="shared" si="18"/>
        <v>41925.039999999994</v>
      </c>
      <c r="D659" s="92">
        <v>13833.819999999998</v>
      </c>
      <c r="E659" s="92">
        <v>4660.0099999999993</v>
      </c>
      <c r="F659" s="92">
        <v>0</v>
      </c>
      <c r="G659" s="92">
        <v>324.24</v>
      </c>
      <c r="H659" s="92">
        <v>0</v>
      </c>
      <c r="I659" s="92">
        <v>344.44</v>
      </c>
      <c r="J659" s="92">
        <v>0</v>
      </c>
      <c r="K659" s="92">
        <v>22762.53</v>
      </c>
      <c r="L659" s="92">
        <v>0</v>
      </c>
      <c r="M659" s="92">
        <v>0</v>
      </c>
    </row>
    <row r="660" spans="1:16" x14ac:dyDescent="0.3">
      <c r="A660" s="146"/>
      <c r="B660" s="94">
        <v>41699</v>
      </c>
      <c r="C660" s="92">
        <f t="shared" si="18"/>
        <v>32377.42</v>
      </c>
      <c r="D660" s="92">
        <v>17772.13</v>
      </c>
      <c r="E660" s="92">
        <v>2440.9299999999998</v>
      </c>
      <c r="F660" s="92">
        <v>0</v>
      </c>
      <c r="G660" s="92">
        <v>162.94</v>
      </c>
      <c r="H660" s="92">
        <v>0</v>
      </c>
      <c r="I660" s="92">
        <v>1069.3500000000001</v>
      </c>
      <c r="J660" s="92">
        <v>0</v>
      </c>
      <c r="K660" s="92">
        <v>10932.07</v>
      </c>
      <c r="L660" s="92">
        <v>0</v>
      </c>
      <c r="M660" s="92">
        <v>0</v>
      </c>
    </row>
    <row r="661" spans="1:16" x14ac:dyDescent="0.3">
      <c r="A661" s="146"/>
      <c r="B661" s="94">
        <v>41730</v>
      </c>
      <c r="C661" s="92">
        <f t="shared" si="18"/>
        <v>31685.000000000007</v>
      </c>
      <c r="D661" s="92">
        <v>16391.420000000002</v>
      </c>
      <c r="E661" s="92">
        <v>1548.2399999999998</v>
      </c>
      <c r="F661" s="92">
        <v>0</v>
      </c>
      <c r="G661" s="92">
        <v>518.91999999999996</v>
      </c>
      <c r="H661" s="92">
        <v>0</v>
      </c>
      <c r="I661" s="92">
        <v>432.52</v>
      </c>
      <c r="J661" s="92">
        <v>0</v>
      </c>
      <c r="K661" s="92">
        <v>12793.900000000003</v>
      </c>
      <c r="L661" s="92">
        <v>0</v>
      </c>
      <c r="M661" s="92">
        <v>0</v>
      </c>
    </row>
    <row r="662" spans="1:16" x14ac:dyDescent="0.3">
      <c r="A662" s="146"/>
      <c r="B662" s="94">
        <v>41760</v>
      </c>
      <c r="C662" s="92">
        <f t="shared" si="18"/>
        <v>32725.319999999996</v>
      </c>
      <c r="D662" s="92">
        <v>12559.279999999999</v>
      </c>
      <c r="E662" s="92">
        <v>2921.8200000000006</v>
      </c>
      <c r="F662" s="92">
        <v>0</v>
      </c>
      <c r="G662" s="92">
        <v>859.7700000000001</v>
      </c>
      <c r="H662" s="92">
        <v>0</v>
      </c>
      <c r="I662" s="92">
        <v>1191.7999999999997</v>
      </c>
      <c r="J662" s="92">
        <v>0</v>
      </c>
      <c r="K662" s="92">
        <v>15192.649999999998</v>
      </c>
      <c r="L662" s="92">
        <v>0</v>
      </c>
      <c r="M662" s="92">
        <v>0</v>
      </c>
    </row>
    <row r="663" spans="1:16" x14ac:dyDescent="0.3">
      <c r="A663" s="146"/>
      <c r="B663" s="94">
        <v>41791</v>
      </c>
      <c r="C663" s="92">
        <f t="shared" si="18"/>
        <v>33270.5</v>
      </c>
      <c r="D663" s="92">
        <v>11802.8</v>
      </c>
      <c r="E663" s="92">
        <v>2561.2000000000007</v>
      </c>
      <c r="F663" s="92">
        <v>13.54</v>
      </c>
      <c r="G663" s="92">
        <v>72.960000000000008</v>
      </c>
      <c r="H663" s="92">
        <v>0</v>
      </c>
      <c r="I663" s="92">
        <v>1656.59</v>
      </c>
      <c r="J663" s="92">
        <v>0</v>
      </c>
      <c r="K663" s="92">
        <v>17163.409999999996</v>
      </c>
      <c r="L663" s="92">
        <v>0</v>
      </c>
      <c r="M663" s="92">
        <v>0</v>
      </c>
    </row>
    <row r="664" spans="1:16" x14ac:dyDescent="0.3">
      <c r="A664" s="146"/>
      <c r="B664" s="94">
        <v>41821</v>
      </c>
      <c r="C664" s="92">
        <f t="shared" si="18"/>
        <v>41240.289999999994</v>
      </c>
      <c r="D664" s="92">
        <v>11017.1</v>
      </c>
      <c r="E664" s="92">
        <v>3793.07</v>
      </c>
      <c r="F664" s="92">
        <v>0</v>
      </c>
      <c r="G664" s="92">
        <v>465.7</v>
      </c>
      <c r="H664" s="92">
        <v>0</v>
      </c>
      <c r="I664" s="92">
        <v>2735.81</v>
      </c>
      <c r="J664" s="92">
        <v>0</v>
      </c>
      <c r="K664" s="92">
        <v>23228.609999999997</v>
      </c>
      <c r="L664" s="92">
        <v>0</v>
      </c>
      <c r="M664" s="92">
        <v>0</v>
      </c>
    </row>
    <row r="665" spans="1:16" x14ac:dyDescent="0.3">
      <c r="A665" s="146"/>
      <c r="B665" s="94">
        <v>41852</v>
      </c>
      <c r="C665" s="92">
        <f t="shared" si="18"/>
        <v>9916.73</v>
      </c>
      <c r="D665" s="92">
        <v>4792.8999999999996</v>
      </c>
      <c r="E665" s="92">
        <v>760.18</v>
      </c>
      <c r="F665" s="92">
        <v>0</v>
      </c>
      <c r="G665" s="92">
        <v>97.46</v>
      </c>
      <c r="H665" s="92">
        <v>0</v>
      </c>
      <c r="I665" s="92">
        <v>316.35000000000002</v>
      </c>
      <c r="J665" s="92">
        <v>0</v>
      </c>
      <c r="K665" s="92">
        <v>3949.84</v>
      </c>
      <c r="L665" s="92">
        <v>0</v>
      </c>
      <c r="M665" s="92">
        <v>0</v>
      </c>
    </row>
    <row r="666" spans="1:16" x14ac:dyDescent="0.3">
      <c r="A666" s="146"/>
      <c r="B666" s="94">
        <v>41883</v>
      </c>
      <c r="C666" s="92">
        <f t="shared" si="18"/>
        <v>25346.769999999997</v>
      </c>
      <c r="D666" s="92">
        <v>8429.6999999999989</v>
      </c>
      <c r="E666" s="92">
        <v>1489.69</v>
      </c>
      <c r="F666" s="92">
        <v>0</v>
      </c>
      <c r="G666" s="92">
        <v>67.429999999999993</v>
      </c>
      <c r="H666" s="92">
        <v>0</v>
      </c>
      <c r="I666" s="92">
        <v>868.99</v>
      </c>
      <c r="J666" s="92">
        <v>0</v>
      </c>
      <c r="K666" s="92">
        <v>14490.96</v>
      </c>
      <c r="L666" s="92">
        <v>0</v>
      </c>
      <c r="M666" s="92">
        <v>0</v>
      </c>
    </row>
    <row r="667" spans="1:16" x14ac:dyDescent="0.3">
      <c r="A667" s="146"/>
      <c r="B667" s="94">
        <v>41913</v>
      </c>
      <c r="C667" s="92">
        <f t="shared" si="18"/>
        <v>34910.479999999996</v>
      </c>
      <c r="D667" s="92">
        <v>14132.19</v>
      </c>
      <c r="E667" s="92">
        <v>3438.1800000000003</v>
      </c>
      <c r="F667" s="92">
        <v>0</v>
      </c>
      <c r="G667" s="92">
        <v>382.85</v>
      </c>
      <c r="H667" s="92">
        <v>0</v>
      </c>
      <c r="I667" s="92">
        <v>2273.3200000000002</v>
      </c>
      <c r="J667" s="92">
        <v>0</v>
      </c>
      <c r="K667" s="92">
        <v>14683.939999999999</v>
      </c>
      <c r="L667" s="92">
        <v>0</v>
      </c>
      <c r="M667" s="92">
        <v>0</v>
      </c>
    </row>
    <row r="668" spans="1:16" x14ac:dyDescent="0.3">
      <c r="A668" s="146"/>
      <c r="B668" s="94">
        <v>41944</v>
      </c>
      <c r="C668" s="92">
        <f t="shared" si="18"/>
        <v>26174.189999999995</v>
      </c>
      <c r="D668" s="92">
        <v>16226.719999999998</v>
      </c>
      <c r="E668" s="92">
        <v>1463.82</v>
      </c>
      <c r="F668" s="92">
        <v>0</v>
      </c>
      <c r="G668" s="92">
        <v>88.05</v>
      </c>
      <c r="H668" s="92">
        <v>0</v>
      </c>
      <c r="I668" s="92">
        <v>64.41</v>
      </c>
      <c r="J668" s="92">
        <v>0</v>
      </c>
      <c r="K668" s="92">
        <v>8331.19</v>
      </c>
      <c r="L668" s="92">
        <v>0</v>
      </c>
      <c r="M668" s="92">
        <v>0</v>
      </c>
    </row>
    <row r="669" spans="1:16" x14ac:dyDescent="0.3">
      <c r="A669" s="146"/>
      <c r="B669" s="94">
        <v>41974</v>
      </c>
      <c r="C669" s="92">
        <f t="shared" si="18"/>
        <v>16423.789999999997</v>
      </c>
      <c r="D669" s="92">
        <v>6967.4999999999991</v>
      </c>
      <c r="E669" s="92">
        <v>1817.33</v>
      </c>
      <c r="F669" s="92">
        <v>0</v>
      </c>
      <c r="G669" s="92">
        <v>88.03</v>
      </c>
      <c r="H669" s="92">
        <v>0</v>
      </c>
      <c r="I669" s="92">
        <v>491.49</v>
      </c>
      <c r="J669" s="92">
        <v>0</v>
      </c>
      <c r="K669" s="92">
        <v>7059.44</v>
      </c>
      <c r="L669" s="92">
        <v>0</v>
      </c>
      <c r="M669" s="92">
        <v>0</v>
      </c>
    </row>
    <row r="670" spans="1:16" x14ac:dyDescent="0.3">
      <c r="A670" s="146"/>
      <c r="B670" s="94">
        <v>42005</v>
      </c>
      <c r="C670" s="92">
        <f t="shared" si="18"/>
        <v>32512.629999999997</v>
      </c>
      <c r="D670" s="92">
        <v>18357.23</v>
      </c>
      <c r="E670" s="92">
        <v>2059.7899999999995</v>
      </c>
      <c r="F670" s="92">
        <v>0</v>
      </c>
      <c r="G670" s="92">
        <v>372.94000000000005</v>
      </c>
      <c r="H670" s="92">
        <v>0</v>
      </c>
      <c r="I670" s="92">
        <v>109.66</v>
      </c>
      <c r="J670" s="92">
        <v>0</v>
      </c>
      <c r="K670" s="92">
        <v>11613.009999999998</v>
      </c>
      <c r="L670" s="92">
        <v>0</v>
      </c>
      <c r="M670" s="92">
        <v>0</v>
      </c>
    </row>
    <row r="671" spans="1:16" x14ac:dyDescent="0.3">
      <c r="A671" s="146"/>
      <c r="B671" s="94">
        <v>42036</v>
      </c>
      <c r="C671" s="92">
        <f t="shared" si="18"/>
        <v>29899.050000000003</v>
      </c>
      <c r="D671" s="92">
        <v>14224.59</v>
      </c>
      <c r="E671" s="92">
        <v>2317.56</v>
      </c>
      <c r="F671" s="92">
        <v>0</v>
      </c>
      <c r="G671" s="92">
        <v>671.71999999999991</v>
      </c>
      <c r="H671" s="92">
        <v>0</v>
      </c>
      <c r="I671" s="92">
        <v>1761.29</v>
      </c>
      <c r="J671" s="92">
        <v>0</v>
      </c>
      <c r="K671" s="92">
        <v>10923.890000000001</v>
      </c>
      <c r="L671" s="92">
        <v>0</v>
      </c>
      <c r="M671" s="92">
        <v>0</v>
      </c>
    </row>
    <row r="672" spans="1:16" x14ac:dyDescent="0.3">
      <c r="A672" s="146"/>
      <c r="B672" s="94">
        <v>42064</v>
      </c>
      <c r="C672" s="92">
        <f t="shared" si="18"/>
        <v>30492.279999999995</v>
      </c>
      <c r="D672" s="92">
        <v>17576.909999999996</v>
      </c>
      <c r="E672" s="92">
        <v>718.05000000000007</v>
      </c>
      <c r="F672" s="92">
        <v>0</v>
      </c>
      <c r="G672" s="92">
        <v>168.99</v>
      </c>
      <c r="H672" s="92">
        <v>0</v>
      </c>
      <c r="I672" s="92">
        <v>2331.2999999999997</v>
      </c>
      <c r="J672" s="92">
        <v>0</v>
      </c>
      <c r="K672" s="92">
        <v>9697.0299999999988</v>
      </c>
      <c r="L672" s="92">
        <v>0</v>
      </c>
      <c r="M672" s="92">
        <v>0</v>
      </c>
    </row>
    <row r="673" spans="1:17" x14ac:dyDescent="0.3">
      <c r="A673" s="146"/>
      <c r="B673" s="94">
        <v>42095</v>
      </c>
      <c r="C673" s="92">
        <f t="shared" si="18"/>
        <v>56970.310000000005</v>
      </c>
      <c r="D673" s="102">
        <v>17708.330000000002</v>
      </c>
      <c r="E673" s="103">
        <v>8258.09</v>
      </c>
      <c r="F673" s="103">
        <v>0</v>
      </c>
      <c r="G673" s="103">
        <v>539.93000000000006</v>
      </c>
      <c r="H673" s="92">
        <v>0</v>
      </c>
      <c r="I673" s="103">
        <v>2540.9699999999998</v>
      </c>
      <c r="J673" s="92">
        <v>0</v>
      </c>
      <c r="K673" s="103">
        <v>27922.99</v>
      </c>
      <c r="L673" s="92">
        <v>0</v>
      </c>
      <c r="M673" s="92">
        <v>0</v>
      </c>
      <c r="N673" s="103"/>
      <c r="O673" s="103"/>
      <c r="P673" s="118"/>
      <c r="Q673" s="101"/>
    </row>
    <row r="674" spans="1:17" x14ac:dyDescent="0.3">
      <c r="A674" s="146"/>
      <c r="B674" s="94">
        <v>42125</v>
      </c>
      <c r="C674" s="92">
        <f t="shared" si="18"/>
        <v>28717.919999999998</v>
      </c>
      <c r="D674" s="92">
        <v>9765.07</v>
      </c>
      <c r="E674" s="92">
        <v>1548.2</v>
      </c>
      <c r="F674" s="92">
        <v>38.68</v>
      </c>
      <c r="G674" s="92">
        <v>108.75</v>
      </c>
      <c r="H674" s="92">
        <v>73.41</v>
      </c>
      <c r="I674" s="92">
        <v>516.14</v>
      </c>
      <c r="J674" s="92">
        <v>0</v>
      </c>
      <c r="K674" s="92">
        <v>16667.669999999998</v>
      </c>
      <c r="L674" s="92">
        <v>0</v>
      </c>
      <c r="M674" s="92">
        <v>0</v>
      </c>
    </row>
    <row r="675" spans="1:17" x14ac:dyDescent="0.3">
      <c r="A675" s="146"/>
      <c r="B675" s="94">
        <v>42156</v>
      </c>
      <c r="C675" s="92">
        <f t="shared" si="18"/>
        <v>25694.299999999996</v>
      </c>
      <c r="D675" s="92">
        <v>12938.659999999998</v>
      </c>
      <c r="E675" s="92">
        <v>1008.24</v>
      </c>
      <c r="F675" s="92">
        <v>60.260000000000005</v>
      </c>
      <c r="G675" s="92">
        <v>241.88</v>
      </c>
      <c r="H675" s="92">
        <v>14.68</v>
      </c>
      <c r="I675" s="92">
        <v>157.19999999999999</v>
      </c>
      <c r="J675" s="92">
        <v>0</v>
      </c>
      <c r="K675" s="92">
        <v>11273.38</v>
      </c>
      <c r="L675" s="92">
        <v>0</v>
      </c>
      <c r="M675" s="92">
        <v>0</v>
      </c>
    </row>
    <row r="676" spans="1:17" x14ac:dyDescent="0.3">
      <c r="A676" s="146"/>
      <c r="B676" s="94">
        <v>42186</v>
      </c>
      <c r="C676" s="92">
        <f t="shared" si="18"/>
        <v>9457.9599999999991</v>
      </c>
      <c r="D676" s="102">
        <v>7103.6399999999994</v>
      </c>
      <c r="E676" s="103"/>
      <c r="F676" s="103">
        <v>0</v>
      </c>
      <c r="G676" s="103">
        <v>1.54</v>
      </c>
      <c r="H676" s="92">
        <v>0</v>
      </c>
      <c r="I676" s="103">
        <v>6.9</v>
      </c>
      <c r="J676" s="92">
        <v>0</v>
      </c>
      <c r="K676" s="103">
        <v>2345.88</v>
      </c>
      <c r="L676" s="92">
        <v>0</v>
      </c>
      <c r="M676" s="92">
        <v>0</v>
      </c>
      <c r="N676" s="103"/>
      <c r="O676" s="103"/>
      <c r="P676" s="118"/>
      <c r="Q676" s="101"/>
    </row>
    <row r="677" spans="1:17" x14ac:dyDescent="0.3">
      <c r="A677" s="146"/>
      <c r="B677" s="94">
        <v>42217</v>
      </c>
      <c r="C677" s="92">
        <f t="shared" si="18"/>
        <v>12871.939999999997</v>
      </c>
      <c r="D677" s="92">
        <v>7196.0999999999976</v>
      </c>
      <c r="E677" s="92">
        <v>523.74</v>
      </c>
      <c r="F677" s="92">
        <v>0</v>
      </c>
      <c r="G677" s="92">
        <v>59.589999999999996</v>
      </c>
      <c r="H677" s="92">
        <v>0</v>
      </c>
      <c r="I677" s="92">
        <v>154.14000000000001</v>
      </c>
      <c r="J677" s="92">
        <v>0</v>
      </c>
      <c r="K677" s="92">
        <v>4938.369999999999</v>
      </c>
      <c r="L677" s="92">
        <v>0</v>
      </c>
      <c r="M677" s="92">
        <v>0</v>
      </c>
    </row>
    <row r="678" spans="1:17" x14ac:dyDescent="0.3">
      <c r="A678" s="146"/>
      <c r="B678" s="94">
        <v>42248</v>
      </c>
      <c r="C678" s="92">
        <f t="shared" si="18"/>
        <v>27935.259999999995</v>
      </c>
      <c r="D678" s="92">
        <v>12734.15</v>
      </c>
      <c r="E678" s="92">
        <v>2336.4700000000003</v>
      </c>
      <c r="F678" s="92">
        <v>0</v>
      </c>
      <c r="G678" s="92">
        <v>227.24</v>
      </c>
      <c r="H678" s="92">
        <v>0</v>
      </c>
      <c r="I678" s="92">
        <v>1341.6100000000001</v>
      </c>
      <c r="J678" s="92">
        <v>0</v>
      </c>
      <c r="K678" s="92">
        <v>11295.789999999999</v>
      </c>
      <c r="L678" s="92">
        <v>0</v>
      </c>
      <c r="M678" s="92">
        <v>0</v>
      </c>
    </row>
    <row r="679" spans="1:17" x14ac:dyDescent="0.3">
      <c r="A679" s="146"/>
      <c r="B679" s="94">
        <v>42278</v>
      </c>
      <c r="C679" s="92">
        <f t="shared" si="18"/>
        <v>13981.870000000003</v>
      </c>
      <c r="D679" s="102">
        <v>7826.6100000000006</v>
      </c>
      <c r="E679" s="103">
        <v>576.45000000000005</v>
      </c>
      <c r="F679" s="103">
        <v>91.61999999999999</v>
      </c>
      <c r="G679" s="103">
        <v>23.66</v>
      </c>
      <c r="H679" s="92">
        <v>0</v>
      </c>
      <c r="I679" s="103">
        <v>84.72</v>
      </c>
      <c r="J679" s="92">
        <v>0</v>
      </c>
      <c r="K679" s="103">
        <v>5378.81</v>
      </c>
      <c r="L679" s="92">
        <v>0</v>
      </c>
      <c r="M679" s="92">
        <v>0</v>
      </c>
      <c r="N679" s="103"/>
      <c r="O679" s="103"/>
      <c r="P679" s="118"/>
      <c r="Q679" s="101"/>
    </row>
    <row r="680" spans="1:17" x14ac:dyDescent="0.3">
      <c r="A680" s="146"/>
      <c r="B680" s="94">
        <v>42309</v>
      </c>
      <c r="C680" s="92">
        <f t="shared" si="18"/>
        <v>22147.78</v>
      </c>
      <c r="D680" s="102">
        <v>14280.64</v>
      </c>
      <c r="E680" s="103">
        <v>130.32999999999998</v>
      </c>
      <c r="F680" s="103">
        <v>12.4</v>
      </c>
      <c r="G680" s="103">
        <v>15.77</v>
      </c>
      <c r="H680" s="103">
        <v>44.05</v>
      </c>
      <c r="I680" s="103">
        <v>68.03</v>
      </c>
      <c r="J680" s="92">
        <v>0</v>
      </c>
      <c r="K680" s="103">
        <v>7596.5599999999995</v>
      </c>
      <c r="L680" s="92">
        <v>0</v>
      </c>
      <c r="M680" s="92">
        <v>0</v>
      </c>
      <c r="N680" s="103"/>
      <c r="O680" s="103"/>
      <c r="P680" s="118"/>
      <c r="Q680" s="101"/>
    </row>
    <row r="681" spans="1:17" x14ac:dyDescent="0.3">
      <c r="A681" s="146"/>
      <c r="B681" s="94">
        <v>42339</v>
      </c>
      <c r="C681" s="92">
        <f t="shared" si="18"/>
        <v>15857.990000000002</v>
      </c>
      <c r="D681" s="102">
        <v>7359.7000000000007</v>
      </c>
      <c r="E681" s="103">
        <v>802.18</v>
      </c>
      <c r="F681" s="103">
        <v>0</v>
      </c>
      <c r="G681" s="103">
        <v>33.39</v>
      </c>
      <c r="H681" s="103">
        <v>161.5</v>
      </c>
      <c r="I681" s="103">
        <v>293.27999999999997</v>
      </c>
      <c r="J681" s="92">
        <v>0</v>
      </c>
      <c r="K681" s="103">
        <v>7207.9400000000005</v>
      </c>
      <c r="L681" s="92">
        <v>0</v>
      </c>
      <c r="M681" s="92">
        <v>0</v>
      </c>
      <c r="N681" s="103"/>
      <c r="O681" s="103"/>
      <c r="P681" s="118"/>
      <c r="Q681" s="101"/>
    </row>
    <row r="682" spans="1:17" x14ac:dyDescent="0.3">
      <c r="A682" s="146"/>
      <c r="B682" s="94">
        <v>42370</v>
      </c>
      <c r="C682" s="92">
        <f t="shared" si="18"/>
        <v>14149.119999999995</v>
      </c>
      <c r="D682" s="92">
        <v>9360.2899999999954</v>
      </c>
      <c r="E682" s="92">
        <v>531.61</v>
      </c>
      <c r="F682" s="92">
        <v>53.32</v>
      </c>
      <c r="G682" s="92">
        <v>26.240000000000002</v>
      </c>
      <c r="H682" s="92">
        <v>44.05</v>
      </c>
      <c r="I682" s="92">
        <v>389.58</v>
      </c>
      <c r="J682" s="92">
        <v>0</v>
      </c>
      <c r="K682" s="92">
        <v>3744.0299999999997</v>
      </c>
      <c r="L682" s="92">
        <v>0</v>
      </c>
      <c r="M682" s="92">
        <v>0</v>
      </c>
    </row>
    <row r="683" spans="1:17" x14ac:dyDescent="0.3">
      <c r="A683" s="146"/>
      <c r="B683" s="94">
        <v>42401</v>
      </c>
      <c r="C683" s="92">
        <f t="shared" si="18"/>
        <v>24793.009999999995</v>
      </c>
      <c r="D683" s="92">
        <v>17124.059999999998</v>
      </c>
      <c r="E683" s="92">
        <v>492.67</v>
      </c>
      <c r="F683" s="92">
        <v>0</v>
      </c>
      <c r="G683" s="92">
        <v>48.17</v>
      </c>
      <c r="H683" s="92">
        <v>132.13999999999999</v>
      </c>
      <c r="I683" s="92">
        <v>1006.2</v>
      </c>
      <c r="J683" s="92">
        <v>0</v>
      </c>
      <c r="K683" s="92">
        <v>5989.7699999999986</v>
      </c>
      <c r="L683" s="92">
        <v>0</v>
      </c>
      <c r="M683" s="92">
        <v>0</v>
      </c>
    </row>
    <row r="684" spans="1:17" x14ac:dyDescent="0.3">
      <c r="A684" s="146"/>
      <c r="B684" s="94">
        <v>42430</v>
      </c>
      <c r="C684" s="92">
        <f t="shared" si="18"/>
        <v>28633.499999999993</v>
      </c>
      <c r="D684" s="92">
        <v>12228.439999999997</v>
      </c>
      <c r="E684" s="92">
        <v>1301.29</v>
      </c>
      <c r="F684" s="92">
        <v>0</v>
      </c>
      <c r="G684" s="92">
        <v>162.19</v>
      </c>
      <c r="H684" s="92">
        <v>44.05</v>
      </c>
      <c r="I684" s="92">
        <v>138.06</v>
      </c>
      <c r="J684" s="92">
        <v>0</v>
      </c>
      <c r="K684" s="92">
        <v>14759.47</v>
      </c>
      <c r="L684" s="92">
        <v>0</v>
      </c>
      <c r="M684" s="92">
        <v>0</v>
      </c>
    </row>
    <row r="685" spans="1:17" x14ac:dyDescent="0.3">
      <c r="A685" s="146"/>
      <c r="B685" s="94">
        <v>42461</v>
      </c>
      <c r="C685" s="92">
        <f t="shared" si="18"/>
        <v>24553.85</v>
      </c>
      <c r="D685" s="92">
        <v>8730.2599999999984</v>
      </c>
      <c r="E685" s="92">
        <v>1817.32</v>
      </c>
      <c r="F685" s="92">
        <v>0</v>
      </c>
      <c r="G685" s="92">
        <v>300.25</v>
      </c>
      <c r="H685" s="92">
        <v>0</v>
      </c>
      <c r="I685" s="92">
        <v>136.91</v>
      </c>
      <c r="J685" s="92">
        <v>0</v>
      </c>
      <c r="K685" s="92">
        <v>13569.109999999999</v>
      </c>
      <c r="L685" s="92">
        <v>0</v>
      </c>
      <c r="M685" s="92">
        <v>0</v>
      </c>
    </row>
    <row r="686" spans="1:17" x14ac:dyDescent="0.3">
      <c r="A686" s="146"/>
      <c r="B686" s="94">
        <v>42491</v>
      </c>
      <c r="C686" s="92">
        <f t="shared" si="18"/>
        <v>30271.93</v>
      </c>
      <c r="D686" s="92">
        <v>11137.250000000002</v>
      </c>
      <c r="E686" s="92">
        <v>1124.6100000000001</v>
      </c>
      <c r="F686" s="92">
        <v>22.1</v>
      </c>
      <c r="G686" s="92">
        <v>10.16</v>
      </c>
      <c r="H686" s="92">
        <v>0</v>
      </c>
      <c r="I686" s="92">
        <v>3161.3500000000004</v>
      </c>
      <c r="J686" s="92">
        <v>0</v>
      </c>
      <c r="K686" s="92">
        <v>14816.46</v>
      </c>
      <c r="L686" s="92">
        <v>0</v>
      </c>
      <c r="M686" s="92">
        <v>0</v>
      </c>
    </row>
    <row r="687" spans="1:17" x14ac:dyDescent="0.3">
      <c r="A687" s="146"/>
      <c r="B687" s="94">
        <v>42522</v>
      </c>
      <c r="C687" s="92">
        <f t="shared" si="18"/>
        <v>16886.690000000002</v>
      </c>
      <c r="D687" s="92">
        <v>9735.8100000000013</v>
      </c>
      <c r="E687" s="92">
        <v>875.7700000000001</v>
      </c>
      <c r="F687" s="92">
        <v>27.63</v>
      </c>
      <c r="G687" s="92">
        <v>0</v>
      </c>
      <c r="H687" s="92">
        <v>0</v>
      </c>
      <c r="I687" s="92">
        <v>254.95999999999995</v>
      </c>
      <c r="J687" s="92">
        <v>0</v>
      </c>
      <c r="K687" s="92">
        <v>5992.52</v>
      </c>
      <c r="L687" s="92">
        <v>0</v>
      </c>
      <c r="M687" s="92">
        <v>0</v>
      </c>
    </row>
    <row r="688" spans="1:17" x14ac:dyDescent="0.3">
      <c r="A688" s="146"/>
      <c r="B688" s="94">
        <v>42552</v>
      </c>
      <c r="C688" s="92">
        <f t="shared" si="18"/>
        <v>12081.28</v>
      </c>
      <c r="D688" s="92">
        <v>6353.34</v>
      </c>
      <c r="E688" s="92">
        <v>865.45999999999992</v>
      </c>
      <c r="F688" s="92">
        <v>2.76</v>
      </c>
      <c r="G688" s="92">
        <v>600.47</v>
      </c>
      <c r="H688" s="92">
        <v>0</v>
      </c>
      <c r="I688" s="92">
        <v>265.24</v>
      </c>
      <c r="J688" s="92">
        <v>0</v>
      </c>
      <c r="K688" s="92">
        <v>3994.0099999999998</v>
      </c>
      <c r="L688" s="92">
        <v>0</v>
      </c>
      <c r="M688" s="92">
        <v>0</v>
      </c>
    </row>
    <row r="689" spans="1:16" x14ac:dyDescent="0.3">
      <c r="A689" s="146"/>
      <c r="B689" s="94">
        <v>42583</v>
      </c>
      <c r="C689" s="92">
        <f t="shared" si="18"/>
        <v>13782.21</v>
      </c>
      <c r="D689" s="92">
        <v>5886.7499999999991</v>
      </c>
      <c r="E689" s="92">
        <v>1168.3699999999999</v>
      </c>
      <c r="F689" s="92">
        <v>9.0299999999999994</v>
      </c>
      <c r="G689" s="92">
        <v>6.02</v>
      </c>
      <c r="H689" s="92">
        <v>0</v>
      </c>
      <c r="I689" s="92">
        <v>632.93000000000006</v>
      </c>
      <c r="J689" s="92">
        <v>0</v>
      </c>
      <c r="K689" s="92">
        <v>5229.1099999999997</v>
      </c>
      <c r="L689" s="92">
        <v>850</v>
      </c>
      <c r="M689" s="92">
        <v>0</v>
      </c>
    </row>
    <row r="690" spans="1:16" x14ac:dyDescent="0.3">
      <c r="A690" s="146"/>
      <c r="B690" s="94">
        <v>42614</v>
      </c>
      <c r="C690" s="92">
        <f t="shared" si="18"/>
        <v>16647.499999999996</v>
      </c>
      <c r="D690" s="92">
        <v>10628.519999999997</v>
      </c>
      <c r="E690" s="92">
        <v>655.65</v>
      </c>
      <c r="F690" s="92">
        <v>13.54</v>
      </c>
      <c r="G690" s="92">
        <v>291.63</v>
      </c>
      <c r="H690" s="92">
        <v>0</v>
      </c>
      <c r="I690" s="92">
        <v>769.68999999999994</v>
      </c>
      <c r="J690" s="92">
        <v>0</v>
      </c>
      <c r="K690" s="92">
        <v>4288.47</v>
      </c>
      <c r="L690" s="92">
        <v>0</v>
      </c>
      <c r="M690" s="92">
        <v>0</v>
      </c>
    </row>
    <row r="691" spans="1:16" x14ac:dyDescent="0.3">
      <c r="A691" s="146"/>
      <c r="B691" s="94">
        <v>42644</v>
      </c>
      <c r="C691" s="105">
        <f t="shared" si="18"/>
        <v>13088.150000000001</v>
      </c>
      <c r="D691" s="105">
        <v>7297.35</v>
      </c>
      <c r="E691" s="105">
        <v>176.54</v>
      </c>
      <c r="F691" s="105">
        <v>0</v>
      </c>
      <c r="G691" s="105">
        <v>35.879999999999995</v>
      </c>
      <c r="H691" s="105">
        <v>132.13999999999999</v>
      </c>
      <c r="I691" s="105">
        <v>38.76</v>
      </c>
      <c r="J691" s="105">
        <v>0</v>
      </c>
      <c r="K691" s="105">
        <v>5407.4800000000005</v>
      </c>
      <c r="L691" s="105">
        <v>0</v>
      </c>
      <c r="M691" s="105">
        <v>0</v>
      </c>
      <c r="N691" s="105"/>
      <c r="O691" s="105"/>
      <c r="P691" s="119"/>
    </row>
    <row r="692" spans="1:16" x14ac:dyDescent="0.3">
      <c r="A692" s="146"/>
      <c r="B692" s="94">
        <v>42675</v>
      </c>
      <c r="C692" s="105">
        <f t="shared" si="18"/>
        <v>20103.059999999998</v>
      </c>
      <c r="D692" s="105">
        <v>10284.220000000001</v>
      </c>
      <c r="E692" s="105">
        <v>2016.22</v>
      </c>
      <c r="F692" s="105">
        <v>66.98</v>
      </c>
      <c r="G692" s="105">
        <v>0</v>
      </c>
      <c r="H692" s="105">
        <v>0</v>
      </c>
      <c r="I692" s="105">
        <v>907.98</v>
      </c>
      <c r="J692" s="105">
        <v>0</v>
      </c>
      <c r="K692" s="105">
        <v>6827.66</v>
      </c>
      <c r="L692" s="105">
        <v>0</v>
      </c>
      <c r="M692" s="105">
        <v>0</v>
      </c>
      <c r="N692" s="105"/>
      <c r="O692" s="105"/>
      <c r="P692" s="119"/>
    </row>
    <row r="693" spans="1:16" x14ac:dyDescent="0.3">
      <c r="A693" s="146"/>
      <c r="B693" s="94">
        <v>42705</v>
      </c>
      <c r="C693" s="105">
        <f t="shared" si="18"/>
        <v>13779.48</v>
      </c>
      <c r="D693" s="105">
        <v>6697.75</v>
      </c>
      <c r="E693" s="105">
        <v>1092.5</v>
      </c>
      <c r="F693" s="105">
        <v>0</v>
      </c>
      <c r="G693" s="105">
        <v>141.11000000000001</v>
      </c>
      <c r="H693" s="105">
        <v>44.05</v>
      </c>
      <c r="I693" s="105">
        <v>67.44</v>
      </c>
      <c r="J693" s="105">
        <v>0</v>
      </c>
      <c r="K693" s="105">
        <v>4886.63</v>
      </c>
      <c r="L693" s="105">
        <v>850</v>
      </c>
      <c r="M693" s="105">
        <v>0</v>
      </c>
    </row>
    <row r="694" spans="1:16" x14ac:dyDescent="0.3">
      <c r="A694" s="146"/>
      <c r="B694" s="94">
        <v>42736</v>
      </c>
      <c r="C694" s="105">
        <f t="shared" si="18"/>
        <v>28881.010000000002</v>
      </c>
      <c r="D694" s="105">
        <v>10424.209999999999</v>
      </c>
      <c r="E694" s="105">
        <v>760.33</v>
      </c>
      <c r="F694" s="105">
        <v>0</v>
      </c>
      <c r="G694" s="105">
        <v>81.599999999999994</v>
      </c>
      <c r="H694" s="105">
        <v>102.77</v>
      </c>
      <c r="I694" s="105">
        <v>38.11</v>
      </c>
      <c r="J694" s="105">
        <v>0</v>
      </c>
      <c r="K694" s="105">
        <v>17473.990000000002</v>
      </c>
      <c r="L694" s="105">
        <v>0</v>
      </c>
      <c r="M694" s="105">
        <v>0</v>
      </c>
      <c r="N694" s="105"/>
      <c r="O694" s="105"/>
      <c r="P694" s="119"/>
    </row>
    <row r="695" spans="1:16" x14ac:dyDescent="0.3">
      <c r="A695" s="146"/>
      <c r="B695" s="94">
        <v>42767</v>
      </c>
      <c r="C695" s="105">
        <f t="shared" si="18"/>
        <v>31249.86</v>
      </c>
      <c r="D695" s="105">
        <v>16811.45</v>
      </c>
      <c r="E695" s="105">
        <v>879.12</v>
      </c>
      <c r="F695" s="105">
        <v>0</v>
      </c>
      <c r="G695" s="105">
        <v>50.42</v>
      </c>
      <c r="H695" s="105">
        <v>998.38</v>
      </c>
      <c r="I695" s="105">
        <v>52.79</v>
      </c>
      <c r="J695" s="105">
        <v>3024</v>
      </c>
      <c r="K695" s="105">
        <v>9433.7000000000007</v>
      </c>
      <c r="L695" s="105">
        <v>0</v>
      </c>
      <c r="M695" s="105">
        <v>0</v>
      </c>
      <c r="N695" s="105"/>
      <c r="O695" s="105"/>
      <c r="P695" s="119"/>
    </row>
    <row r="696" spans="1:16" x14ac:dyDescent="0.3">
      <c r="A696" s="146"/>
      <c r="B696" s="94">
        <v>42795</v>
      </c>
      <c r="C696" s="105">
        <f t="shared" si="18"/>
        <v>32596.940000000002</v>
      </c>
      <c r="D696" s="105">
        <v>11585.01</v>
      </c>
      <c r="E696" s="105">
        <v>2130.56</v>
      </c>
      <c r="F696" s="105">
        <v>0</v>
      </c>
      <c r="G696" s="105">
        <v>158.80000000000001</v>
      </c>
      <c r="H696" s="105">
        <v>3832</v>
      </c>
      <c r="I696" s="105">
        <v>50.81</v>
      </c>
      <c r="J696" s="105">
        <v>0</v>
      </c>
      <c r="K696" s="105">
        <v>14839.76</v>
      </c>
      <c r="L696" s="105">
        <v>0</v>
      </c>
      <c r="M696" s="105">
        <v>0</v>
      </c>
      <c r="N696" s="105"/>
      <c r="O696" s="105"/>
      <c r="P696" s="119"/>
    </row>
    <row r="697" spans="1:16" x14ac:dyDescent="0.3">
      <c r="A697" s="146"/>
      <c r="B697" s="94">
        <v>42826</v>
      </c>
      <c r="C697" s="105">
        <f t="shared" si="18"/>
        <v>23910.94</v>
      </c>
      <c r="D697" s="105">
        <v>12009.05</v>
      </c>
      <c r="E697" s="105">
        <v>224.82</v>
      </c>
      <c r="F697" s="105">
        <v>0</v>
      </c>
      <c r="G697" s="105">
        <v>0</v>
      </c>
      <c r="H697" s="105">
        <v>822.19</v>
      </c>
      <c r="I697" s="105">
        <v>35.65</v>
      </c>
      <c r="J697" s="105">
        <v>0</v>
      </c>
      <c r="K697" s="105">
        <v>10819.23</v>
      </c>
      <c r="L697" s="105">
        <v>0</v>
      </c>
      <c r="M697" s="105">
        <v>0</v>
      </c>
      <c r="N697" s="105"/>
      <c r="O697" s="105"/>
      <c r="P697" s="119"/>
    </row>
    <row r="698" spans="1:16" x14ac:dyDescent="0.3">
      <c r="A698" s="146"/>
      <c r="B698" s="94">
        <v>42856</v>
      </c>
      <c r="C698" s="105">
        <f t="shared" si="18"/>
        <v>23521.279999999999</v>
      </c>
      <c r="D698" s="105">
        <v>10695.96</v>
      </c>
      <c r="E698" s="105">
        <v>121.37</v>
      </c>
      <c r="F698" s="105"/>
      <c r="G698" s="105"/>
      <c r="H698" s="105">
        <v>4066.91</v>
      </c>
      <c r="I698" s="105">
        <v>39.51</v>
      </c>
      <c r="J698" s="105"/>
      <c r="K698" s="105">
        <v>8597.5300000000007</v>
      </c>
      <c r="L698" s="105"/>
      <c r="M698" s="105"/>
      <c r="N698" s="105"/>
      <c r="O698" s="105"/>
      <c r="P698" s="119"/>
    </row>
    <row r="699" spans="1:16" x14ac:dyDescent="0.3">
      <c r="A699" s="146"/>
      <c r="B699" s="94">
        <v>42887</v>
      </c>
      <c r="C699" s="105">
        <f t="shared" si="18"/>
        <v>15112.710000000001</v>
      </c>
      <c r="D699" s="105">
        <v>8045.27</v>
      </c>
      <c r="E699" s="105">
        <v>1070.4100000000001</v>
      </c>
      <c r="F699" s="105"/>
      <c r="G699" s="105"/>
      <c r="H699" s="105">
        <v>587.28</v>
      </c>
      <c r="I699" s="105">
        <v>133.43</v>
      </c>
      <c r="J699" s="105"/>
      <c r="K699" s="105">
        <v>5276.32</v>
      </c>
      <c r="L699" s="105"/>
      <c r="M699" s="105"/>
      <c r="N699" s="105"/>
      <c r="O699" s="105"/>
      <c r="P699" s="119"/>
    </row>
    <row r="700" spans="1:16" x14ac:dyDescent="0.3">
      <c r="A700" s="146"/>
      <c r="B700" s="94">
        <v>42917</v>
      </c>
      <c r="C700" s="105">
        <f t="shared" si="18"/>
        <v>22751.670000000002</v>
      </c>
      <c r="D700" s="105">
        <v>14087.61</v>
      </c>
      <c r="E700" s="105">
        <v>305.52999999999997</v>
      </c>
      <c r="F700" s="105">
        <v>82.88</v>
      </c>
      <c r="G700" s="105">
        <v>159.36000000000001</v>
      </c>
      <c r="H700" s="105">
        <v>587.28</v>
      </c>
      <c r="I700" s="105">
        <v>47.15</v>
      </c>
      <c r="J700" s="105"/>
      <c r="K700" s="105">
        <v>7481.86</v>
      </c>
      <c r="L700" s="105"/>
      <c r="M700" s="105"/>
      <c r="N700" s="105"/>
      <c r="O700" s="105"/>
      <c r="P700" s="119"/>
    </row>
    <row r="701" spans="1:16" x14ac:dyDescent="0.3">
      <c r="A701" s="146"/>
      <c r="B701" s="94">
        <v>42948</v>
      </c>
      <c r="C701" s="105">
        <f t="shared" si="18"/>
        <v>14001.039999999997</v>
      </c>
      <c r="D701" s="105">
        <v>5727.16</v>
      </c>
      <c r="E701" s="105">
        <v>2087.14</v>
      </c>
      <c r="F701" s="105"/>
      <c r="G701" s="105">
        <v>737.55</v>
      </c>
      <c r="H701" s="105">
        <v>631.33000000000004</v>
      </c>
      <c r="I701" s="105">
        <v>50.23</v>
      </c>
      <c r="J701" s="105"/>
      <c r="K701" s="105">
        <v>3154.33</v>
      </c>
      <c r="L701" s="105"/>
      <c r="M701" s="105">
        <v>1613.3</v>
      </c>
      <c r="N701" s="105"/>
      <c r="O701" s="105"/>
      <c r="P701" s="119"/>
    </row>
    <row r="702" spans="1:16" x14ac:dyDescent="0.3">
      <c r="A702" s="146"/>
      <c r="B702" s="94">
        <v>42979</v>
      </c>
      <c r="C702" s="105">
        <f t="shared" si="18"/>
        <v>14998.39</v>
      </c>
      <c r="D702" s="105">
        <v>8412.91</v>
      </c>
      <c r="E702" s="105">
        <v>623.72</v>
      </c>
      <c r="F702" s="105"/>
      <c r="G702" s="105"/>
      <c r="H702" s="105">
        <v>1438.84</v>
      </c>
      <c r="I702" s="105">
        <v>56.11</v>
      </c>
      <c r="J702" s="105"/>
      <c r="K702" s="105">
        <v>2231.17</v>
      </c>
      <c r="L702" s="105"/>
      <c r="M702" s="105">
        <v>2235.64</v>
      </c>
      <c r="N702" s="105"/>
      <c r="O702" s="105"/>
      <c r="P702" s="119"/>
    </row>
    <row r="703" spans="1:16" x14ac:dyDescent="0.3">
      <c r="A703" s="146"/>
      <c r="B703" s="94">
        <v>43009</v>
      </c>
      <c r="C703" s="105">
        <f t="shared" si="18"/>
        <v>18704.580000000002</v>
      </c>
      <c r="D703" s="105">
        <v>9094.2800000000007</v>
      </c>
      <c r="E703" s="105">
        <v>1250.93</v>
      </c>
      <c r="F703" s="105"/>
      <c r="G703" s="105">
        <v>24.25</v>
      </c>
      <c r="H703" s="105">
        <v>484.51</v>
      </c>
      <c r="I703" s="105">
        <v>15.16</v>
      </c>
      <c r="J703" s="105"/>
      <c r="K703" s="105">
        <v>7835.45</v>
      </c>
      <c r="L703" s="105"/>
      <c r="M703" s="105"/>
      <c r="N703" s="105"/>
      <c r="O703" s="105"/>
      <c r="P703" s="119"/>
    </row>
    <row r="704" spans="1:16" x14ac:dyDescent="0.3">
      <c r="A704" s="146"/>
      <c r="B704" s="94">
        <v>43040</v>
      </c>
      <c r="C704" s="105">
        <f t="shared" si="18"/>
        <v>27230.239999999998</v>
      </c>
      <c r="D704" s="105">
        <v>15475.34</v>
      </c>
      <c r="E704" s="105">
        <v>2129.73</v>
      </c>
      <c r="F704" s="105"/>
      <c r="G704" s="105">
        <v>301.42</v>
      </c>
      <c r="H704" s="105"/>
      <c r="I704" s="105">
        <v>48.22</v>
      </c>
      <c r="J704" s="105"/>
      <c r="K704" s="105">
        <v>9275.5300000000007</v>
      </c>
      <c r="L704" s="105"/>
      <c r="M704" s="105"/>
      <c r="N704" s="105"/>
      <c r="O704" s="105"/>
      <c r="P704" s="119"/>
    </row>
    <row r="705" spans="1:16" x14ac:dyDescent="0.3">
      <c r="A705" s="146"/>
      <c r="B705" s="94">
        <v>43070</v>
      </c>
      <c r="C705" s="105">
        <f t="shared" si="18"/>
        <v>11236.190000000002</v>
      </c>
      <c r="D705" s="105">
        <v>6103.02</v>
      </c>
      <c r="E705" s="105">
        <v>80.64</v>
      </c>
      <c r="F705" s="105"/>
      <c r="G705" s="105">
        <v>5.77</v>
      </c>
      <c r="H705" s="105">
        <v>44.05</v>
      </c>
      <c r="I705" s="105">
        <v>15.99</v>
      </c>
      <c r="J705" s="105"/>
      <c r="K705" s="105">
        <v>4986.72</v>
      </c>
      <c r="L705" s="105"/>
      <c r="M705" s="105"/>
      <c r="N705" s="105"/>
      <c r="O705" s="105"/>
      <c r="P705" s="119"/>
    </row>
    <row r="706" spans="1:16" x14ac:dyDescent="0.3">
      <c r="A706" s="146"/>
      <c r="B706" s="94">
        <v>43101</v>
      </c>
      <c r="C706" s="105">
        <f t="shared" si="18"/>
        <v>18528.939999999999</v>
      </c>
      <c r="D706" s="92">
        <v>10359.82</v>
      </c>
      <c r="E706" s="92">
        <v>130.82</v>
      </c>
      <c r="F706" s="92">
        <v>27.59</v>
      </c>
      <c r="G706" s="92">
        <v>5.2</v>
      </c>
      <c r="I706" s="92">
        <v>53.57</v>
      </c>
      <c r="K706" s="92">
        <v>7951.94</v>
      </c>
    </row>
    <row r="707" spans="1:16" x14ac:dyDescent="0.3">
      <c r="A707" s="146"/>
      <c r="B707" s="94">
        <v>43132</v>
      </c>
      <c r="C707" s="105">
        <f t="shared" si="18"/>
        <v>26322.870000000003</v>
      </c>
      <c r="D707" s="92">
        <v>16420.96</v>
      </c>
      <c r="E707" s="92">
        <v>1207.47</v>
      </c>
      <c r="F707" s="92">
        <v>1392.16</v>
      </c>
      <c r="G707" s="92">
        <v>224.27</v>
      </c>
      <c r="H707" s="92">
        <v>80</v>
      </c>
      <c r="I707" s="92">
        <v>12.75</v>
      </c>
      <c r="K707" s="92">
        <v>6985.26</v>
      </c>
    </row>
    <row r="708" spans="1:16" x14ac:dyDescent="0.3">
      <c r="A708" s="146"/>
      <c r="B708" s="94">
        <v>43160</v>
      </c>
      <c r="C708" s="105">
        <f t="shared" si="18"/>
        <v>22119.64</v>
      </c>
      <c r="D708" s="92">
        <v>11674.62</v>
      </c>
      <c r="E708" s="92">
        <v>342.56</v>
      </c>
      <c r="G708" s="92">
        <v>45.15</v>
      </c>
      <c r="H708" s="92">
        <v>264</v>
      </c>
      <c r="I708" s="92">
        <v>72.78</v>
      </c>
      <c r="K708" s="92">
        <v>9720.5300000000007</v>
      </c>
    </row>
    <row r="709" spans="1:16" x14ac:dyDescent="0.3">
      <c r="A709" s="146"/>
      <c r="B709" s="94">
        <v>43191</v>
      </c>
      <c r="C709" s="105">
        <f t="shared" si="18"/>
        <v>16694.010000000002</v>
      </c>
      <c r="D709" s="92">
        <v>8144.97</v>
      </c>
      <c r="E709" s="92">
        <v>68.89</v>
      </c>
      <c r="F709" s="92">
        <v>680</v>
      </c>
      <c r="G709" s="92">
        <v>37.49</v>
      </c>
      <c r="I709" s="92">
        <v>36.909999999999997</v>
      </c>
      <c r="K709" s="92">
        <v>7725.75</v>
      </c>
    </row>
    <row r="710" spans="1:16" x14ac:dyDescent="0.3">
      <c r="A710" s="146"/>
      <c r="B710" s="94">
        <v>43221</v>
      </c>
      <c r="C710" s="105">
        <f t="shared" si="18"/>
        <v>27185.019999999997</v>
      </c>
      <c r="D710" s="92">
        <v>14936.65</v>
      </c>
      <c r="E710" s="92">
        <v>90.9</v>
      </c>
      <c r="F710" s="92">
        <v>497.73</v>
      </c>
      <c r="I710" s="92">
        <v>56.36</v>
      </c>
      <c r="K710" s="92">
        <v>11603.38</v>
      </c>
    </row>
    <row r="711" spans="1:16" x14ac:dyDescent="0.3">
      <c r="A711" s="146"/>
      <c r="B711" s="94">
        <v>43252</v>
      </c>
      <c r="C711" s="105">
        <f t="shared" si="18"/>
        <v>23025.340000000004</v>
      </c>
      <c r="D711" s="92">
        <v>9124.7900000000009</v>
      </c>
      <c r="E711" s="92">
        <v>391.87</v>
      </c>
      <c r="F711" s="92">
        <v>880</v>
      </c>
      <c r="G711" s="92">
        <v>62.09</v>
      </c>
      <c r="I711" s="92">
        <v>109.56</v>
      </c>
      <c r="K711" s="92">
        <v>12457.03</v>
      </c>
    </row>
    <row r="712" spans="1:16" x14ac:dyDescent="0.3">
      <c r="A712" s="146"/>
      <c r="B712" s="94">
        <v>43282</v>
      </c>
      <c r="C712" s="105">
        <f t="shared" si="18"/>
        <v>17481.84</v>
      </c>
      <c r="D712" s="92">
        <v>8487.36</v>
      </c>
      <c r="E712" s="92">
        <v>9.9</v>
      </c>
      <c r="G712" s="92">
        <v>1.1299999999999999</v>
      </c>
      <c r="H712" s="92">
        <v>24</v>
      </c>
      <c r="I712" s="92">
        <v>57.29</v>
      </c>
      <c r="K712" s="92">
        <v>8902.16</v>
      </c>
    </row>
    <row r="713" spans="1:16" x14ac:dyDescent="0.3">
      <c r="A713" s="146"/>
      <c r="B713" s="94">
        <v>43313</v>
      </c>
      <c r="C713" s="105">
        <f t="shared" si="18"/>
        <v>9908.91</v>
      </c>
      <c r="D713" s="92">
        <v>1666.42</v>
      </c>
      <c r="I713" s="92">
        <v>3.57</v>
      </c>
      <c r="K713" s="92">
        <v>8238.92</v>
      </c>
    </row>
    <row r="714" spans="1:16" x14ac:dyDescent="0.3">
      <c r="A714" s="146"/>
      <c r="B714" s="94">
        <v>43344</v>
      </c>
      <c r="C714" s="105">
        <f t="shared" si="18"/>
        <v>20782.16</v>
      </c>
      <c r="D714" s="92">
        <v>9102.2999999999993</v>
      </c>
      <c r="E714" s="92">
        <v>501.26</v>
      </c>
      <c r="F714" s="92">
        <v>339.21</v>
      </c>
      <c r="G714" s="92">
        <v>5.27</v>
      </c>
      <c r="I714" s="92">
        <v>202.94</v>
      </c>
      <c r="K714" s="92">
        <v>10631.18</v>
      </c>
    </row>
    <row r="715" spans="1:16" x14ac:dyDescent="0.3">
      <c r="A715" s="146"/>
      <c r="B715" s="94">
        <v>43374</v>
      </c>
      <c r="C715" s="105">
        <f t="shared" si="18"/>
        <v>16907.239999999998</v>
      </c>
      <c r="D715" s="92">
        <v>7962.42</v>
      </c>
      <c r="E715" s="92">
        <v>22.64</v>
      </c>
      <c r="F715" s="92">
        <v>797.36</v>
      </c>
      <c r="I715" s="92">
        <v>33.32</v>
      </c>
      <c r="K715" s="92">
        <v>8091.5</v>
      </c>
    </row>
    <row r="716" spans="1:16" x14ac:dyDescent="0.3">
      <c r="A716" s="146"/>
      <c r="B716" s="94">
        <v>43405</v>
      </c>
      <c r="C716" s="105">
        <f t="shared" si="18"/>
        <v>29700.97</v>
      </c>
      <c r="D716" s="92">
        <v>12423.38</v>
      </c>
      <c r="E716" s="92">
        <v>237.94</v>
      </c>
      <c r="F716" s="92">
        <v>904</v>
      </c>
      <c r="G716" s="92">
        <v>12.04</v>
      </c>
      <c r="I716" s="92">
        <v>2327.7199999999998</v>
      </c>
      <c r="K716" s="92">
        <v>13795.89</v>
      </c>
    </row>
    <row r="717" spans="1:16" ht="15.75" customHeight="1" x14ac:dyDescent="0.3">
      <c r="A717" s="146"/>
      <c r="B717" s="94">
        <v>43435</v>
      </c>
      <c r="C717" s="105">
        <f t="shared" si="18"/>
        <v>8995.48</v>
      </c>
      <c r="D717" s="105">
        <v>2931.96</v>
      </c>
      <c r="E717" s="105">
        <v>44.53</v>
      </c>
      <c r="F717" s="105"/>
      <c r="G717" s="105"/>
      <c r="H717" s="105">
        <v>512</v>
      </c>
      <c r="I717" s="105">
        <v>36.46</v>
      </c>
      <c r="J717" s="105"/>
      <c r="K717" s="105">
        <v>5470.53</v>
      </c>
      <c r="L717" s="105"/>
      <c r="M717" s="105"/>
      <c r="N717" s="105"/>
      <c r="O717" s="105"/>
      <c r="P717" s="119"/>
    </row>
    <row r="718" spans="1:16" x14ac:dyDescent="0.3">
      <c r="A718" s="146"/>
      <c r="B718" s="94">
        <v>43466</v>
      </c>
      <c r="C718" s="105">
        <f t="shared" ref="C718:C805" si="19">SUM(D718:P718)</f>
        <v>15841.02</v>
      </c>
      <c r="D718" s="105">
        <v>8160</v>
      </c>
      <c r="E718" s="105">
        <v>223.59</v>
      </c>
      <c r="F718" s="105">
        <v>408</v>
      </c>
      <c r="G718" s="105">
        <v>5.64</v>
      </c>
      <c r="H718" s="105"/>
      <c r="I718" s="105">
        <v>81.760000000000005</v>
      </c>
      <c r="J718" s="105"/>
      <c r="K718" s="105">
        <v>6962.03</v>
      </c>
      <c r="L718" s="105"/>
      <c r="M718" s="105"/>
      <c r="N718" s="105"/>
      <c r="O718" s="105"/>
      <c r="P718" s="119"/>
    </row>
    <row r="719" spans="1:16" x14ac:dyDescent="0.3">
      <c r="A719" s="146"/>
      <c r="B719" s="94">
        <v>43497</v>
      </c>
      <c r="C719" s="105">
        <f t="shared" si="19"/>
        <v>22686.91</v>
      </c>
      <c r="D719" s="105">
        <v>12459.05</v>
      </c>
      <c r="E719" s="105">
        <v>383.09</v>
      </c>
      <c r="F719" s="105">
        <v>184</v>
      </c>
      <c r="G719" s="105">
        <v>64.72</v>
      </c>
      <c r="H719" s="105"/>
      <c r="I719" s="105">
        <v>94.12</v>
      </c>
      <c r="J719" s="105"/>
      <c r="K719" s="105">
        <v>9501.93</v>
      </c>
      <c r="L719" s="105"/>
      <c r="M719" s="105"/>
      <c r="N719" s="105"/>
      <c r="O719" s="105"/>
      <c r="P719" s="119"/>
    </row>
    <row r="720" spans="1:16" x14ac:dyDescent="0.3">
      <c r="A720" s="146"/>
      <c r="B720" s="94">
        <v>43525</v>
      </c>
      <c r="C720" s="105">
        <f t="shared" si="19"/>
        <v>14694.28</v>
      </c>
      <c r="D720" s="105">
        <v>7085.38</v>
      </c>
      <c r="E720" s="105">
        <v>7.59</v>
      </c>
      <c r="F720" s="105">
        <v>216</v>
      </c>
      <c r="G720" s="105"/>
      <c r="H720" s="105"/>
      <c r="I720" s="105">
        <v>412.25</v>
      </c>
      <c r="J720" s="105"/>
      <c r="K720" s="105">
        <v>6973.06</v>
      </c>
      <c r="L720" s="105"/>
      <c r="M720" s="105"/>
      <c r="N720" s="105"/>
      <c r="O720" s="105"/>
      <c r="P720" s="119"/>
    </row>
    <row r="721" spans="1:16" x14ac:dyDescent="0.3">
      <c r="A721" s="146"/>
      <c r="B721" s="94">
        <v>43556</v>
      </c>
      <c r="C721" s="105">
        <f t="shared" si="19"/>
        <v>31711.510000000002</v>
      </c>
      <c r="D721" s="105">
        <v>12409.37</v>
      </c>
      <c r="E721" s="105">
        <v>1545.28</v>
      </c>
      <c r="F721" s="105">
        <v>240</v>
      </c>
      <c r="G721" s="105">
        <v>329.26</v>
      </c>
      <c r="H721" s="105"/>
      <c r="I721" s="105">
        <v>70.81</v>
      </c>
      <c r="J721" s="105"/>
      <c r="K721" s="105">
        <v>17116.79</v>
      </c>
      <c r="L721" s="105"/>
      <c r="M721" s="105"/>
      <c r="N721" s="105"/>
      <c r="O721" s="105"/>
      <c r="P721" s="119"/>
    </row>
    <row r="722" spans="1:16" x14ac:dyDescent="0.3">
      <c r="A722" s="146"/>
      <c r="B722" s="94">
        <v>43586</v>
      </c>
      <c r="C722" s="105">
        <f t="shared" si="19"/>
        <v>25682.46</v>
      </c>
      <c r="D722" s="105">
        <v>10949.6</v>
      </c>
      <c r="E722" s="105">
        <v>31.32</v>
      </c>
      <c r="F722" s="105">
        <v>631.25</v>
      </c>
      <c r="G722" s="105">
        <v>7.15</v>
      </c>
      <c r="H722" s="105"/>
      <c r="I722" s="105">
        <v>108.66</v>
      </c>
      <c r="J722" s="105"/>
      <c r="K722" s="105">
        <v>13954.48</v>
      </c>
      <c r="L722" s="105"/>
      <c r="M722" s="105"/>
      <c r="N722" s="105"/>
      <c r="O722" s="105"/>
      <c r="P722" s="119"/>
    </row>
    <row r="723" spans="1:16" x14ac:dyDescent="0.3">
      <c r="A723" s="146"/>
      <c r="B723" s="94">
        <v>43617</v>
      </c>
      <c r="C723" s="105">
        <f t="shared" si="19"/>
        <v>21871.78</v>
      </c>
      <c r="D723" s="105">
        <v>8518.36</v>
      </c>
      <c r="E723" s="105">
        <v>88.72</v>
      </c>
      <c r="F723" s="105">
        <v>368</v>
      </c>
      <c r="G723" s="105">
        <v>2.2599999999999998</v>
      </c>
      <c r="H723" s="105">
        <v>229.65</v>
      </c>
      <c r="I723" s="105">
        <v>87.45</v>
      </c>
      <c r="J723" s="105"/>
      <c r="K723" s="105">
        <v>12577.34</v>
      </c>
      <c r="L723" s="105"/>
      <c r="M723" s="105"/>
      <c r="N723" s="105"/>
      <c r="O723" s="105"/>
      <c r="P723" s="119"/>
    </row>
    <row r="724" spans="1:16" x14ac:dyDescent="0.3">
      <c r="A724" s="146"/>
      <c r="B724" s="94">
        <v>43647</v>
      </c>
      <c r="C724" s="105">
        <f t="shared" si="19"/>
        <v>64229.53</v>
      </c>
      <c r="D724" s="105">
        <v>37048.239999999998</v>
      </c>
      <c r="E724" s="105">
        <v>2561.9899999999998</v>
      </c>
      <c r="F724" s="105">
        <v>838.23</v>
      </c>
      <c r="G724" s="105">
        <v>357.49</v>
      </c>
      <c r="H724" s="105"/>
      <c r="I724" s="105">
        <v>16.77</v>
      </c>
      <c r="J724" s="105"/>
      <c r="K724" s="105">
        <v>23406.81</v>
      </c>
      <c r="L724" s="105"/>
      <c r="M724" s="105"/>
      <c r="N724" s="105"/>
      <c r="O724" s="105"/>
      <c r="P724" s="119"/>
    </row>
    <row r="725" spans="1:16" x14ac:dyDescent="0.3">
      <c r="A725" s="146"/>
      <c r="B725" s="94">
        <v>43678</v>
      </c>
      <c r="C725" s="105">
        <f t="shared" si="19"/>
        <v>9344.52</v>
      </c>
      <c r="D725" s="105">
        <v>2156.1799999999998</v>
      </c>
      <c r="E725" s="105">
        <v>393.95</v>
      </c>
      <c r="F725" s="105">
        <v>254.05</v>
      </c>
      <c r="G725" s="105"/>
      <c r="H725" s="105"/>
      <c r="I725" s="105">
        <v>43.45</v>
      </c>
      <c r="J725" s="105"/>
      <c r="K725" s="105">
        <v>6496.89</v>
      </c>
      <c r="L725" s="105"/>
      <c r="M725" s="105"/>
      <c r="N725" s="105"/>
      <c r="O725" s="105"/>
      <c r="P725" s="119"/>
    </row>
    <row r="726" spans="1:16" x14ac:dyDescent="0.3">
      <c r="A726" s="146"/>
      <c r="B726" s="94">
        <v>43709</v>
      </c>
      <c r="C726" s="105">
        <f t="shared" si="19"/>
        <v>19871.38</v>
      </c>
      <c r="D726" s="105">
        <v>10134.120000000001</v>
      </c>
      <c r="E726" s="105">
        <v>346.37</v>
      </c>
      <c r="F726" s="105">
        <v>460.61</v>
      </c>
      <c r="G726" s="105">
        <v>14.3</v>
      </c>
      <c r="H726" s="105"/>
      <c r="I726" s="105">
        <v>263.05</v>
      </c>
      <c r="J726" s="105"/>
      <c r="K726" s="105">
        <v>8652.93</v>
      </c>
      <c r="L726" s="105"/>
      <c r="M726" s="105"/>
      <c r="N726" s="105"/>
      <c r="O726" s="105"/>
      <c r="P726" s="119"/>
    </row>
    <row r="727" spans="1:16" x14ac:dyDescent="0.3">
      <c r="A727" s="146"/>
      <c r="B727" s="94">
        <v>43739</v>
      </c>
      <c r="C727" s="105">
        <f t="shared" si="19"/>
        <v>19592.559999999998</v>
      </c>
      <c r="D727" s="105">
        <v>6563.77</v>
      </c>
      <c r="E727" s="105">
        <v>3016.37</v>
      </c>
      <c r="F727" s="105">
        <v>288.41000000000003</v>
      </c>
      <c r="G727" s="105">
        <v>156.38</v>
      </c>
      <c r="H727" s="105"/>
      <c r="I727" s="105">
        <v>191.71</v>
      </c>
      <c r="J727" s="105"/>
      <c r="K727" s="105">
        <v>9375.92</v>
      </c>
      <c r="L727" s="105"/>
      <c r="M727" s="105"/>
      <c r="N727" s="105"/>
      <c r="O727" s="105"/>
      <c r="P727" s="119"/>
    </row>
    <row r="728" spans="1:16" x14ac:dyDescent="0.3">
      <c r="A728" s="146"/>
      <c r="B728" s="94">
        <v>43770</v>
      </c>
      <c r="C728" s="105">
        <f t="shared" si="19"/>
        <v>23909.82</v>
      </c>
      <c r="D728" s="105">
        <v>10965.63</v>
      </c>
      <c r="E728" s="105">
        <v>1834.5</v>
      </c>
      <c r="F728" s="105">
        <v>708.85</v>
      </c>
      <c r="G728" s="105">
        <v>129.07</v>
      </c>
      <c r="H728" s="105"/>
      <c r="I728" s="105">
        <v>33.08</v>
      </c>
      <c r="J728" s="105"/>
      <c r="K728" s="105">
        <v>10238.69</v>
      </c>
      <c r="L728" s="105"/>
      <c r="M728" s="105"/>
      <c r="N728" s="105"/>
      <c r="O728" s="105"/>
      <c r="P728" s="119"/>
    </row>
    <row r="729" spans="1:16" x14ac:dyDescent="0.3">
      <c r="A729" s="146"/>
      <c r="B729" s="94">
        <v>43800</v>
      </c>
      <c r="C729" s="105">
        <f t="shared" si="19"/>
        <v>25445.460000000003</v>
      </c>
      <c r="D729" s="105">
        <v>7109.37</v>
      </c>
      <c r="E729" s="105">
        <v>3660.12</v>
      </c>
      <c r="F729" s="105">
        <v>328.81</v>
      </c>
      <c r="G729" s="105">
        <v>567.27</v>
      </c>
      <c r="H729" s="105"/>
      <c r="I729" s="105">
        <v>12.32</v>
      </c>
      <c r="J729" s="105"/>
      <c r="K729" s="105">
        <v>7557.45</v>
      </c>
      <c r="L729" s="105">
        <v>2228.4</v>
      </c>
      <c r="M729" s="105">
        <v>240</v>
      </c>
      <c r="N729" s="105"/>
      <c r="O729" s="105">
        <v>3741.72</v>
      </c>
      <c r="P729" s="119"/>
    </row>
    <row r="730" spans="1:16" ht="15.75" customHeight="1" x14ac:dyDescent="0.3">
      <c r="A730" s="146"/>
      <c r="B730" s="94">
        <v>43831</v>
      </c>
      <c r="C730" s="105">
        <f t="shared" si="19"/>
        <v>22569.69</v>
      </c>
      <c r="D730" s="105">
        <v>13485.84</v>
      </c>
      <c r="E730" s="105">
        <v>804</v>
      </c>
      <c r="F730" s="105">
        <v>490.71</v>
      </c>
      <c r="G730" s="105">
        <v>136.22999999999999</v>
      </c>
      <c r="H730" s="105"/>
      <c r="I730" s="105">
        <v>54.18</v>
      </c>
      <c r="J730" s="105"/>
      <c r="K730" s="105">
        <v>7598.73</v>
      </c>
      <c r="L730" s="105"/>
      <c r="M730" s="105"/>
      <c r="N730" s="105"/>
      <c r="O730" s="105"/>
      <c r="P730" s="119"/>
    </row>
    <row r="731" spans="1:16" x14ac:dyDescent="0.3">
      <c r="A731" s="146"/>
      <c r="B731" s="94">
        <v>43862</v>
      </c>
      <c r="C731" s="105">
        <f t="shared" si="19"/>
        <v>25309.17</v>
      </c>
      <c r="D731" s="105">
        <v>11552.82</v>
      </c>
      <c r="E731" s="105">
        <v>541.29</v>
      </c>
      <c r="F731" s="105">
        <v>417.05</v>
      </c>
      <c r="G731" s="105">
        <v>12.04</v>
      </c>
      <c r="H731" s="105"/>
      <c r="I731" s="105">
        <v>13.67</v>
      </c>
      <c r="J731" s="105"/>
      <c r="K731" s="105">
        <v>12772.3</v>
      </c>
      <c r="L731" s="105"/>
      <c r="M731" s="105"/>
      <c r="N731" s="105"/>
      <c r="O731" s="105"/>
      <c r="P731" s="119"/>
    </row>
    <row r="732" spans="1:16" x14ac:dyDescent="0.3">
      <c r="A732" s="146"/>
      <c r="B732" s="94">
        <v>43891</v>
      </c>
      <c r="C732" s="105">
        <f t="shared" si="19"/>
        <v>11679.69</v>
      </c>
      <c r="D732" s="105">
        <v>9261.9500000000007</v>
      </c>
      <c r="E732" s="105"/>
      <c r="F732" s="105"/>
      <c r="G732" s="105"/>
      <c r="H732" s="105"/>
      <c r="I732" s="105">
        <v>9.6</v>
      </c>
      <c r="J732" s="105"/>
      <c r="K732" s="105">
        <v>2408.14</v>
      </c>
      <c r="L732" s="105"/>
      <c r="M732" s="105"/>
      <c r="N732" s="105"/>
      <c r="O732" s="105"/>
      <c r="P732" s="119"/>
    </row>
    <row r="733" spans="1:16" x14ac:dyDescent="0.3">
      <c r="A733" s="146"/>
      <c r="B733" s="94">
        <v>43922</v>
      </c>
      <c r="C733" s="105">
        <f t="shared" si="19"/>
        <v>0</v>
      </c>
      <c r="D733" s="105"/>
      <c r="E733" s="105"/>
      <c r="F733" s="105"/>
      <c r="G733" s="105"/>
      <c r="H733" s="105"/>
      <c r="I733" s="105"/>
      <c r="J733" s="105"/>
      <c r="K733" s="105"/>
      <c r="L733" s="105"/>
      <c r="M733" s="105"/>
      <c r="N733" s="105"/>
      <c r="O733" s="105"/>
      <c r="P733" s="119"/>
    </row>
    <row r="734" spans="1:16" x14ac:dyDescent="0.3">
      <c r="A734" s="146"/>
      <c r="B734" s="94">
        <v>43952</v>
      </c>
      <c r="C734" s="92">
        <f t="shared" si="19"/>
        <v>16843.100000000002</v>
      </c>
      <c r="D734" s="92">
        <v>370.94</v>
      </c>
      <c r="E734" s="92">
        <v>85.89</v>
      </c>
      <c r="F734" s="92">
        <v>328</v>
      </c>
      <c r="I734" s="92">
        <v>52.83</v>
      </c>
      <c r="K734" s="92">
        <v>16005.44</v>
      </c>
    </row>
    <row r="735" spans="1:16" x14ac:dyDescent="0.3">
      <c r="A735" s="146"/>
      <c r="B735" s="94">
        <v>43983</v>
      </c>
      <c r="C735" s="92">
        <f t="shared" si="19"/>
        <v>9429.5399999999991</v>
      </c>
      <c r="D735" s="109">
        <v>1906.78</v>
      </c>
      <c r="E735" s="109">
        <v>72.25</v>
      </c>
      <c r="F735" s="109">
        <v>416</v>
      </c>
      <c r="G735" s="109"/>
      <c r="H735" s="109"/>
      <c r="I735" s="109">
        <v>39.69</v>
      </c>
      <c r="J735" s="109"/>
      <c r="K735" s="109">
        <v>6994.82</v>
      </c>
      <c r="L735" s="109"/>
      <c r="M735" s="109"/>
      <c r="N735" s="109"/>
      <c r="O735" s="109"/>
      <c r="P735" s="121"/>
    </row>
    <row r="736" spans="1:16" x14ac:dyDescent="0.3">
      <c r="A736" s="146"/>
      <c r="B736" s="94">
        <v>44013</v>
      </c>
      <c r="C736" s="92">
        <f t="shared" si="19"/>
        <v>12561.7</v>
      </c>
      <c r="D736" s="109">
        <v>6064.27</v>
      </c>
      <c r="E736" s="109">
        <v>180.47</v>
      </c>
      <c r="F736" s="109">
        <v>462.22</v>
      </c>
      <c r="G736" s="109"/>
      <c r="H736" s="109"/>
      <c r="I736" s="109">
        <v>32</v>
      </c>
      <c r="J736" s="109"/>
      <c r="K736" s="109">
        <v>5822.74</v>
      </c>
      <c r="L736" s="109"/>
      <c r="M736" s="109"/>
      <c r="N736" s="109"/>
      <c r="O736" s="109"/>
      <c r="P736" s="121"/>
    </row>
    <row r="737" spans="1:16" x14ac:dyDescent="0.3">
      <c r="A737" s="146"/>
      <c r="B737" s="94">
        <v>44044</v>
      </c>
      <c r="C737" s="92">
        <f t="shared" si="19"/>
        <v>6899.9699999999993</v>
      </c>
      <c r="D737" s="109">
        <v>1899.37</v>
      </c>
      <c r="E737" s="109">
        <v>20.05</v>
      </c>
      <c r="F737" s="109">
        <v>240</v>
      </c>
      <c r="G737" s="109"/>
      <c r="H737" s="109"/>
      <c r="I737" s="109">
        <v>13.73</v>
      </c>
      <c r="J737" s="109"/>
      <c r="K737" s="109">
        <v>4726.82</v>
      </c>
      <c r="L737" s="109"/>
      <c r="M737" s="109"/>
      <c r="N737" s="109"/>
      <c r="O737" s="109"/>
      <c r="P737" s="121"/>
    </row>
    <row r="738" spans="1:16" x14ac:dyDescent="0.3">
      <c r="A738" s="146"/>
      <c r="B738" s="94">
        <v>44075</v>
      </c>
      <c r="C738" s="105">
        <f t="shared" si="19"/>
        <v>14006.05</v>
      </c>
      <c r="D738" s="110">
        <v>2753.96</v>
      </c>
      <c r="E738" s="110">
        <v>1202.3499999999999</v>
      </c>
      <c r="F738" s="110">
        <v>120</v>
      </c>
      <c r="G738" s="110"/>
      <c r="H738" s="110"/>
      <c r="I738" s="110">
        <v>93.26</v>
      </c>
      <c r="J738" s="110"/>
      <c r="K738" s="110">
        <v>9836.48</v>
      </c>
      <c r="L738" s="110"/>
      <c r="M738" s="110"/>
      <c r="N738" s="110"/>
      <c r="O738" s="110"/>
      <c r="P738" s="122"/>
    </row>
    <row r="739" spans="1:16" x14ac:dyDescent="0.3">
      <c r="A739" s="146"/>
      <c r="B739" s="94">
        <v>44105</v>
      </c>
      <c r="C739" s="105">
        <f t="shared" si="19"/>
        <v>9518.64</v>
      </c>
      <c r="D739" s="112">
        <v>2674.6</v>
      </c>
      <c r="E739" s="112">
        <v>315.94</v>
      </c>
      <c r="F739" s="112"/>
      <c r="G739" s="112"/>
      <c r="H739" s="112"/>
      <c r="I739" s="112">
        <v>145.85</v>
      </c>
      <c r="J739" s="112"/>
      <c r="K739" s="112">
        <v>6382.25</v>
      </c>
      <c r="L739" s="112"/>
      <c r="M739" s="112"/>
      <c r="N739" s="112"/>
      <c r="O739" s="113"/>
      <c r="P739" s="123"/>
    </row>
    <row r="740" spans="1:16" x14ac:dyDescent="0.3">
      <c r="A740" s="146"/>
      <c r="B740" s="94">
        <v>44136</v>
      </c>
      <c r="C740" s="105">
        <f t="shared" si="19"/>
        <v>6592.1999999999989</v>
      </c>
      <c r="D740" s="110">
        <v>1155.29</v>
      </c>
      <c r="E740" s="110">
        <v>220.31</v>
      </c>
      <c r="F740" s="110">
        <v>280</v>
      </c>
      <c r="G740" s="110"/>
      <c r="H740" s="110"/>
      <c r="I740" s="110">
        <v>34.619999999999997</v>
      </c>
      <c r="J740" s="110"/>
      <c r="K740" s="110">
        <v>4901.9799999999996</v>
      </c>
      <c r="L740" s="110"/>
      <c r="M740" s="110"/>
      <c r="N740" s="110"/>
      <c r="O740" s="110"/>
      <c r="P740" s="122"/>
    </row>
    <row r="741" spans="1:16" x14ac:dyDescent="0.3">
      <c r="A741" s="146"/>
      <c r="B741" s="94">
        <v>44166</v>
      </c>
      <c r="C741" s="105">
        <f t="shared" si="19"/>
        <v>5782.99</v>
      </c>
      <c r="D741" s="110">
        <v>848.4</v>
      </c>
      <c r="E741" s="110"/>
      <c r="F741" s="110"/>
      <c r="G741" s="110"/>
      <c r="H741" s="110"/>
      <c r="I741" s="110"/>
      <c r="J741" s="110"/>
      <c r="K741" s="110">
        <v>4934.59</v>
      </c>
      <c r="L741" s="110"/>
      <c r="M741" s="110"/>
      <c r="N741" s="110"/>
      <c r="O741" s="110"/>
      <c r="P741" s="122"/>
    </row>
    <row r="742" spans="1:16" x14ac:dyDescent="0.3">
      <c r="A742" s="146"/>
      <c r="B742" s="94">
        <v>44197</v>
      </c>
      <c r="C742" s="105">
        <f t="shared" si="19"/>
        <v>7879.14</v>
      </c>
      <c r="D742" s="110">
        <v>2112.84</v>
      </c>
      <c r="E742" s="110">
        <v>148.79</v>
      </c>
      <c r="F742" s="110">
        <v>616</v>
      </c>
      <c r="G742" s="110">
        <v>0.38</v>
      </c>
      <c r="H742" s="110"/>
      <c r="I742" s="110"/>
      <c r="J742" s="110"/>
      <c r="K742" s="110">
        <v>5001.13</v>
      </c>
      <c r="L742" s="110"/>
      <c r="M742" s="110"/>
      <c r="N742" s="110"/>
      <c r="O742" s="110"/>
      <c r="P742" s="122"/>
    </row>
    <row r="743" spans="1:16" x14ac:dyDescent="0.3">
      <c r="A743" s="146"/>
      <c r="B743" s="94">
        <v>44228</v>
      </c>
      <c r="C743" s="105">
        <f t="shared" ref="C743:C749" si="20">SUM(D743:P743)</f>
        <v>24793.3</v>
      </c>
      <c r="D743" s="110">
        <v>5419.42</v>
      </c>
      <c r="E743" s="110">
        <v>0.28999999999999998</v>
      </c>
      <c r="F743" s="110">
        <v>184</v>
      </c>
      <c r="G743" s="110"/>
      <c r="H743" s="110"/>
      <c r="I743" s="110">
        <v>14244.15</v>
      </c>
      <c r="J743" s="110"/>
      <c r="K743" s="110">
        <v>4945.4399999999996</v>
      </c>
      <c r="L743" s="110"/>
      <c r="M743" s="110"/>
      <c r="N743" s="110"/>
      <c r="O743" s="110"/>
      <c r="P743" s="122"/>
    </row>
    <row r="744" spans="1:16" x14ac:dyDescent="0.3">
      <c r="A744" s="146"/>
      <c r="B744" s="94">
        <v>44256</v>
      </c>
      <c r="C744" s="105">
        <f t="shared" si="20"/>
        <v>13486.97</v>
      </c>
      <c r="D744" s="110">
        <v>4348.82</v>
      </c>
      <c r="E744" s="110">
        <v>699.78</v>
      </c>
      <c r="F744" s="110">
        <v>1968</v>
      </c>
      <c r="G744" s="110"/>
      <c r="H744" s="110"/>
      <c r="I744" s="110">
        <v>332.64</v>
      </c>
      <c r="J744" s="110"/>
      <c r="K744" s="110">
        <v>6137.73</v>
      </c>
      <c r="L744" s="110"/>
      <c r="M744" s="110"/>
      <c r="N744" s="110"/>
      <c r="O744" s="110"/>
      <c r="P744" s="110"/>
    </row>
    <row r="745" spans="1:16" x14ac:dyDescent="0.3">
      <c r="A745" s="146"/>
      <c r="B745" s="94">
        <v>44287</v>
      </c>
      <c r="C745" s="105">
        <f t="shared" si="20"/>
        <v>9550.76</v>
      </c>
      <c r="D745" s="110">
        <v>3389.95</v>
      </c>
      <c r="E745" s="110">
        <v>165.75</v>
      </c>
      <c r="F745" s="110"/>
      <c r="G745" s="110"/>
      <c r="H745" s="110"/>
      <c r="I745" s="110"/>
      <c r="J745" s="110"/>
      <c r="K745" s="110">
        <v>5995.06</v>
      </c>
      <c r="L745" s="110"/>
      <c r="M745" s="110"/>
      <c r="N745" s="110"/>
      <c r="O745" s="110"/>
      <c r="P745" s="110"/>
    </row>
    <row r="746" spans="1:16" x14ac:dyDescent="0.3">
      <c r="A746" s="146"/>
      <c r="B746" s="94">
        <v>44317</v>
      </c>
      <c r="C746" s="105">
        <f t="shared" si="20"/>
        <v>8714.2000000000007</v>
      </c>
      <c r="D746" s="110">
        <v>552.25</v>
      </c>
      <c r="E746" s="110">
        <v>160.13999999999999</v>
      </c>
      <c r="F746" s="110">
        <v>144</v>
      </c>
      <c r="G746" s="110"/>
      <c r="H746" s="110"/>
      <c r="I746" s="110"/>
      <c r="J746" s="110"/>
      <c r="K746" s="110">
        <v>7857.81</v>
      </c>
      <c r="L746" s="110"/>
      <c r="M746" s="110"/>
      <c r="N746" s="110"/>
      <c r="O746" s="110"/>
      <c r="P746" s="110"/>
    </row>
    <row r="747" spans="1:16" x14ac:dyDescent="0.3">
      <c r="A747" s="146"/>
      <c r="B747" s="94">
        <v>44348</v>
      </c>
      <c r="C747" s="105">
        <f t="shared" si="20"/>
        <v>7999.4699999999993</v>
      </c>
      <c r="D747" s="110">
        <v>1798.85</v>
      </c>
      <c r="E747" s="110">
        <v>115.31</v>
      </c>
      <c r="F747" s="110">
        <v>278.08</v>
      </c>
      <c r="G747" s="110">
        <v>121.41</v>
      </c>
      <c r="H747" s="110"/>
      <c r="I747" s="110">
        <v>26.11</v>
      </c>
      <c r="J747" s="110"/>
      <c r="K747" s="110">
        <v>5659.71</v>
      </c>
      <c r="L747" s="110"/>
      <c r="M747" s="110"/>
      <c r="N747" s="110"/>
      <c r="O747" s="110"/>
      <c r="P747" s="110"/>
    </row>
    <row r="748" spans="1:16" x14ac:dyDescent="0.3">
      <c r="A748" s="146"/>
      <c r="B748" s="94">
        <v>44378</v>
      </c>
      <c r="C748" s="105">
        <f t="shared" si="20"/>
        <v>23215.73</v>
      </c>
      <c r="D748" s="110">
        <v>7297.78</v>
      </c>
      <c r="E748" s="110">
        <v>543.69000000000005</v>
      </c>
      <c r="F748" s="110">
        <v>7623.49</v>
      </c>
      <c r="G748" s="110">
        <v>4.5199999999999996</v>
      </c>
      <c r="H748" s="110"/>
      <c r="I748" s="110">
        <v>4.54</v>
      </c>
      <c r="J748" s="110"/>
      <c r="K748" s="110">
        <v>7741.71</v>
      </c>
      <c r="L748" s="110"/>
      <c r="M748" s="110"/>
      <c r="N748" s="110"/>
      <c r="O748" s="110"/>
      <c r="P748" s="110"/>
    </row>
    <row r="749" spans="1:16" x14ac:dyDescent="0.3">
      <c r="A749" s="146"/>
      <c r="B749" s="94">
        <v>44409</v>
      </c>
      <c r="C749" s="105">
        <f t="shared" si="20"/>
        <v>4298.3099999999995</v>
      </c>
      <c r="D749" s="110">
        <v>51.97</v>
      </c>
      <c r="E749" s="110">
        <v>9.69</v>
      </c>
      <c r="F749" s="110"/>
      <c r="G749" s="110"/>
      <c r="H749" s="110"/>
      <c r="I749" s="110">
        <v>242.02</v>
      </c>
      <c r="J749" s="110"/>
      <c r="K749" s="110">
        <v>3991.98</v>
      </c>
      <c r="L749" s="110"/>
      <c r="M749" s="110">
        <v>2.65</v>
      </c>
      <c r="N749" s="110"/>
      <c r="O749" s="110"/>
      <c r="P749" s="110"/>
    </row>
    <row r="750" spans="1:16" x14ac:dyDescent="0.3">
      <c r="A750" s="146"/>
      <c r="B750" s="94">
        <v>44440</v>
      </c>
      <c r="C750" s="105">
        <f t="shared" ref="C750:C755" si="21">SUM(D750:P750)</f>
        <v>9696.3799999999992</v>
      </c>
      <c r="D750" s="105">
        <f>GETPIVOTDATA("CA",[1]Feuil1!$A$1,"Agence","Air Liquide","Catégorie","Petit Format Couleur")</f>
        <v>2367.13</v>
      </c>
      <c r="E750" s="105">
        <f>GETPIVOTDATA("CA",[1]Feuil1!$A$1,"Agence","Air Liquide","Catégorie","Petit Format N&amp;B")</f>
        <v>13.12</v>
      </c>
      <c r="F750" s="105">
        <f>GETPIVOTDATA("CA",[1]Feuil1!$A$1,"Agence","Air Liquide","Catégorie","Grand Format Couleur")</f>
        <v>0</v>
      </c>
      <c r="G750" s="105">
        <f>GETPIVOTDATA("CA",[1]Feuil1!$A$1,"Agence","Air Liquide","Catégorie","Grand Format n&amp;b")</f>
        <v>0.34</v>
      </c>
      <c r="H750" s="105">
        <f>GETPIVOTDATA("CA",[1]Feuil1!$A$1,"Agence","Air Liquide","Catégorie","imagerie")</f>
        <v>0</v>
      </c>
      <c r="I750" s="105">
        <f>GETPIVOTDATA("CA",[1]Feuil1!$A$1,"Agence","Air Liquide","Catégorie","Numérisation")</f>
        <v>46.1</v>
      </c>
      <c r="J750" s="105">
        <f>GETPIVOTDATA("CA",[1]Feuil1!$A$1,"Agence","Air Liquide","Catégorie","Sous Traitance")</f>
        <v>0</v>
      </c>
      <c r="K750" s="105">
        <f>GETPIVOTDATA("CA",[1]Feuil1!$A$1,"Agence","Air Liquide","Catégorie","finition")</f>
        <v>7269.69</v>
      </c>
      <c r="L750" s="105">
        <f>GETPIVOTDATA("CA",[1]Feuil1!$A$1,"Agence","Air Liquide","Catégorie","Livraison")</f>
        <v>0</v>
      </c>
      <c r="M750" s="105">
        <f>GETPIVOTDATA("CA",[1]Feuil1!$A$1,"Agence","Air Liquide","Catégorie","divers")</f>
        <v>0</v>
      </c>
      <c r="N750" s="105">
        <f>GETPIVOTDATA("CA",[1]Feuil1!$A$1,"Agence","Air Liquide","Catégorie","Cross Media")</f>
        <v>0</v>
      </c>
      <c r="O750" s="105">
        <f>GETPIVOTDATA("CA",[1]Feuil1!$A$1,"Agence","Air Liquide","Catégorie","affranchissement")</f>
        <v>0</v>
      </c>
      <c r="P750" s="105">
        <f>GETPIVOTDATA("CA",[1]Feuil1!$A$1,"Agence","Air Liquide","Catégorie","STUDIO GRAPHIQUE")</f>
        <v>0</v>
      </c>
    </row>
    <row r="751" spans="1:16" x14ac:dyDescent="0.3">
      <c r="A751" s="146"/>
      <c r="B751" s="94">
        <v>44470</v>
      </c>
      <c r="C751" s="105">
        <f t="shared" si="21"/>
        <v>12939.77</v>
      </c>
      <c r="D751" s="110">
        <f>GETPIVOTDATA("CA",[2]Feuil1!$A$1,"Agence","Air Liquide","Catégorie","Petit Format Couleur")</f>
        <v>2553.54</v>
      </c>
      <c r="E751" s="110">
        <f>GETPIVOTDATA("CA",[2]Feuil1!$A$1,"Agence","Air Liquide","Catégorie","Petit Format N&amp;B")</f>
        <v>11.77</v>
      </c>
      <c r="F751" s="110">
        <f>GETPIVOTDATA("CA",[2]Feuil1!$A$1,"Agence","Air Liquide","Catégorie","Grand Format Couleur")</f>
        <v>423.21</v>
      </c>
      <c r="G751" s="110">
        <f>GETPIVOTDATA("CA",[2]Feuil1!$A$1,"Agence","Air Liquide","Catégorie","Grand Format n&amp;b")</f>
        <v>0</v>
      </c>
      <c r="H751" s="110">
        <f>GETPIVOTDATA("CA",[2]Feuil1!$A$1,"Agence","Air Liquide","Catégorie","imagerie")</f>
        <v>0</v>
      </c>
      <c r="I751" s="110">
        <f>GETPIVOTDATA("CA",[2]Feuil1!$A$1,"Agence","Air Liquide","Catégorie","Numérisation")</f>
        <v>0</v>
      </c>
      <c r="J751" s="110">
        <f>GETPIVOTDATA("CA",[2]Feuil1!$A$1,"Agence","Air Liquide","Catégorie","Sous Traitance")</f>
        <v>0</v>
      </c>
      <c r="K751" s="110">
        <f>GETPIVOTDATA("CA",[2]Feuil1!$A$1,"Agence","Air Liquide","Catégorie","finition")</f>
        <v>9951.25</v>
      </c>
      <c r="L751" s="110">
        <f>GETPIVOTDATA("CA",[2]Feuil1!$A$1,"Agence","Air Liquide","Catégorie","Livraison")</f>
        <v>0</v>
      </c>
      <c r="M751" s="110">
        <f>GETPIVOTDATA("CA",[2]Feuil1!$A$1,"Agence","Air Liquide","Catégorie","divers")</f>
        <v>0</v>
      </c>
      <c r="N751" s="110">
        <f>GETPIVOTDATA("CA",[2]Feuil1!$A$1,"Agence","Air Liquide","Catégorie","Cross Media")</f>
        <v>0</v>
      </c>
      <c r="O751" s="110">
        <f>GETPIVOTDATA("CA",[2]Feuil1!$A$1,"Agence","Air Liquide","Catégorie","affranchissement")</f>
        <v>0</v>
      </c>
      <c r="P751" s="122">
        <f>GETPIVOTDATA("CA",[2]Feuil1!$A$1,"Agence","Air Liquide","Catégorie","STUDIO GRAPHIQUE")</f>
        <v>0</v>
      </c>
    </row>
    <row r="752" spans="1:16" x14ac:dyDescent="0.3">
      <c r="A752" s="146"/>
      <c r="B752" s="94">
        <v>44501</v>
      </c>
      <c r="C752" s="105">
        <f t="shared" si="21"/>
        <v>12046.32</v>
      </c>
      <c r="D752" s="110">
        <f>GETPIVOTDATA("CA",[3]Feuil1!$A$1,"Agence","Air Liquide","Catégorie","Petit Format Couleur")</f>
        <v>2982.27</v>
      </c>
      <c r="E752" s="110">
        <f>GETPIVOTDATA("CA",[3]Feuil1!$A$1,"Agence","Air Liquide","Catégorie","Petit Format N&amp;B")</f>
        <v>11.69</v>
      </c>
      <c r="F752" s="110">
        <f>GETPIVOTDATA("CA",[3]Feuil1!$A$1,"Agence","Air Liquide","Catégorie","Grand Format Couleur")</f>
        <v>588.04</v>
      </c>
      <c r="G752" s="110">
        <f>GETPIVOTDATA("CA",[3]Feuil1!$A$1,"Agence","Air Liquide","Catégorie","Grand Format n&amp;b")</f>
        <v>2.0499999999999998</v>
      </c>
      <c r="H752" s="110">
        <f>GETPIVOTDATA("CA",[3]Feuil1!$A$1,"Agence","Air Liquide","Catégorie","imagerie")</f>
        <v>0</v>
      </c>
      <c r="I752" s="110">
        <f>GETPIVOTDATA("CA",[3]Feuil1!$A$1,"Agence","Air Liquide","Catégorie","Numérisation")</f>
        <v>12</v>
      </c>
      <c r="J752" s="110">
        <f>GETPIVOTDATA("CA",[3]Feuil1!$A$1,"Agence","Air Liquide","Catégorie","Sous Traitance")</f>
        <v>0</v>
      </c>
      <c r="K752" s="110">
        <f>GETPIVOTDATA("CA",[3]Feuil1!$A$1,"Agence","Air Liquide","Catégorie","finition")</f>
        <v>8450.27</v>
      </c>
      <c r="L752" s="110">
        <f>GETPIVOTDATA("CA",[3]Feuil1!$A$1,"Agence","Air Liquide","Catégorie","Livraison")</f>
        <v>0</v>
      </c>
      <c r="M752" s="110">
        <f>GETPIVOTDATA("CA",[3]Feuil1!$A$1,"Agence","Air Liquide","Catégorie","divers")</f>
        <v>0</v>
      </c>
      <c r="N752" s="110">
        <f>GETPIVOTDATA("CA",[3]Feuil1!$A$1,"Agence","Air Liquide","Catégorie","Cross Media")</f>
        <v>0</v>
      </c>
      <c r="O752" s="110">
        <f>GETPIVOTDATA("CA",[3]Feuil1!$A$1,"Agence","Air Liquide","Catégorie","affranchissement")</f>
        <v>0</v>
      </c>
      <c r="P752" s="122">
        <f>GETPIVOTDATA("CA",[3]Feuil1!$A$1,"Agence","Air Liquide","Catégorie","STUDIO GRAPHIQUE")</f>
        <v>0</v>
      </c>
    </row>
    <row r="753" spans="1:16" x14ac:dyDescent="0.3">
      <c r="A753" s="146"/>
      <c r="B753" s="94">
        <v>44531</v>
      </c>
      <c r="C753" s="105">
        <f t="shared" si="21"/>
        <v>8270.57</v>
      </c>
      <c r="D753" s="110">
        <f>GETPIVOTDATA("CA",[4]Feuil1!$A$1,"Agence","Air Liquide","Catégorie","Petit Format Couleur")</f>
        <v>1198.03</v>
      </c>
      <c r="E753" s="110">
        <f>GETPIVOTDATA("CA",[4]Feuil1!$A$1,"Agence","Air Liquide","Catégorie","Petit Format N&amp;B")</f>
        <v>3033.98</v>
      </c>
      <c r="F753" s="110">
        <f>GETPIVOTDATA("CA",[4]Feuil1!$A$1,"Agence","Air Liquide","Catégorie","Grand Format Couleur")</f>
        <v>424.88</v>
      </c>
      <c r="G753" s="110">
        <f>GETPIVOTDATA("CA",[4]Feuil1!$A$1,"Agence","Air Liquide","Catégorie","Grand Format n&amp;b")</f>
        <v>567.27</v>
      </c>
      <c r="H753" s="110">
        <f>GETPIVOTDATA("CA",[4]Feuil1!$A$1,"Agence","Air Liquide","Catégorie","imagerie")</f>
        <v>0</v>
      </c>
      <c r="I753" s="110">
        <f>GETPIVOTDATA("CA",[4]Feuil1!$A$1,"Agence","Air Liquide","Catégorie","Numérisation")</f>
        <v>0</v>
      </c>
      <c r="J753" s="110">
        <f>GETPIVOTDATA("CA",[4]Feuil1!$A$1,"Agence","Air Liquide","Catégorie","Sous Traitance")</f>
        <v>0</v>
      </c>
      <c r="K753" s="110">
        <f>GETPIVOTDATA("CA",[4]Feuil1!$A$1,"Agence","Air Liquide","Catégorie","finition")</f>
        <v>3046.41</v>
      </c>
      <c r="L753" s="110">
        <f>GETPIVOTDATA("CA",[4]Feuil1!$A$1,"Agence","Air Liquide","Catégorie","Livraison")</f>
        <v>0</v>
      </c>
      <c r="M753" s="110">
        <f>GETPIVOTDATA("CA",[4]Feuil1!$A$1,"Agence","Air Liquide","Catégorie","divers")</f>
        <v>0</v>
      </c>
      <c r="N753" s="110">
        <f>GETPIVOTDATA("CA",[4]Feuil1!$A$1,"Agence","Air Liquide","Catégorie","Cross Media")</f>
        <v>0</v>
      </c>
      <c r="O753" s="110">
        <f>GETPIVOTDATA("CA",[4]Feuil1!$A$1,"Agence","Air Liquide","Catégorie","affranchissement")</f>
        <v>0</v>
      </c>
      <c r="P753" s="122">
        <f>GETPIVOTDATA("CA",[4]Feuil1!$A$1,"Agence","Air Liquide","Catégorie","STUDIO GRAPHIQUE")</f>
        <v>0</v>
      </c>
    </row>
    <row r="754" spans="1:16" x14ac:dyDescent="0.3">
      <c r="A754" s="146"/>
      <c r="B754" s="94">
        <v>44562</v>
      </c>
      <c r="C754" s="105">
        <f t="shared" si="21"/>
        <v>9311.1299999999992</v>
      </c>
      <c r="D754" s="110">
        <f>GETPIVOTDATA("CA",[5]Feuil1!$A$1,"Agence","Air Liquide","Catégorie","Petit Format Couleur")</f>
        <v>919.5</v>
      </c>
      <c r="E754" s="110">
        <f>GETPIVOTDATA("CA",[5]Feuil1!$A$1,"Agence","Air Liquide","Catégorie","Petit Format N&amp;B")</f>
        <v>0.05</v>
      </c>
      <c r="F754" s="110">
        <f>GETPIVOTDATA("CA",[5]Feuil1!$A$1,"Agence","Air Liquide","Catégorie","Grand Format Couleur")</f>
        <v>62.7</v>
      </c>
      <c r="G754" s="110">
        <f>GETPIVOTDATA("CA",[5]Feuil1!$A$1,"Agence","Air Liquide","Catégorie","Grand Format n&amp;b")</f>
        <v>0</v>
      </c>
      <c r="H754" s="110">
        <f>GETPIVOTDATA("CA",[5]Feuil1!$A$1,"Agence","Air Liquide","Catégorie","imagerie")</f>
        <v>0</v>
      </c>
      <c r="I754" s="110">
        <f>GETPIVOTDATA("CA",[5]Feuil1!$A$1,"Agence","Air Liquide","Catégorie","Numérisation")</f>
        <v>0</v>
      </c>
      <c r="J754" s="110">
        <f>GETPIVOTDATA("CA",[5]Feuil1!$A$1,"Agence","Air Liquide","Catégorie","Sous Traitance")</f>
        <v>0</v>
      </c>
      <c r="K754" s="110">
        <f>GETPIVOTDATA("CA",[5]Feuil1!$A$1,"Agence","Air Liquide","Catégorie","finition")</f>
        <v>8328.8799999999992</v>
      </c>
      <c r="L754" s="110">
        <f>GETPIVOTDATA("CA",[5]Feuil1!$A$1,"Agence","Air Liquide","Catégorie","Livraison")</f>
        <v>0</v>
      </c>
      <c r="M754" s="110">
        <f>GETPIVOTDATA("CA",[5]Feuil1!$A$1,"Agence","Air Liquide","Catégorie","divers")</f>
        <v>0</v>
      </c>
      <c r="N754" s="110">
        <f>GETPIVOTDATA("CA",[5]Feuil1!$A$1,"Agence","Air Liquide","Catégorie","Cross Media")</f>
        <v>0</v>
      </c>
      <c r="O754" s="110">
        <f>GETPIVOTDATA("CA",[5]Feuil1!$A$1,"Agence","Air Liquide","Catégorie","affranchissement")</f>
        <v>0</v>
      </c>
      <c r="P754" s="122">
        <f>GETPIVOTDATA("CA",[5]Feuil1!$A$1,"Agence","Air Liquide","Catégorie","STUDIO GRAPHIQUE")</f>
        <v>0</v>
      </c>
    </row>
    <row r="755" spans="1:16" x14ac:dyDescent="0.3">
      <c r="A755" s="146"/>
      <c r="B755" s="94">
        <v>44593</v>
      </c>
      <c r="C755" s="105">
        <f t="shared" si="21"/>
        <v>14656.91</v>
      </c>
      <c r="D755" s="110">
        <f>GETPIVOTDATA("CA",[6]Feuil1!$A$1,"Agence","Air Liquide","Catégorie","Petit Format Couleur")</f>
        <v>5187.6499999999996</v>
      </c>
      <c r="E755" s="110">
        <f>GETPIVOTDATA("CA",[6]Feuil1!$A$1,"Agence","Air Liquide","Catégorie","Petit Format N&amp;B")</f>
        <v>12.1</v>
      </c>
      <c r="F755" s="110">
        <f>GETPIVOTDATA("CA",[6]Feuil1!$A$1,"Agence","Air Liquide","Catégorie","Grand Format Couleur")</f>
        <v>28.45</v>
      </c>
      <c r="G755" s="110">
        <f>GETPIVOTDATA("CA",[6]Feuil1!$A$1,"Agence","Air Liquide","Catégorie","Grand Format n&amp;b")</f>
        <v>0</v>
      </c>
      <c r="H755" s="110">
        <f>GETPIVOTDATA("CA",[6]Feuil1!$A$1,"Agence","Air Liquide","Catégorie","imagerie")</f>
        <v>0</v>
      </c>
      <c r="I755" s="110">
        <f>GETPIVOTDATA("CA",[6]Feuil1!$A$1,"Agence","Air Liquide","Catégorie","Numérisation")</f>
        <v>517.58000000000004</v>
      </c>
      <c r="J755" s="110">
        <f>GETPIVOTDATA("CA",[6]Feuil1!$A$1,"Agence","Air Liquide","Catégorie","Sous Traitance")</f>
        <v>0</v>
      </c>
      <c r="K755" s="110">
        <f>GETPIVOTDATA("CA",[6]Feuil1!$A$1,"Agence","Air Liquide","Catégorie","finition")</f>
        <v>8911.1299999999992</v>
      </c>
      <c r="L755" s="110">
        <f>GETPIVOTDATA("CA",[6]Feuil1!$A$1,"Agence","Air Liquide","Catégorie","Livraison")</f>
        <v>0</v>
      </c>
      <c r="M755" s="110">
        <f>GETPIVOTDATA("CA",[6]Feuil1!$A$1,"Agence","Air Liquide","Catégorie","divers")</f>
        <v>0</v>
      </c>
      <c r="N755" s="110">
        <f>GETPIVOTDATA("CA",[6]Feuil1!$A$1,"Agence","Air Liquide","Catégorie","Cross Media")</f>
        <v>0</v>
      </c>
      <c r="O755" s="110">
        <f>GETPIVOTDATA("CA",[6]Feuil1!$A$1,"Agence","Air Liquide","Catégorie","affranchissement")</f>
        <v>0</v>
      </c>
      <c r="P755" s="122">
        <f>GETPIVOTDATA("CA",[6]Feuil1!$A$1,"Agence","Air Liquide","Catégorie","STUDIO GRAPHIQUE")</f>
        <v>0</v>
      </c>
    </row>
    <row r="756" spans="1:16" x14ac:dyDescent="0.3">
      <c r="A756" s="146"/>
      <c r="B756" s="94">
        <v>44621</v>
      </c>
      <c r="C756" s="105">
        <f>SUM(D756:P756)</f>
        <v>18286.63</v>
      </c>
      <c r="D756" s="110">
        <f>GETPIVOTDATA("Montant",[7]Feuil1!$A$1,"Agence","Air Liquide","Catégorie","Petit Format Couleur")</f>
        <v>2891.83</v>
      </c>
      <c r="E756" s="110">
        <f>GETPIVOTDATA("Montant",[7]Feuil1!$A$1,"Agence","Air Liquide","Catégorie","Petit Format N&amp;B")</f>
        <v>12.98</v>
      </c>
      <c r="F756" s="110">
        <f>GETPIVOTDATA("Montant",[7]Feuil1!$A$1,"Agence","Air Liquide","Catégorie","Grand Format Couleur")</f>
        <v>171.4</v>
      </c>
      <c r="G756" s="110">
        <f>GETPIVOTDATA("Montant",[7]Feuil1!$A$1,"Agence","Air Liquide","Catégorie","Grand Format n&amp;b")</f>
        <v>0.75</v>
      </c>
      <c r="H756" s="110">
        <f>GETPIVOTDATA("Montant",[7]Feuil1!$A$1,"Agence","Air Liquide","Catégorie","imagerie")</f>
        <v>0</v>
      </c>
      <c r="I756" s="110">
        <f>GETPIVOTDATA("Montant",[7]Feuil1!$A$1,"Agence","Air Liquide","Catégorie","Numérisation")</f>
        <v>69.53</v>
      </c>
      <c r="J756" s="110">
        <f>GETPIVOTDATA("Montant",[7]Feuil1!$A$1,"Agence","Air Liquide","Catégorie","Sous Traitance")</f>
        <v>0</v>
      </c>
      <c r="K756" s="110">
        <f>GETPIVOTDATA("Montant",[7]Feuil1!$A$1,"Agence","Air Liquide","Catégorie","finition")</f>
        <v>15140.14</v>
      </c>
      <c r="L756" s="110">
        <f>GETPIVOTDATA("Montant",[7]Feuil1!$A$1,"Agence","Air Liquide","Catégorie","Livraison")</f>
        <v>0</v>
      </c>
      <c r="M756" s="110">
        <f>GETPIVOTDATA("Montant",[7]Feuil1!$A$1,"Agence","Air Liquide","Catégorie","divers")</f>
        <v>0</v>
      </c>
      <c r="N756" s="110">
        <f>GETPIVOTDATA("Montant",[7]Feuil1!$A$1,"Agence","Air Liquide","Catégorie","Cross Media")</f>
        <v>0</v>
      </c>
      <c r="O756" s="110">
        <f>GETPIVOTDATA("Montant",[7]Feuil1!$A$1,"Agence","Air Liquide","Catégorie","affranchissement")</f>
        <v>0</v>
      </c>
      <c r="P756" s="122">
        <f>GETPIVOTDATA("Montant",[7]Feuil1!$A$1,"Agence","Air Liquide","Catégorie","STUDIO GRAPHIQUE")</f>
        <v>0</v>
      </c>
    </row>
    <row r="757" spans="1:16" x14ac:dyDescent="0.3">
      <c r="A757" s="146"/>
      <c r="B757" s="94">
        <v>44652</v>
      </c>
      <c r="C757" s="105">
        <f>SUM(D757:P757)</f>
        <v>16719.77</v>
      </c>
      <c r="D757" s="110">
        <f>GETPIVOTDATA("CA",[8]Feuil1!$A$1,"Agence","Air Liquide","Catégorie","Petit Format Couleur")</f>
        <v>5285.68</v>
      </c>
      <c r="E757" s="110">
        <f>GETPIVOTDATA("CA",[8]Feuil1!$A$1,"Agence","Air Liquide","Catégorie","Petit Format N&amp;B")</f>
        <v>39.71</v>
      </c>
      <c r="F757" s="110">
        <f>GETPIVOTDATA("CA",[8]Feuil1!$A$1,"Agence","Air Liquide","Catégorie","Grand Format Couleur")</f>
        <v>41.32</v>
      </c>
      <c r="G757" s="110">
        <f>GETPIVOTDATA("CA",[8]Feuil1!$A$1,"Agence","Air Liquide","Catégorie","Grand Format n&amp;b")</f>
        <v>1.89</v>
      </c>
      <c r="H757" s="110">
        <f>GETPIVOTDATA("CA",[8]Feuil1!$A$1,"Agence","Air Liquide","Catégorie","imagerie")</f>
        <v>0</v>
      </c>
      <c r="I757" s="110">
        <f>GETPIVOTDATA("CA",[8]Feuil1!$A$1,"Agence","Air Liquide","Catégorie","Numérisation")</f>
        <v>84.69</v>
      </c>
      <c r="J757" s="110">
        <f>GETPIVOTDATA("CA",[8]Feuil1!$A$1,"Agence","Air Liquide","Catégorie","Sous Traitance")</f>
        <v>0</v>
      </c>
      <c r="K757" s="110">
        <f>GETPIVOTDATA("CA",[8]Feuil1!$A$1,"Agence","Air Liquide","Catégorie","finition")</f>
        <v>11266.48</v>
      </c>
      <c r="L757" s="110">
        <f>GETPIVOTDATA("CA",[8]Feuil1!$A$1,"Agence","Air Liquide","Catégorie","Livraison")</f>
        <v>0</v>
      </c>
      <c r="M757" s="110">
        <f>GETPIVOTDATA("CA",[8]Feuil1!$A$1,"Agence","Air Liquide","Catégorie","divers")</f>
        <v>0</v>
      </c>
      <c r="N757" s="110">
        <v>0</v>
      </c>
      <c r="O757" s="110">
        <f>GETPIVOTDATA("CA",[8]Feuil1!$A$1,"Agence","Air Liquide","Catégorie","affranchissement")</f>
        <v>0</v>
      </c>
      <c r="P757" s="122">
        <f>GETPIVOTDATA("CA",[8]Feuil1!$A$1,"Agence","Air Liquide","Catégorie","STUDIO GRAPHIQUE")</f>
        <v>0</v>
      </c>
    </row>
    <row r="758" spans="1:16" x14ac:dyDescent="0.3">
      <c r="A758" s="146"/>
      <c r="B758" s="94">
        <v>44682</v>
      </c>
      <c r="C758" s="105">
        <f>SUM(D758:P758)</f>
        <v>11899.42</v>
      </c>
      <c r="D758" s="110">
        <f>GETPIVOTDATA("CA",[9]Feuil1!$A$1,"Agence","Air Liquide","Catégorie","Petit Format Couleur")</f>
        <v>1078.93</v>
      </c>
      <c r="E758" s="110">
        <f>GETPIVOTDATA("CA",[9]Feuil1!$A$1,"Agence","Air Liquide","Catégorie","Petit Format N&amp;B")</f>
        <v>6.34</v>
      </c>
      <c r="F758" s="110">
        <f>GETPIVOTDATA("CA",[9]Feuil1!$A$1,"Agence","Air Liquide","Catégorie","Grand Format Couleur")</f>
        <v>493.98</v>
      </c>
      <c r="G758" s="110">
        <f>GETPIVOTDATA("CA",[9]Feuil1!$A$1,"Agence","Air Liquide","Catégorie","Grand Format n&amp;b")</f>
        <v>1.51</v>
      </c>
      <c r="H758" s="110">
        <f>GETPIVOTDATA("CA",[9]Feuil1!$A$1,"Agence","Air Liquide","Catégorie","imagerie")</f>
        <v>0</v>
      </c>
      <c r="I758" s="110">
        <f>GETPIVOTDATA("CA",[9]Feuil1!$A$1,"Agence","Air Liquide","Catégorie","Numérisation")</f>
        <v>7.54</v>
      </c>
      <c r="J758" s="110">
        <f>GETPIVOTDATA("CA",[9]Feuil1!$A$1,"Agence","Air Liquide","Catégorie","Sous Traitance")</f>
        <v>0</v>
      </c>
      <c r="K758" s="110">
        <f>GETPIVOTDATA("CA",[9]Feuil1!$A$1,"Agence","Air Liquide","Catégorie","finition")</f>
        <v>10311.120000000001</v>
      </c>
      <c r="L758" s="110">
        <f>GETPIVOTDATA("CA",[9]Feuil1!$A$1,"Agence","Air Liquide","Catégorie","Livraison")</f>
        <v>0</v>
      </c>
      <c r="M758" s="110">
        <f>GETPIVOTDATA("CA",[9]Feuil1!$A$1,"Agence","Air Liquide","Catégorie","divers")</f>
        <v>0</v>
      </c>
      <c r="N758" s="110">
        <f>GETPIVOTDATA("CA",[9]Feuil1!$A$1,"Agence","Air Liquide","Catégorie","Cross Media")</f>
        <v>0</v>
      </c>
      <c r="O758" s="110">
        <f>GETPIVOTDATA("CA",[9]Feuil1!$A$1,"Agence","Air Liquide","Catégorie","affranchissement")</f>
        <v>0</v>
      </c>
      <c r="P758" s="122">
        <f>GETPIVOTDATA("CA",[9]Feuil1!$A$1,"Agence","Air Liquide","Catégorie","STUDIO GRAPHIQUE")</f>
        <v>0</v>
      </c>
    </row>
    <row r="759" spans="1:16" x14ac:dyDescent="0.3">
      <c r="A759" s="146"/>
      <c r="B759" s="94">
        <v>44713</v>
      </c>
      <c r="C759" s="105">
        <f>SUM(D759:P759)</f>
        <v>12029.52</v>
      </c>
      <c r="D759" s="110">
        <f>GETPIVOTDATA("Montant",[10]Feuil1!$A$1,"Agence","Air Liquide","Catégorie","Petit Format Couleur")</f>
        <v>3305.19</v>
      </c>
      <c r="E759" s="110">
        <f>GETPIVOTDATA("Montant",[10]Feuil1!$A$1,"Agence","Air Liquide","Catégorie","Petit Format N&amp;B")</f>
        <v>0.69</v>
      </c>
      <c r="F759" s="110">
        <f>GETPIVOTDATA("Montant",[10]Feuil1!$A$1,"Agence","Air Liquide","Catégorie","Grand Format Couleur")</f>
        <v>1077.96</v>
      </c>
      <c r="G759" s="110">
        <f>GETPIVOTDATA("Montant",[10]Feuil1!$A$1,"Agence","Air Liquide","Catégorie","Grand Format n&amp;b")</f>
        <v>0.38</v>
      </c>
      <c r="H759" s="110">
        <f>GETPIVOTDATA("Montant",[10]Feuil1!$A$1,"Agence","Air Liquide","Catégorie","imagerie")</f>
        <v>0</v>
      </c>
      <c r="I759" s="110">
        <f>GETPIVOTDATA("Montant",[10]Feuil1!$A$1,"Agence","Air Liquide","Catégorie","Numérisation")</f>
        <v>5.64</v>
      </c>
      <c r="J759" s="110">
        <f>GETPIVOTDATA("Montant",[10]Feuil1!$A$1,"Agence","Air Liquide","Catégorie","Sous Traitance")</f>
        <v>0</v>
      </c>
      <c r="K759" s="110">
        <f>GETPIVOTDATA("Montant",[10]Feuil1!$A$1,"Agence","Air Liquide","Catégorie","finition")</f>
        <v>7639.66</v>
      </c>
      <c r="L759" s="110">
        <f>GETPIVOTDATA("Montant",[10]Feuil1!$A$1,"Agence","Air Liquide","Catégorie","Livraison")</f>
        <v>0</v>
      </c>
      <c r="M759" s="110">
        <f>GETPIVOTDATA("Montant",[10]Feuil1!$A$1,"Agence","Air Liquide","Catégorie","divers")</f>
        <v>0</v>
      </c>
      <c r="N759" s="110">
        <f>GETPIVOTDATA("Montant",[10]Feuil1!$A$1,"Agence","Air Liquide","Catégorie","Cross Media")</f>
        <v>0</v>
      </c>
      <c r="O759" s="110">
        <f>GETPIVOTDATA("Montant",[10]Feuil1!$A$1,"Agence","Air Liquide","Catégorie","affranchissement")</f>
        <v>0</v>
      </c>
      <c r="P759" s="122">
        <f>GETPIVOTDATA("Montant",[10]Feuil1!$A$1,"Agence","Air Liquide","Catégorie","STUDIO GRAPHIQUE")</f>
        <v>0</v>
      </c>
    </row>
    <row r="760" spans="1:16" x14ac:dyDescent="0.3">
      <c r="A760" s="146"/>
      <c r="B760" s="94">
        <v>44743</v>
      </c>
      <c r="C760" s="105"/>
      <c r="D760" s="110"/>
      <c r="E760" s="110"/>
      <c r="F760" s="110"/>
      <c r="G760" s="110"/>
      <c r="H760" s="110"/>
      <c r="I760" s="110"/>
      <c r="J760" s="110"/>
      <c r="K760" s="110"/>
      <c r="L760" s="110"/>
      <c r="M760" s="110"/>
      <c r="N760" s="110"/>
      <c r="O760" s="110"/>
      <c r="P760" s="122"/>
    </row>
    <row r="761" spans="1:16" x14ac:dyDescent="0.3">
      <c r="A761" s="146"/>
      <c r="B761" s="94">
        <v>44774</v>
      </c>
      <c r="C761" s="105"/>
      <c r="D761" s="110"/>
      <c r="E761" s="110"/>
      <c r="F761" s="110"/>
      <c r="G761" s="110"/>
      <c r="H761" s="110"/>
      <c r="I761" s="110"/>
      <c r="J761" s="110"/>
      <c r="K761" s="110"/>
      <c r="L761" s="110"/>
      <c r="M761" s="110"/>
      <c r="N761" s="110"/>
      <c r="O761" s="110"/>
      <c r="P761" s="122"/>
    </row>
    <row r="762" spans="1:16" x14ac:dyDescent="0.3">
      <c r="A762" s="146"/>
      <c r="B762" s="94">
        <v>44805</v>
      </c>
      <c r="C762" s="105"/>
      <c r="D762" s="110"/>
      <c r="E762" s="110"/>
      <c r="F762" s="110"/>
      <c r="G762" s="110"/>
      <c r="H762" s="110"/>
      <c r="I762" s="110"/>
      <c r="J762" s="110"/>
      <c r="K762" s="110"/>
      <c r="L762" s="110"/>
      <c r="M762" s="110"/>
      <c r="N762" s="110"/>
      <c r="O762" s="110"/>
      <c r="P762" s="122"/>
    </row>
    <row r="763" spans="1:16" x14ac:dyDescent="0.3">
      <c r="A763" s="146"/>
      <c r="B763" s="94">
        <v>44835</v>
      </c>
      <c r="C763" s="105"/>
      <c r="D763" s="110"/>
      <c r="E763" s="110"/>
      <c r="F763" s="110"/>
      <c r="G763" s="110"/>
      <c r="H763" s="110"/>
      <c r="I763" s="110"/>
      <c r="J763" s="110"/>
      <c r="K763" s="110"/>
      <c r="L763" s="110"/>
      <c r="M763" s="110"/>
      <c r="N763" s="110"/>
      <c r="O763" s="110"/>
      <c r="P763" s="122"/>
    </row>
    <row r="764" spans="1:16" x14ac:dyDescent="0.3">
      <c r="A764" s="146"/>
      <c r="B764" s="94">
        <v>44866</v>
      </c>
      <c r="C764" s="105"/>
      <c r="D764" s="110"/>
      <c r="E764" s="110"/>
      <c r="F764" s="110"/>
      <c r="G764" s="110"/>
      <c r="H764" s="110"/>
      <c r="I764" s="110"/>
      <c r="J764" s="110"/>
      <c r="K764" s="110"/>
      <c r="L764" s="110"/>
      <c r="M764" s="110"/>
      <c r="N764" s="110"/>
      <c r="O764" s="110"/>
      <c r="P764" s="122"/>
    </row>
    <row r="765" spans="1:16" x14ac:dyDescent="0.3">
      <c r="A765" s="146"/>
      <c r="B765" s="94">
        <v>44896</v>
      </c>
      <c r="C765" s="105"/>
      <c r="D765" s="110"/>
      <c r="E765" s="110"/>
      <c r="F765" s="110"/>
      <c r="G765" s="110"/>
      <c r="H765" s="110"/>
      <c r="I765" s="110"/>
      <c r="J765" s="110"/>
      <c r="K765" s="110"/>
      <c r="L765" s="110"/>
      <c r="M765" s="110"/>
      <c r="N765" s="110"/>
      <c r="O765" s="110"/>
      <c r="P765" s="122"/>
    </row>
    <row r="766" spans="1:16" ht="15" thickBot="1" x14ac:dyDescent="0.35">
      <c r="A766" s="146"/>
      <c r="B766" s="94"/>
      <c r="C766" s="105"/>
      <c r="D766" s="110"/>
      <c r="E766" s="110"/>
      <c r="F766" s="110"/>
      <c r="G766" s="110"/>
      <c r="H766" s="110"/>
      <c r="I766" s="110"/>
      <c r="J766" s="110"/>
      <c r="K766" s="110"/>
      <c r="L766" s="110"/>
      <c r="M766" s="110"/>
      <c r="N766" s="110"/>
      <c r="O766" s="110"/>
      <c r="P766" s="122"/>
    </row>
    <row r="767" spans="1:16" s="124" customFormat="1" ht="14.7" customHeight="1" x14ac:dyDescent="0.3">
      <c r="A767" s="146" t="s">
        <v>22</v>
      </c>
      <c r="B767" s="96">
        <v>41640</v>
      </c>
      <c r="C767" s="95">
        <f t="shared" si="19"/>
        <v>65123.070000000007</v>
      </c>
      <c r="D767" s="95">
        <f t="shared" ref="D767:N767" si="22">D658+D548</f>
        <v>24601.590000000004</v>
      </c>
      <c r="E767" s="95">
        <f t="shared" si="22"/>
        <v>14028.780000000006</v>
      </c>
      <c r="F767" s="95">
        <f t="shared" si="22"/>
        <v>4.51</v>
      </c>
      <c r="G767" s="95">
        <f t="shared" si="22"/>
        <v>4.5199999999999996</v>
      </c>
      <c r="H767" s="95">
        <f t="shared" si="22"/>
        <v>239.68</v>
      </c>
      <c r="I767" s="95">
        <f t="shared" si="22"/>
        <v>216.60999999999996</v>
      </c>
      <c r="J767" s="95">
        <f t="shared" si="22"/>
        <v>0</v>
      </c>
      <c r="K767" s="95">
        <f t="shared" si="22"/>
        <v>25967.38</v>
      </c>
      <c r="L767" s="95">
        <f t="shared" si="22"/>
        <v>0</v>
      </c>
      <c r="M767" s="95">
        <f t="shared" si="22"/>
        <v>60</v>
      </c>
      <c r="N767" s="95">
        <f t="shared" si="22"/>
        <v>0</v>
      </c>
      <c r="O767" s="95"/>
      <c r="P767" s="116"/>
    </row>
    <row r="768" spans="1:16" x14ac:dyDescent="0.3">
      <c r="A768" s="146"/>
      <c r="B768" s="94">
        <v>41671</v>
      </c>
      <c r="C768" s="92">
        <f t="shared" si="19"/>
        <v>52244.959999999992</v>
      </c>
      <c r="D768" s="92">
        <f t="shared" ref="D768:N768" si="23">D659+D549</f>
        <v>15798.639999999998</v>
      </c>
      <c r="E768" s="92">
        <f t="shared" si="23"/>
        <v>9060.2599999999984</v>
      </c>
      <c r="F768" s="92">
        <f t="shared" si="23"/>
        <v>1.56</v>
      </c>
      <c r="G768" s="92">
        <f t="shared" si="23"/>
        <v>324.24</v>
      </c>
      <c r="H768" s="92">
        <f t="shared" si="23"/>
        <v>159.4</v>
      </c>
      <c r="I768" s="92">
        <f t="shared" si="23"/>
        <v>344.44</v>
      </c>
      <c r="J768" s="92">
        <f t="shared" si="23"/>
        <v>0</v>
      </c>
      <c r="K768" s="92">
        <f t="shared" si="23"/>
        <v>26553.42</v>
      </c>
      <c r="L768" s="92">
        <f t="shared" si="23"/>
        <v>0</v>
      </c>
      <c r="M768" s="92">
        <f t="shared" si="23"/>
        <v>3</v>
      </c>
      <c r="N768" s="92">
        <f t="shared" si="23"/>
        <v>0</v>
      </c>
    </row>
    <row r="769" spans="1:14" x14ac:dyDescent="0.3">
      <c r="A769" s="146"/>
      <c r="B769" s="94">
        <v>41699</v>
      </c>
      <c r="C769" s="92">
        <f t="shared" si="19"/>
        <v>43805.149999999994</v>
      </c>
      <c r="D769" s="92">
        <f t="shared" ref="D769:N769" si="24">D660+D550</f>
        <v>20903.32</v>
      </c>
      <c r="E769" s="92">
        <f t="shared" si="24"/>
        <v>8108.010000000002</v>
      </c>
      <c r="F769" s="92">
        <f t="shared" si="24"/>
        <v>42.66</v>
      </c>
      <c r="G769" s="92">
        <f t="shared" si="24"/>
        <v>162.94</v>
      </c>
      <c r="H769" s="92">
        <f t="shared" si="24"/>
        <v>33.400000000000006</v>
      </c>
      <c r="I769" s="92">
        <f t="shared" si="24"/>
        <v>1069.3500000000001</v>
      </c>
      <c r="J769" s="92">
        <f t="shared" si="24"/>
        <v>0</v>
      </c>
      <c r="K769" s="92">
        <f t="shared" si="24"/>
        <v>13460.469999999998</v>
      </c>
      <c r="L769" s="92">
        <f t="shared" si="24"/>
        <v>15</v>
      </c>
      <c r="M769" s="92">
        <f t="shared" si="24"/>
        <v>10</v>
      </c>
      <c r="N769" s="92">
        <f t="shared" si="24"/>
        <v>0</v>
      </c>
    </row>
    <row r="770" spans="1:14" x14ac:dyDescent="0.3">
      <c r="A770" s="146"/>
      <c r="B770" s="94">
        <v>41730</v>
      </c>
      <c r="C770" s="92">
        <f t="shared" si="19"/>
        <v>33555.339999999997</v>
      </c>
      <c r="D770" s="92">
        <f t="shared" ref="D770:N770" si="25">D661+D551</f>
        <v>16242.170000000002</v>
      </c>
      <c r="E770" s="92">
        <f t="shared" si="25"/>
        <v>2896</v>
      </c>
      <c r="F770" s="92">
        <f t="shared" si="25"/>
        <v>0</v>
      </c>
      <c r="G770" s="92">
        <f t="shared" si="25"/>
        <v>518.91999999999996</v>
      </c>
      <c r="H770" s="92">
        <f t="shared" si="25"/>
        <v>0</v>
      </c>
      <c r="I770" s="92">
        <f t="shared" si="25"/>
        <v>432.52</v>
      </c>
      <c r="J770" s="92">
        <f t="shared" si="25"/>
        <v>0</v>
      </c>
      <c r="K770" s="92">
        <f t="shared" si="25"/>
        <v>13505.640000000003</v>
      </c>
      <c r="L770" s="92">
        <f t="shared" si="25"/>
        <v>0</v>
      </c>
      <c r="M770" s="92">
        <f t="shared" si="25"/>
        <v>-39.909999999999997</v>
      </c>
      <c r="N770" s="92">
        <f t="shared" si="25"/>
        <v>0</v>
      </c>
    </row>
    <row r="771" spans="1:14" x14ac:dyDescent="0.3">
      <c r="A771" s="146"/>
      <c r="B771" s="94">
        <v>41760</v>
      </c>
      <c r="C771" s="92">
        <f t="shared" si="19"/>
        <v>35981.12999999999</v>
      </c>
      <c r="D771" s="92">
        <f t="shared" ref="D771:N771" si="26">D662+D552</f>
        <v>13405.679999999998</v>
      </c>
      <c r="E771" s="92">
        <f t="shared" si="26"/>
        <v>4502.5200000000004</v>
      </c>
      <c r="F771" s="92">
        <f t="shared" si="26"/>
        <v>0</v>
      </c>
      <c r="G771" s="92">
        <f t="shared" si="26"/>
        <v>859.7700000000001</v>
      </c>
      <c r="H771" s="92">
        <f t="shared" si="26"/>
        <v>395</v>
      </c>
      <c r="I771" s="92">
        <f t="shared" si="26"/>
        <v>1191.7999999999997</v>
      </c>
      <c r="J771" s="92">
        <f t="shared" si="26"/>
        <v>0</v>
      </c>
      <c r="K771" s="92">
        <f t="shared" si="26"/>
        <v>15649.189999999999</v>
      </c>
      <c r="L771" s="92">
        <f t="shared" si="26"/>
        <v>0</v>
      </c>
      <c r="M771" s="92">
        <f t="shared" si="26"/>
        <v>-22.83</v>
      </c>
      <c r="N771" s="92">
        <f t="shared" si="26"/>
        <v>0</v>
      </c>
    </row>
    <row r="772" spans="1:14" x14ac:dyDescent="0.3">
      <c r="A772" s="146"/>
      <c r="B772" s="94">
        <v>41791</v>
      </c>
      <c r="C772" s="92">
        <f t="shared" si="19"/>
        <v>41205.869999999995</v>
      </c>
      <c r="D772" s="92">
        <f t="shared" ref="D772:N772" si="27">D663+D553</f>
        <v>14912.01</v>
      </c>
      <c r="E772" s="92">
        <f t="shared" si="27"/>
        <v>5434.1200000000008</v>
      </c>
      <c r="F772" s="92">
        <f t="shared" si="27"/>
        <v>400.63000000000005</v>
      </c>
      <c r="G772" s="92">
        <f t="shared" si="27"/>
        <v>72.960000000000008</v>
      </c>
      <c r="H772" s="92">
        <f t="shared" si="27"/>
        <v>230.86</v>
      </c>
      <c r="I772" s="92">
        <f t="shared" si="27"/>
        <v>1656.59</v>
      </c>
      <c r="J772" s="92">
        <f t="shared" si="27"/>
        <v>0</v>
      </c>
      <c r="K772" s="92">
        <f t="shared" si="27"/>
        <v>18549.319999999996</v>
      </c>
      <c r="L772" s="92">
        <f t="shared" si="27"/>
        <v>0</v>
      </c>
      <c r="M772" s="92">
        <f t="shared" si="27"/>
        <v>-50.620000000000005</v>
      </c>
      <c r="N772" s="92">
        <f t="shared" si="27"/>
        <v>0</v>
      </c>
    </row>
    <row r="773" spans="1:14" x14ac:dyDescent="0.3">
      <c r="A773" s="146"/>
      <c r="B773" s="94">
        <v>41821</v>
      </c>
      <c r="C773" s="92">
        <f t="shared" si="19"/>
        <v>45195.19</v>
      </c>
      <c r="D773" s="92">
        <f t="shared" ref="D773:N773" si="28">D664+D554</f>
        <v>11898.4</v>
      </c>
      <c r="E773" s="92">
        <f t="shared" si="28"/>
        <v>4793.2700000000004</v>
      </c>
      <c r="F773" s="92">
        <f t="shared" si="28"/>
        <v>0</v>
      </c>
      <c r="G773" s="92">
        <f t="shared" si="28"/>
        <v>465.7</v>
      </c>
      <c r="H773" s="92">
        <f t="shared" si="28"/>
        <v>0</v>
      </c>
      <c r="I773" s="92">
        <f t="shared" si="28"/>
        <v>2735.81</v>
      </c>
      <c r="J773" s="92">
        <f t="shared" si="28"/>
        <v>0</v>
      </c>
      <c r="K773" s="92">
        <f t="shared" si="28"/>
        <v>25302.01</v>
      </c>
      <c r="L773" s="92">
        <f t="shared" si="28"/>
        <v>0</v>
      </c>
      <c r="M773" s="92">
        <f t="shared" si="28"/>
        <v>0</v>
      </c>
      <c r="N773" s="92">
        <f t="shared" si="28"/>
        <v>0</v>
      </c>
    </row>
    <row r="774" spans="1:14" x14ac:dyDescent="0.3">
      <c r="A774" s="146"/>
      <c r="B774" s="94">
        <v>41852</v>
      </c>
      <c r="C774" s="92">
        <f t="shared" si="19"/>
        <v>12172.279999999999</v>
      </c>
      <c r="D774" s="92">
        <f t="shared" ref="D774:N774" si="29">D665+D555</f>
        <v>4810.1799999999994</v>
      </c>
      <c r="E774" s="92">
        <f t="shared" si="29"/>
        <v>2594.2599999999998</v>
      </c>
      <c r="F774" s="92">
        <f t="shared" si="29"/>
        <v>0</v>
      </c>
      <c r="G774" s="92">
        <f t="shared" si="29"/>
        <v>97.46</v>
      </c>
      <c r="H774" s="92">
        <f t="shared" si="29"/>
        <v>0</v>
      </c>
      <c r="I774" s="92">
        <f t="shared" si="29"/>
        <v>316.35000000000002</v>
      </c>
      <c r="J774" s="92">
        <f t="shared" si="29"/>
        <v>0</v>
      </c>
      <c r="K774" s="92">
        <f t="shared" si="29"/>
        <v>4354.03</v>
      </c>
      <c r="L774" s="92">
        <f t="shared" si="29"/>
        <v>0</v>
      </c>
      <c r="M774" s="92">
        <f t="shared" si="29"/>
        <v>0</v>
      </c>
      <c r="N774" s="92">
        <f t="shared" si="29"/>
        <v>0</v>
      </c>
    </row>
    <row r="775" spans="1:14" x14ac:dyDescent="0.3">
      <c r="A775" s="146"/>
      <c r="B775" s="94">
        <v>41883</v>
      </c>
      <c r="C775" s="92">
        <f t="shared" si="19"/>
        <v>51829.59</v>
      </c>
      <c r="D775" s="92">
        <f t="shared" ref="D775:N775" si="30">D666+D556</f>
        <v>15547.71</v>
      </c>
      <c r="E775" s="92">
        <f t="shared" si="30"/>
        <v>16850.009999999998</v>
      </c>
      <c r="F775" s="92">
        <f t="shared" si="30"/>
        <v>50.34</v>
      </c>
      <c r="G775" s="92">
        <f t="shared" si="30"/>
        <v>83.889999999999986</v>
      </c>
      <c r="H775" s="92">
        <f t="shared" si="30"/>
        <v>149.4</v>
      </c>
      <c r="I775" s="92">
        <f t="shared" si="30"/>
        <v>1122.76</v>
      </c>
      <c r="J775" s="92">
        <f t="shared" si="30"/>
        <v>0</v>
      </c>
      <c r="K775" s="92">
        <f t="shared" si="30"/>
        <v>17965.48</v>
      </c>
      <c r="L775" s="92">
        <f t="shared" si="30"/>
        <v>0</v>
      </c>
      <c r="M775" s="92">
        <f t="shared" si="30"/>
        <v>60</v>
      </c>
      <c r="N775" s="92">
        <f t="shared" si="30"/>
        <v>0</v>
      </c>
    </row>
    <row r="776" spans="1:14" x14ac:dyDescent="0.3">
      <c r="A776" s="146"/>
      <c r="B776" s="94">
        <v>41913</v>
      </c>
      <c r="C776" s="92">
        <f t="shared" si="19"/>
        <v>50158.45</v>
      </c>
      <c r="D776" s="92">
        <f t="shared" ref="D776:N776" si="31">D667+D557</f>
        <v>17308.36</v>
      </c>
      <c r="E776" s="92">
        <f t="shared" si="31"/>
        <v>12030.86</v>
      </c>
      <c r="F776" s="92">
        <f t="shared" si="31"/>
        <v>0</v>
      </c>
      <c r="G776" s="92">
        <f t="shared" si="31"/>
        <v>382.85</v>
      </c>
      <c r="H776" s="92">
        <f t="shared" si="31"/>
        <v>0</v>
      </c>
      <c r="I776" s="92">
        <f t="shared" si="31"/>
        <v>2273.3200000000002</v>
      </c>
      <c r="J776" s="92">
        <f t="shared" si="31"/>
        <v>0</v>
      </c>
      <c r="K776" s="92">
        <f t="shared" si="31"/>
        <v>18163.059999999998</v>
      </c>
      <c r="L776" s="92">
        <f t="shared" si="31"/>
        <v>0</v>
      </c>
      <c r="M776" s="92">
        <f t="shared" si="31"/>
        <v>0</v>
      </c>
      <c r="N776" s="92">
        <f t="shared" si="31"/>
        <v>0</v>
      </c>
    </row>
    <row r="777" spans="1:14" x14ac:dyDescent="0.3">
      <c r="A777" s="146"/>
      <c r="B777" s="94">
        <v>41944</v>
      </c>
      <c r="C777" s="92">
        <f t="shared" si="19"/>
        <v>41014.85</v>
      </c>
      <c r="D777" s="92">
        <f t="shared" ref="D777:N777" si="32">D668+D558</f>
        <v>20262.259999999995</v>
      </c>
      <c r="E777" s="92">
        <f t="shared" si="32"/>
        <v>8514.8000000000029</v>
      </c>
      <c r="F777" s="92">
        <f t="shared" si="32"/>
        <v>67.88</v>
      </c>
      <c r="G777" s="92">
        <f t="shared" si="32"/>
        <v>88.05</v>
      </c>
      <c r="H777" s="92">
        <f t="shared" si="32"/>
        <v>71.099999999999994</v>
      </c>
      <c r="I777" s="92">
        <f t="shared" si="32"/>
        <v>64.41</v>
      </c>
      <c r="J777" s="92">
        <f t="shared" si="32"/>
        <v>0</v>
      </c>
      <c r="K777" s="92">
        <f t="shared" si="32"/>
        <v>11946.35</v>
      </c>
      <c r="L777" s="92">
        <f t="shared" si="32"/>
        <v>0</v>
      </c>
      <c r="M777" s="92">
        <f t="shared" si="32"/>
        <v>0</v>
      </c>
      <c r="N777" s="92">
        <f t="shared" si="32"/>
        <v>0</v>
      </c>
    </row>
    <row r="778" spans="1:14" x14ac:dyDescent="0.3">
      <c r="A778" s="146"/>
      <c r="B778" s="94">
        <v>41974</v>
      </c>
      <c r="C778" s="92">
        <f t="shared" si="19"/>
        <v>16423.789999999997</v>
      </c>
      <c r="D778" s="92">
        <f t="shared" ref="D778:N778" si="33">D669+D559</f>
        <v>6967.4999999999991</v>
      </c>
      <c r="E778" s="92">
        <f t="shared" si="33"/>
        <v>1817.33</v>
      </c>
      <c r="F778" s="92">
        <f t="shared" si="33"/>
        <v>0</v>
      </c>
      <c r="G778" s="92">
        <f t="shared" si="33"/>
        <v>88.03</v>
      </c>
      <c r="H778" s="92">
        <f t="shared" si="33"/>
        <v>0</v>
      </c>
      <c r="I778" s="92">
        <f t="shared" si="33"/>
        <v>491.49</v>
      </c>
      <c r="J778" s="92">
        <f t="shared" si="33"/>
        <v>0</v>
      </c>
      <c r="K778" s="92">
        <f t="shared" si="33"/>
        <v>7059.44</v>
      </c>
      <c r="L778" s="92">
        <f t="shared" si="33"/>
        <v>0</v>
      </c>
      <c r="M778" s="92">
        <f t="shared" si="33"/>
        <v>0</v>
      </c>
      <c r="N778" s="92">
        <f t="shared" si="33"/>
        <v>0</v>
      </c>
    </row>
    <row r="779" spans="1:14" x14ac:dyDescent="0.3">
      <c r="A779" s="146"/>
      <c r="B779" s="94">
        <v>42005</v>
      </c>
      <c r="C779" s="92">
        <f t="shared" si="19"/>
        <v>55070.240000000005</v>
      </c>
      <c r="D779" s="92">
        <f t="shared" ref="D779:N779" si="34">D670+D560</f>
        <v>23392.280000000002</v>
      </c>
      <c r="E779" s="92">
        <f t="shared" si="34"/>
        <v>15372.600000000002</v>
      </c>
      <c r="F779" s="92">
        <f t="shared" si="34"/>
        <v>270</v>
      </c>
      <c r="G779" s="92">
        <f t="shared" si="34"/>
        <v>372.94000000000005</v>
      </c>
      <c r="H779" s="92">
        <f t="shared" si="34"/>
        <v>135.34</v>
      </c>
      <c r="I779" s="92">
        <f t="shared" si="34"/>
        <v>109.66</v>
      </c>
      <c r="J779" s="92">
        <f t="shared" si="34"/>
        <v>0</v>
      </c>
      <c r="K779" s="92">
        <f t="shared" si="34"/>
        <v>15392.419999999998</v>
      </c>
      <c r="L779" s="92">
        <f t="shared" si="34"/>
        <v>25</v>
      </c>
      <c r="M779" s="92">
        <f t="shared" si="34"/>
        <v>0</v>
      </c>
      <c r="N779" s="92">
        <f t="shared" si="34"/>
        <v>0</v>
      </c>
    </row>
    <row r="780" spans="1:14" x14ac:dyDescent="0.3">
      <c r="A780" s="146"/>
      <c r="B780" s="94">
        <v>42036</v>
      </c>
      <c r="C780" s="92">
        <f t="shared" si="19"/>
        <v>37581.140000000007</v>
      </c>
      <c r="D780" s="92">
        <f t="shared" ref="D780:N780" si="35">D671+D561</f>
        <v>16271.640000000001</v>
      </c>
      <c r="E780" s="92">
        <f t="shared" si="35"/>
        <v>6108.6500000000005</v>
      </c>
      <c r="F780" s="92">
        <f t="shared" si="35"/>
        <v>0</v>
      </c>
      <c r="G780" s="92">
        <f t="shared" si="35"/>
        <v>671.71999999999991</v>
      </c>
      <c r="H780" s="92">
        <f t="shared" si="35"/>
        <v>272.72000000000003</v>
      </c>
      <c r="I780" s="92">
        <f t="shared" si="35"/>
        <v>1761.29</v>
      </c>
      <c r="J780" s="92">
        <f t="shared" si="35"/>
        <v>0</v>
      </c>
      <c r="K780" s="92">
        <f t="shared" si="35"/>
        <v>12486.12</v>
      </c>
      <c r="L780" s="92">
        <f t="shared" si="35"/>
        <v>0</v>
      </c>
      <c r="M780" s="92">
        <f t="shared" si="35"/>
        <v>9</v>
      </c>
      <c r="N780" s="92">
        <f t="shared" si="35"/>
        <v>0</v>
      </c>
    </row>
    <row r="781" spans="1:14" x14ac:dyDescent="0.3">
      <c r="A781" s="146"/>
      <c r="B781" s="94">
        <v>42064</v>
      </c>
      <c r="C781" s="92">
        <f t="shared" si="19"/>
        <v>51793.639999999992</v>
      </c>
      <c r="D781" s="92">
        <f t="shared" ref="D781:N781" si="36">D672+D562</f>
        <v>25309.399999999998</v>
      </c>
      <c r="E781" s="92">
        <f t="shared" si="36"/>
        <v>8868.94</v>
      </c>
      <c r="F781" s="92">
        <f t="shared" si="36"/>
        <v>176.31</v>
      </c>
      <c r="G781" s="92">
        <f t="shared" si="36"/>
        <v>168.99</v>
      </c>
      <c r="H781" s="92">
        <f t="shared" si="36"/>
        <v>1669.95</v>
      </c>
      <c r="I781" s="92">
        <f t="shared" si="36"/>
        <v>2331.2999999999997</v>
      </c>
      <c r="J781" s="92">
        <f t="shared" si="36"/>
        <v>0</v>
      </c>
      <c r="K781" s="92">
        <f t="shared" si="36"/>
        <v>13268.75</v>
      </c>
      <c r="L781" s="92">
        <f t="shared" si="36"/>
        <v>0</v>
      </c>
      <c r="M781" s="92">
        <f t="shared" si="36"/>
        <v>0</v>
      </c>
      <c r="N781" s="92">
        <f t="shared" si="36"/>
        <v>0</v>
      </c>
    </row>
    <row r="782" spans="1:14" x14ac:dyDescent="0.3">
      <c r="A782" s="146"/>
      <c r="B782" s="94">
        <v>42095</v>
      </c>
      <c r="C782" s="92">
        <f t="shared" si="19"/>
        <v>58875.48</v>
      </c>
      <c r="D782" s="92">
        <f t="shared" ref="D782:N782" si="37">D673+D563</f>
        <v>17985.63</v>
      </c>
      <c r="E782" s="92">
        <f t="shared" si="37"/>
        <v>9410.61</v>
      </c>
      <c r="F782" s="92">
        <f t="shared" si="37"/>
        <v>0</v>
      </c>
      <c r="G782" s="92">
        <f t="shared" si="37"/>
        <v>539.93000000000006</v>
      </c>
      <c r="H782" s="92">
        <f t="shared" si="37"/>
        <v>0</v>
      </c>
      <c r="I782" s="92">
        <f t="shared" si="37"/>
        <v>2540.9699999999998</v>
      </c>
      <c r="J782" s="92">
        <f t="shared" si="37"/>
        <v>0</v>
      </c>
      <c r="K782" s="92">
        <f t="shared" si="37"/>
        <v>28398.34</v>
      </c>
      <c r="L782" s="92">
        <f t="shared" si="37"/>
        <v>0</v>
      </c>
      <c r="M782" s="92">
        <f t="shared" si="37"/>
        <v>0</v>
      </c>
      <c r="N782" s="92">
        <f t="shared" si="37"/>
        <v>0</v>
      </c>
    </row>
    <row r="783" spans="1:14" x14ac:dyDescent="0.3">
      <c r="A783" s="146"/>
      <c r="B783" s="94">
        <v>42125</v>
      </c>
      <c r="C783" s="92">
        <f t="shared" si="19"/>
        <v>33435.279999999999</v>
      </c>
      <c r="D783" s="92">
        <f t="shared" ref="D783:N783" si="38">D674+D564</f>
        <v>11218.65</v>
      </c>
      <c r="E783" s="92">
        <f t="shared" si="38"/>
        <v>3823.24</v>
      </c>
      <c r="F783" s="92">
        <f t="shared" si="38"/>
        <v>38.68</v>
      </c>
      <c r="G783" s="92">
        <f t="shared" si="38"/>
        <v>108.75</v>
      </c>
      <c r="H783" s="92">
        <f t="shared" si="38"/>
        <v>226.66</v>
      </c>
      <c r="I783" s="92">
        <f t="shared" si="38"/>
        <v>516.14</v>
      </c>
      <c r="J783" s="92">
        <f t="shared" si="38"/>
        <v>0</v>
      </c>
      <c r="K783" s="92">
        <f t="shared" si="38"/>
        <v>17503.16</v>
      </c>
      <c r="L783" s="92">
        <f t="shared" si="38"/>
        <v>0</v>
      </c>
      <c r="M783" s="92">
        <f t="shared" si="38"/>
        <v>0</v>
      </c>
      <c r="N783" s="92">
        <f t="shared" si="38"/>
        <v>0</v>
      </c>
    </row>
    <row r="784" spans="1:14" x14ac:dyDescent="0.3">
      <c r="A784" s="146"/>
      <c r="B784" s="94">
        <v>42156</v>
      </c>
      <c r="C784" s="92">
        <f t="shared" si="19"/>
        <v>31931.739999999998</v>
      </c>
      <c r="D784" s="92">
        <f t="shared" ref="D784:N784" si="39">D675+D565</f>
        <v>15382.509999999998</v>
      </c>
      <c r="E784" s="92">
        <f t="shared" si="39"/>
        <v>3610.4100000000008</v>
      </c>
      <c r="F784" s="92">
        <f t="shared" si="39"/>
        <v>63.140000000000008</v>
      </c>
      <c r="G784" s="92">
        <f t="shared" si="39"/>
        <v>241.88</v>
      </c>
      <c r="H784" s="92">
        <f t="shared" si="39"/>
        <v>193.95999999999998</v>
      </c>
      <c r="I784" s="92">
        <f t="shared" si="39"/>
        <v>157.19999999999999</v>
      </c>
      <c r="J784" s="92">
        <f t="shared" si="39"/>
        <v>0</v>
      </c>
      <c r="K784" s="92">
        <f t="shared" si="39"/>
        <v>12282.64</v>
      </c>
      <c r="L784" s="92">
        <f t="shared" si="39"/>
        <v>0</v>
      </c>
      <c r="M784" s="92">
        <f t="shared" si="39"/>
        <v>0</v>
      </c>
      <c r="N784" s="92">
        <f t="shared" si="39"/>
        <v>0</v>
      </c>
    </row>
    <row r="785" spans="1:15" x14ac:dyDescent="0.3">
      <c r="A785" s="146"/>
      <c r="B785" s="94">
        <v>42186</v>
      </c>
      <c r="C785" s="92">
        <f t="shared" si="19"/>
        <v>9457.9599999999991</v>
      </c>
      <c r="D785" s="92">
        <f t="shared" ref="D785:N785" si="40">D676+D566</f>
        <v>7103.6399999999994</v>
      </c>
      <c r="E785" s="92">
        <f t="shared" si="40"/>
        <v>0</v>
      </c>
      <c r="F785" s="92">
        <f t="shared" si="40"/>
        <v>0</v>
      </c>
      <c r="G785" s="92">
        <f t="shared" si="40"/>
        <v>1.54</v>
      </c>
      <c r="H785" s="92">
        <f t="shared" si="40"/>
        <v>0</v>
      </c>
      <c r="I785" s="92">
        <f t="shared" si="40"/>
        <v>6.9</v>
      </c>
      <c r="J785" s="92">
        <f t="shared" si="40"/>
        <v>0</v>
      </c>
      <c r="K785" s="92">
        <f t="shared" si="40"/>
        <v>2345.88</v>
      </c>
      <c r="L785" s="92">
        <f t="shared" si="40"/>
        <v>0</v>
      </c>
      <c r="M785" s="92">
        <f t="shared" si="40"/>
        <v>0</v>
      </c>
      <c r="N785" s="92">
        <f t="shared" si="40"/>
        <v>0</v>
      </c>
    </row>
    <row r="786" spans="1:15" x14ac:dyDescent="0.3">
      <c r="A786" s="146"/>
      <c r="B786" s="94">
        <v>42217</v>
      </c>
      <c r="C786" s="92">
        <f t="shared" si="19"/>
        <v>18280.029999999995</v>
      </c>
      <c r="D786" s="92">
        <f t="shared" ref="D786:N786" si="41">D677+D567</f>
        <v>8330.7099999999973</v>
      </c>
      <c r="E786" s="92">
        <f t="shared" si="41"/>
        <v>3882.0300000000007</v>
      </c>
      <c r="F786" s="92">
        <f t="shared" si="41"/>
        <v>0</v>
      </c>
      <c r="G786" s="92">
        <f t="shared" si="41"/>
        <v>59.589999999999996</v>
      </c>
      <c r="H786" s="92">
        <f t="shared" si="41"/>
        <v>20</v>
      </c>
      <c r="I786" s="92">
        <f t="shared" si="41"/>
        <v>154.14000000000001</v>
      </c>
      <c r="J786" s="92">
        <f t="shared" si="41"/>
        <v>0</v>
      </c>
      <c r="K786" s="92">
        <f t="shared" si="41"/>
        <v>5833.5599999999986</v>
      </c>
      <c r="L786" s="92">
        <f t="shared" si="41"/>
        <v>0</v>
      </c>
      <c r="M786" s="92">
        <f t="shared" si="41"/>
        <v>0</v>
      </c>
      <c r="N786" s="92">
        <f t="shared" si="41"/>
        <v>0</v>
      </c>
    </row>
    <row r="787" spans="1:15" x14ac:dyDescent="0.3">
      <c r="A787" s="146"/>
      <c r="B787" s="94">
        <v>42248</v>
      </c>
      <c r="C787" s="92">
        <f t="shared" si="19"/>
        <v>57986.37</v>
      </c>
      <c r="D787" s="92">
        <f t="shared" ref="D787:N787" si="42">D678+D568</f>
        <v>21985.34</v>
      </c>
      <c r="E787" s="92">
        <f t="shared" si="42"/>
        <v>17835.75</v>
      </c>
      <c r="F787" s="92">
        <f t="shared" si="42"/>
        <v>155</v>
      </c>
      <c r="G787" s="92">
        <f t="shared" si="42"/>
        <v>254.12</v>
      </c>
      <c r="H787" s="92">
        <f t="shared" si="42"/>
        <v>230.01999999999998</v>
      </c>
      <c r="I787" s="92">
        <f t="shared" si="42"/>
        <v>1341.6100000000001</v>
      </c>
      <c r="J787" s="92">
        <f t="shared" si="42"/>
        <v>0</v>
      </c>
      <c r="K787" s="92">
        <f t="shared" si="42"/>
        <v>16132.87</v>
      </c>
      <c r="L787" s="92">
        <f t="shared" si="42"/>
        <v>51.66</v>
      </c>
      <c r="M787" s="92">
        <f t="shared" si="42"/>
        <v>0</v>
      </c>
      <c r="N787" s="92">
        <f t="shared" si="42"/>
        <v>0</v>
      </c>
    </row>
    <row r="788" spans="1:15" x14ac:dyDescent="0.3">
      <c r="A788" s="146"/>
      <c r="B788" s="94">
        <v>42278</v>
      </c>
      <c r="C788" s="92">
        <f t="shared" si="19"/>
        <v>22724.030000000002</v>
      </c>
      <c r="D788" s="92">
        <f t="shared" ref="D788:N788" si="43">D679+D569</f>
        <v>10407.18</v>
      </c>
      <c r="E788" s="92">
        <f t="shared" si="43"/>
        <v>5347.59</v>
      </c>
      <c r="F788" s="92">
        <f t="shared" si="43"/>
        <v>91.61999999999999</v>
      </c>
      <c r="G788" s="92">
        <f t="shared" si="43"/>
        <v>23.66</v>
      </c>
      <c r="H788" s="92">
        <f t="shared" si="43"/>
        <v>102</v>
      </c>
      <c r="I788" s="92">
        <f t="shared" si="43"/>
        <v>84.72</v>
      </c>
      <c r="J788" s="92">
        <f t="shared" si="43"/>
        <v>0</v>
      </c>
      <c r="K788" s="92">
        <f t="shared" si="43"/>
        <v>6718.92</v>
      </c>
      <c r="L788" s="92">
        <f t="shared" si="43"/>
        <v>-51.66</v>
      </c>
      <c r="M788" s="92">
        <f t="shared" si="43"/>
        <v>0</v>
      </c>
      <c r="N788" s="92">
        <f t="shared" si="43"/>
        <v>0</v>
      </c>
    </row>
    <row r="789" spans="1:15" x14ac:dyDescent="0.3">
      <c r="A789" s="146"/>
      <c r="B789" s="94">
        <v>42309</v>
      </c>
      <c r="C789" s="92">
        <f t="shared" si="19"/>
        <v>35445.949999999997</v>
      </c>
      <c r="D789" s="92">
        <f t="shared" ref="D789:N789" si="44">D680+D570</f>
        <v>18696.27</v>
      </c>
      <c r="E789" s="92">
        <f t="shared" si="44"/>
        <v>5689.3999999999987</v>
      </c>
      <c r="F789" s="92">
        <f t="shared" si="44"/>
        <v>32.200000000000003</v>
      </c>
      <c r="G789" s="92">
        <f t="shared" si="44"/>
        <v>15.77</v>
      </c>
      <c r="H789" s="92">
        <f t="shared" si="44"/>
        <v>552.59</v>
      </c>
      <c r="I789" s="92">
        <f t="shared" si="44"/>
        <v>68.03</v>
      </c>
      <c r="J789" s="92">
        <f t="shared" si="44"/>
        <v>0</v>
      </c>
      <c r="K789" s="92">
        <f t="shared" si="44"/>
        <v>10391.689999999999</v>
      </c>
      <c r="L789" s="92">
        <f t="shared" si="44"/>
        <v>0</v>
      </c>
      <c r="M789" s="92">
        <f t="shared" si="44"/>
        <v>0</v>
      </c>
      <c r="N789" s="92">
        <f t="shared" si="44"/>
        <v>0</v>
      </c>
    </row>
    <row r="790" spans="1:15" x14ac:dyDescent="0.3">
      <c r="A790" s="146"/>
      <c r="B790" s="94">
        <v>42339</v>
      </c>
      <c r="C790" s="92">
        <f t="shared" si="19"/>
        <v>15706.490000000002</v>
      </c>
      <c r="D790" s="92">
        <f t="shared" ref="D790:N790" si="45">D681+D571</f>
        <v>7359.7000000000007</v>
      </c>
      <c r="E790" s="92">
        <f t="shared" si="45"/>
        <v>813.18</v>
      </c>
      <c r="F790" s="92">
        <f t="shared" si="45"/>
        <v>0</v>
      </c>
      <c r="G790" s="92">
        <f t="shared" si="45"/>
        <v>33.39</v>
      </c>
      <c r="H790" s="92">
        <f t="shared" si="45"/>
        <v>161.5</v>
      </c>
      <c r="I790" s="92">
        <f t="shared" si="45"/>
        <v>293.27999999999997</v>
      </c>
      <c r="J790" s="92">
        <f t="shared" si="45"/>
        <v>0</v>
      </c>
      <c r="K790" s="92">
        <f t="shared" si="45"/>
        <v>7045.4400000000005</v>
      </c>
      <c r="L790" s="92">
        <f t="shared" si="45"/>
        <v>0</v>
      </c>
      <c r="M790" s="92">
        <f t="shared" si="45"/>
        <v>0</v>
      </c>
      <c r="N790" s="92">
        <f t="shared" si="45"/>
        <v>0</v>
      </c>
    </row>
    <row r="791" spans="1:15" x14ac:dyDescent="0.3">
      <c r="A791" s="146"/>
      <c r="B791" s="94">
        <v>42370</v>
      </c>
      <c r="C791" s="92">
        <f t="shared" si="19"/>
        <v>39248.57</v>
      </c>
      <c r="D791" s="92">
        <f t="shared" ref="D791:N791" si="46">D682+D572</f>
        <v>16110.849999999995</v>
      </c>
      <c r="E791" s="92">
        <f t="shared" si="46"/>
        <v>14133.400000000001</v>
      </c>
      <c r="F791" s="92">
        <f t="shared" si="46"/>
        <v>71</v>
      </c>
      <c r="G791" s="92">
        <f t="shared" si="46"/>
        <v>26.240000000000002</v>
      </c>
      <c r="H791" s="92">
        <f t="shared" si="46"/>
        <v>144.05000000000001</v>
      </c>
      <c r="I791" s="92">
        <f t="shared" si="46"/>
        <v>389.58</v>
      </c>
      <c r="J791" s="92">
        <f t="shared" si="46"/>
        <v>0</v>
      </c>
      <c r="K791" s="92">
        <f t="shared" si="46"/>
        <v>8358.4500000000007</v>
      </c>
      <c r="L791" s="92">
        <f t="shared" si="46"/>
        <v>15</v>
      </c>
      <c r="M791" s="92">
        <f t="shared" si="46"/>
        <v>0</v>
      </c>
      <c r="N791" s="92">
        <f t="shared" si="46"/>
        <v>0</v>
      </c>
    </row>
    <row r="792" spans="1:15" x14ac:dyDescent="0.3">
      <c r="A792" s="146"/>
      <c r="B792" s="94">
        <v>42401</v>
      </c>
      <c r="C792" s="92">
        <f t="shared" si="19"/>
        <v>34041.72</v>
      </c>
      <c r="D792" s="92">
        <f t="shared" ref="D792:N792" si="47">D683+D573</f>
        <v>19284.37</v>
      </c>
      <c r="E792" s="92">
        <f t="shared" si="47"/>
        <v>4533.59</v>
      </c>
      <c r="F792" s="92">
        <f t="shared" si="47"/>
        <v>0</v>
      </c>
      <c r="G792" s="92">
        <f t="shared" si="47"/>
        <v>48.17</v>
      </c>
      <c r="H792" s="92">
        <f t="shared" si="47"/>
        <v>358.17999999999995</v>
      </c>
      <c r="I792" s="92">
        <f t="shared" si="47"/>
        <v>1006.2</v>
      </c>
      <c r="J792" s="92">
        <f t="shared" si="47"/>
        <v>0</v>
      </c>
      <c r="K792" s="92">
        <f t="shared" si="47"/>
        <v>8811.2099999999991</v>
      </c>
      <c r="L792" s="92">
        <f t="shared" si="47"/>
        <v>0</v>
      </c>
      <c r="M792" s="92">
        <f t="shared" si="47"/>
        <v>0</v>
      </c>
      <c r="N792" s="92">
        <f t="shared" si="47"/>
        <v>0</v>
      </c>
    </row>
    <row r="793" spans="1:15" x14ac:dyDescent="0.3">
      <c r="A793" s="146"/>
      <c r="B793" s="94">
        <v>42430</v>
      </c>
      <c r="C793" s="92">
        <f t="shared" si="19"/>
        <v>42388.47</v>
      </c>
      <c r="D793" s="92">
        <f t="shared" ref="D793:N793" si="48">D684+D574</f>
        <v>17748.53</v>
      </c>
      <c r="E793" s="92">
        <f t="shared" si="48"/>
        <v>5793.31</v>
      </c>
      <c r="F793" s="92">
        <f t="shared" si="48"/>
        <v>36.39</v>
      </c>
      <c r="G793" s="92">
        <f t="shared" si="48"/>
        <v>162.19</v>
      </c>
      <c r="H793" s="92">
        <f t="shared" si="48"/>
        <v>776.43999999999994</v>
      </c>
      <c r="I793" s="92">
        <f t="shared" si="48"/>
        <v>138.06</v>
      </c>
      <c r="J793" s="92">
        <f t="shared" si="48"/>
        <v>0</v>
      </c>
      <c r="K793" s="92">
        <f t="shared" si="48"/>
        <v>17708.55</v>
      </c>
      <c r="L793" s="92">
        <f t="shared" si="48"/>
        <v>25</v>
      </c>
      <c r="M793" s="92">
        <f t="shared" si="48"/>
        <v>0</v>
      </c>
      <c r="N793" s="92">
        <f t="shared" si="48"/>
        <v>0</v>
      </c>
    </row>
    <row r="794" spans="1:15" x14ac:dyDescent="0.3">
      <c r="A794" s="146"/>
      <c r="B794" s="94">
        <v>42461</v>
      </c>
      <c r="C794" s="92">
        <f t="shared" si="19"/>
        <v>27103.96</v>
      </c>
      <c r="D794" s="92">
        <f t="shared" ref="D794:N794" si="49">D685+D575</f>
        <v>8860.5599999999977</v>
      </c>
      <c r="E794" s="92">
        <f t="shared" si="49"/>
        <v>3563.9300000000003</v>
      </c>
      <c r="F794" s="92">
        <f t="shared" si="49"/>
        <v>0</v>
      </c>
      <c r="G794" s="92">
        <f t="shared" si="49"/>
        <v>300.25</v>
      </c>
      <c r="H794" s="92">
        <f t="shared" si="49"/>
        <v>10</v>
      </c>
      <c r="I794" s="92">
        <f t="shared" si="49"/>
        <v>136.91</v>
      </c>
      <c r="J794" s="92">
        <f t="shared" si="49"/>
        <v>0</v>
      </c>
      <c r="K794" s="92">
        <f t="shared" si="49"/>
        <v>14232.31</v>
      </c>
      <c r="L794" s="92">
        <f t="shared" si="49"/>
        <v>0</v>
      </c>
      <c r="M794" s="92">
        <f t="shared" si="49"/>
        <v>0</v>
      </c>
      <c r="N794" s="92">
        <f t="shared" si="49"/>
        <v>0</v>
      </c>
    </row>
    <row r="795" spans="1:15" x14ac:dyDescent="0.3">
      <c r="A795" s="146"/>
      <c r="B795" s="94">
        <v>42491</v>
      </c>
      <c r="C795" s="92">
        <f t="shared" si="19"/>
        <v>37886.009999999995</v>
      </c>
      <c r="D795" s="92">
        <f t="shared" ref="D795:N795" si="50">D686+D576</f>
        <v>14583.37</v>
      </c>
      <c r="E795" s="92">
        <f t="shared" si="50"/>
        <v>3435.76</v>
      </c>
      <c r="F795" s="92">
        <f t="shared" si="50"/>
        <v>22.1</v>
      </c>
      <c r="G795" s="92">
        <f t="shared" si="50"/>
        <v>10.16</v>
      </c>
      <c r="H795" s="92">
        <f t="shared" si="50"/>
        <v>0</v>
      </c>
      <c r="I795" s="92">
        <f t="shared" si="50"/>
        <v>3161.3500000000004</v>
      </c>
      <c r="J795" s="92">
        <f t="shared" si="50"/>
        <v>0</v>
      </c>
      <c r="K795" s="92">
        <f t="shared" si="50"/>
        <v>16673.27</v>
      </c>
      <c r="L795" s="92">
        <f t="shared" si="50"/>
        <v>0</v>
      </c>
      <c r="M795" s="92">
        <f t="shared" si="50"/>
        <v>0</v>
      </c>
      <c r="N795" s="92">
        <f t="shared" si="50"/>
        <v>0</v>
      </c>
    </row>
    <row r="796" spans="1:15" x14ac:dyDescent="0.3">
      <c r="A796" s="146"/>
      <c r="B796" s="94">
        <v>42522</v>
      </c>
      <c r="C796" s="92">
        <f t="shared" si="19"/>
        <v>29118.680000000004</v>
      </c>
      <c r="D796" s="92">
        <f t="shared" ref="D796:N796" si="51">D687+D577</f>
        <v>15583.400000000001</v>
      </c>
      <c r="E796" s="92">
        <f t="shared" si="51"/>
        <v>4234.26</v>
      </c>
      <c r="F796" s="92">
        <f t="shared" si="51"/>
        <v>157.24</v>
      </c>
      <c r="G796" s="92">
        <f t="shared" si="51"/>
        <v>0</v>
      </c>
      <c r="H796" s="92">
        <f t="shared" si="51"/>
        <v>484.43</v>
      </c>
      <c r="I796" s="92">
        <f t="shared" si="51"/>
        <v>260.01999999999992</v>
      </c>
      <c r="J796" s="92">
        <f t="shared" si="51"/>
        <v>116.1</v>
      </c>
      <c r="K796" s="92">
        <f t="shared" si="51"/>
        <v>8198.23</v>
      </c>
      <c r="L796" s="92">
        <f t="shared" si="51"/>
        <v>25</v>
      </c>
      <c r="M796" s="92">
        <f t="shared" si="51"/>
        <v>60</v>
      </c>
      <c r="N796" s="92">
        <f t="shared" si="51"/>
        <v>0</v>
      </c>
    </row>
    <row r="797" spans="1:15" x14ac:dyDescent="0.3">
      <c r="A797" s="146"/>
      <c r="B797" s="94">
        <v>42552</v>
      </c>
      <c r="C797" s="92">
        <f t="shared" si="19"/>
        <v>12081.28</v>
      </c>
      <c r="D797" s="92">
        <f t="shared" ref="D797:N797" si="52">D688+D578</f>
        <v>6353.34</v>
      </c>
      <c r="E797" s="92">
        <f t="shared" si="52"/>
        <v>865.45999999999992</v>
      </c>
      <c r="F797" s="92">
        <f t="shared" si="52"/>
        <v>2.76</v>
      </c>
      <c r="G797" s="92">
        <f t="shared" si="52"/>
        <v>600.47</v>
      </c>
      <c r="H797" s="92">
        <f t="shared" si="52"/>
        <v>0</v>
      </c>
      <c r="I797" s="92">
        <f t="shared" si="52"/>
        <v>265.24</v>
      </c>
      <c r="J797" s="92">
        <f t="shared" si="52"/>
        <v>0</v>
      </c>
      <c r="K797" s="92">
        <f t="shared" si="52"/>
        <v>3994.0099999999998</v>
      </c>
      <c r="L797" s="92">
        <f t="shared" si="52"/>
        <v>0</v>
      </c>
      <c r="M797" s="92">
        <f t="shared" si="52"/>
        <v>0</v>
      </c>
      <c r="N797" s="92">
        <f t="shared" si="52"/>
        <v>0</v>
      </c>
    </row>
    <row r="798" spans="1:15" x14ac:dyDescent="0.3">
      <c r="A798" s="146"/>
      <c r="B798" s="94">
        <v>42583</v>
      </c>
      <c r="C798" s="92">
        <f t="shared" si="19"/>
        <v>18880.37</v>
      </c>
      <c r="D798" s="92">
        <f t="shared" ref="D798:N798" si="53">D689+D579</f>
        <v>7085.0899999999992</v>
      </c>
      <c r="E798" s="92">
        <f t="shared" si="53"/>
        <v>4131.87</v>
      </c>
      <c r="F798" s="92">
        <f t="shared" si="53"/>
        <v>9.0299999999999994</v>
      </c>
      <c r="G798" s="92">
        <f t="shared" si="53"/>
        <v>6.02</v>
      </c>
      <c r="H798" s="92">
        <f t="shared" si="53"/>
        <v>0</v>
      </c>
      <c r="I798" s="92">
        <f t="shared" si="53"/>
        <v>632.93000000000006</v>
      </c>
      <c r="J798" s="92">
        <f t="shared" si="53"/>
        <v>0</v>
      </c>
      <c r="K798" s="92">
        <f t="shared" si="53"/>
        <v>6165.4299999999994</v>
      </c>
      <c r="L798" s="92">
        <f t="shared" si="53"/>
        <v>850</v>
      </c>
      <c r="M798" s="92">
        <f t="shared" si="53"/>
        <v>0</v>
      </c>
      <c r="N798" s="92">
        <f t="shared" si="53"/>
        <v>0</v>
      </c>
    </row>
    <row r="799" spans="1:15" x14ac:dyDescent="0.3">
      <c r="A799" s="146"/>
      <c r="B799" s="94">
        <v>42614</v>
      </c>
      <c r="C799" s="92">
        <f t="shared" si="19"/>
        <v>47531.64</v>
      </c>
      <c r="D799" s="92">
        <f t="shared" ref="D799:N799" si="54">D690+D580</f>
        <v>20337.429999999997</v>
      </c>
      <c r="E799" s="92">
        <f t="shared" si="54"/>
        <v>16908.32</v>
      </c>
      <c r="F799" s="92">
        <f t="shared" si="54"/>
        <v>14.969999999999999</v>
      </c>
      <c r="G799" s="92">
        <f t="shared" si="54"/>
        <v>307.95</v>
      </c>
      <c r="H799" s="92">
        <f t="shared" si="54"/>
        <v>174.3</v>
      </c>
      <c r="I799" s="92">
        <f t="shared" si="54"/>
        <v>769.68999999999994</v>
      </c>
      <c r="J799" s="92">
        <f t="shared" si="54"/>
        <v>0</v>
      </c>
      <c r="K799" s="92">
        <f t="shared" si="54"/>
        <v>9034.7799999999988</v>
      </c>
      <c r="L799" s="92">
        <f t="shared" si="54"/>
        <v>27.95</v>
      </c>
      <c r="M799" s="92">
        <f t="shared" si="54"/>
        <v>-43.75</v>
      </c>
      <c r="N799" s="92">
        <f t="shared" si="54"/>
        <v>0</v>
      </c>
      <c r="O799" s="92">
        <f t="shared" ref="O799:O830" si="55">O690+O580</f>
        <v>0</v>
      </c>
    </row>
    <row r="800" spans="1:15" x14ac:dyDescent="0.3">
      <c r="A800" s="146"/>
      <c r="B800" s="94">
        <v>42644</v>
      </c>
      <c r="C800" s="92">
        <f t="shared" si="19"/>
        <v>20228.84</v>
      </c>
      <c r="D800" s="92">
        <f t="shared" ref="D800:N800" si="56">D691+D581</f>
        <v>9219.16</v>
      </c>
      <c r="E800" s="92">
        <f t="shared" si="56"/>
        <v>4040.7200000000007</v>
      </c>
      <c r="F800" s="92">
        <f t="shared" si="56"/>
        <v>0</v>
      </c>
      <c r="G800" s="92">
        <f t="shared" si="56"/>
        <v>35.879999999999995</v>
      </c>
      <c r="H800" s="92">
        <f t="shared" si="56"/>
        <v>277.64999999999998</v>
      </c>
      <c r="I800" s="92">
        <f t="shared" si="56"/>
        <v>38.76</v>
      </c>
      <c r="J800" s="92">
        <f t="shared" si="56"/>
        <v>0</v>
      </c>
      <c r="K800" s="92">
        <f t="shared" si="56"/>
        <v>6616.67</v>
      </c>
      <c r="L800" s="92">
        <f t="shared" si="56"/>
        <v>0</v>
      </c>
      <c r="M800" s="92">
        <f t="shared" si="56"/>
        <v>0</v>
      </c>
      <c r="N800" s="92">
        <f t="shared" si="56"/>
        <v>0</v>
      </c>
      <c r="O800" s="92">
        <f t="shared" si="55"/>
        <v>0</v>
      </c>
    </row>
    <row r="801" spans="1:15" x14ac:dyDescent="0.3">
      <c r="A801" s="146"/>
      <c r="B801" s="94">
        <v>42675</v>
      </c>
      <c r="C801" s="92">
        <f t="shared" si="19"/>
        <v>35424.94</v>
      </c>
      <c r="D801" s="92">
        <f t="shared" ref="D801:N801" si="57">D692+D582</f>
        <v>14041.320000000002</v>
      </c>
      <c r="E801" s="92">
        <f t="shared" si="57"/>
        <v>6940.8</v>
      </c>
      <c r="F801" s="92">
        <f t="shared" si="57"/>
        <v>66.98</v>
      </c>
      <c r="G801" s="92">
        <f t="shared" si="57"/>
        <v>0</v>
      </c>
      <c r="H801" s="92">
        <f t="shared" si="57"/>
        <v>3152.17</v>
      </c>
      <c r="I801" s="92">
        <f t="shared" si="57"/>
        <v>907.98</v>
      </c>
      <c r="J801" s="92">
        <f t="shared" si="57"/>
        <v>0</v>
      </c>
      <c r="K801" s="92">
        <f t="shared" si="57"/>
        <v>8465.69</v>
      </c>
      <c r="L801" s="92">
        <f t="shared" si="57"/>
        <v>0</v>
      </c>
      <c r="M801" s="92">
        <f t="shared" si="57"/>
        <v>0</v>
      </c>
      <c r="N801" s="92">
        <f t="shared" si="57"/>
        <v>1850</v>
      </c>
      <c r="O801" s="92">
        <f t="shared" si="55"/>
        <v>0</v>
      </c>
    </row>
    <row r="802" spans="1:15" x14ac:dyDescent="0.3">
      <c r="A802" s="146"/>
      <c r="B802" s="94">
        <v>42705</v>
      </c>
      <c r="C802" s="92">
        <f t="shared" si="19"/>
        <v>13779.48</v>
      </c>
      <c r="D802" s="92">
        <f t="shared" ref="D802:N802" si="58">D693+D583</f>
        <v>6697.75</v>
      </c>
      <c r="E802" s="92">
        <f t="shared" si="58"/>
        <v>1092.5</v>
      </c>
      <c r="F802" s="92">
        <f t="shared" si="58"/>
        <v>0</v>
      </c>
      <c r="G802" s="92">
        <f t="shared" si="58"/>
        <v>141.11000000000001</v>
      </c>
      <c r="H802" s="92">
        <f t="shared" si="58"/>
        <v>44.05</v>
      </c>
      <c r="I802" s="92">
        <f t="shared" si="58"/>
        <v>67.44</v>
      </c>
      <c r="J802" s="92">
        <f t="shared" si="58"/>
        <v>0</v>
      </c>
      <c r="K802" s="92">
        <f t="shared" si="58"/>
        <v>4886.63</v>
      </c>
      <c r="L802" s="92">
        <f t="shared" si="58"/>
        <v>850</v>
      </c>
      <c r="M802" s="92">
        <f t="shared" si="58"/>
        <v>0</v>
      </c>
      <c r="N802" s="92">
        <f t="shared" si="58"/>
        <v>0</v>
      </c>
      <c r="O802" s="92">
        <f t="shared" si="55"/>
        <v>0</v>
      </c>
    </row>
    <row r="803" spans="1:15" x14ac:dyDescent="0.3">
      <c r="A803" s="146"/>
      <c r="B803" s="94">
        <v>42736</v>
      </c>
      <c r="C803" s="92">
        <f t="shared" si="19"/>
        <v>54255.520000000004</v>
      </c>
      <c r="D803" s="92">
        <f t="shared" ref="D803:N803" si="59">D694+D584</f>
        <v>15447.72</v>
      </c>
      <c r="E803" s="92">
        <f t="shared" si="59"/>
        <v>15895.26</v>
      </c>
      <c r="F803" s="92">
        <f t="shared" si="59"/>
        <v>0</v>
      </c>
      <c r="G803" s="92">
        <f t="shared" si="59"/>
        <v>81.599999999999994</v>
      </c>
      <c r="H803" s="92">
        <f t="shared" si="59"/>
        <v>102.77</v>
      </c>
      <c r="I803" s="92">
        <f t="shared" si="59"/>
        <v>38.11</v>
      </c>
      <c r="J803" s="92">
        <f t="shared" si="59"/>
        <v>0</v>
      </c>
      <c r="K803" s="92">
        <f t="shared" si="59"/>
        <v>22690.06</v>
      </c>
      <c r="L803" s="92">
        <f t="shared" si="59"/>
        <v>0</v>
      </c>
      <c r="M803" s="92">
        <f t="shared" si="59"/>
        <v>0</v>
      </c>
      <c r="N803" s="92">
        <f t="shared" si="59"/>
        <v>0</v>
      </c>
      <c r="O803" s="92">
        <f t="shared" si="55"/>
        <v>0</v>
      </c>
    </row>
    <row r="804" spans="1:15" x14ac:dyDescent="0.3">
      <c r="A804" s="146"/>
      <c r="B804" s="94">
        <v>42767</v>
      </c>
      <c r="C804" s="92">
        <f t="shared" si="19"/>
        <v>41019.79</v>
      </c>
      <c r="D804" s="92">
        <f t="shared" ref="D804:N804" si="60">D695+D585</f>
        <v>20148.080000000002</v>
      </c>
      <c r="E804" s="92">
        <f t="shared" si="60"/>
        <v>4690.66</v>
      </c>
      <c r="F804" s="92">
        <f t="shared" si="60"/>
        <v>0</v>
      </c>
      <c r="G804" s="92">
        <f t="shared" si="60"/>
        <v>50.42</v>
      </c>
      <c r="H804" s="92">
        <f t="shared" si="60"/>
        <v>1787.9299999999998</v>
      </c>
      <c r="I804" s="92">
        <f t="shared" si="60"/>
        <v>52.79</v>
      </c>
      <c r="J804" s="92">
        <f t="shared" si="60"/>
        <v>3024</v>
      </c>
      <c r="K804" s="92">
        <f t="shared" si="60"/>
        <v>11135.91</v>
      </c>
      <c r="L804" s="92">
        <f t="shared" si="60"/>
        <v>0</v>
      </c>
      <c r="M804" s="92">
        <f t="shared" si="60"/>
        <v>130</v>
      </c>
      <c r="N804" s="92">
        <f t="shared" si="60"/>
        <v>0</v>
      </c>
      <c r="O804" s="92">
        <f t="shared" si="55"/>
        <v>0</v>
      </c>
    </row>
    <row r="805" spans="1:15" x14ac:dyDescent="0.3">
      <c r="A805" s="146"/>
      <c r="B805" s="94">
        <v>42795</v>
      </c>
      <c r="C805" s="92">
        <f t="shared" si="19"/>
        <v>44240.34</v>
      </c>
      <c r="D805" s="92">
        <f t="shared" ref="D805:N805" si="61">D696+D586</f>
        <v>16397.43</v>
      </c>
      <c r="E805" s="92">
        <f t="shared" si="61"/>
        <v>7118.5300000000007</v>
      </c>
      <c r="F805" s="92">
        <f t="shared" si="61"/>
        <v>10.08</v>
      </c>
      <c r="G805" s="92">
        <f t="shared" si="61"/>
        <v>158.80000000000001</v>
      </c>
      <c r="H805" s="92">
        <f t="shared" si="61"/>
        <v>3894</v>
      </c>
      <c r="I805" s="92">
        <f t="shared" si="61"/>
        <v>50.81</v>
      </c>
      <c r="J805" s="92">
        <f t="shared" si="61"/>
        <v>0</v>
      </c>
      <c r="K805" s="92">
        <f t="shared" si="61"/>
        <v>16610.689999999999</v>
      </c>
      <c r="L805" s="92">
        <f t="shared" si="61"/>
        <v>0</v>
      </c>
      <c r="M805" s="92">
        <f t="shared" si="61"/>
        <v>0</v>
      </c>
      <c r="N805" s="92">
        <f t="shared" si="61"/>
        <v>0</v>
      </c>
      <c r="O805" s="92">
        <f t="shared" si="55"/>
        <v>0</v>
      </c>
    </row>
    <row r="806" spans="1:15" x14ac:dyDescent="0.3">
      <c r="A806" s="146"/>
      <c r="B806" s="94">
        <v>42826</v>
      </c>
      <c r="C806" s="92">
        <f t="shared" ref="C806:C842" si="62">SUM(D806:P806)</f>
        <v>27870.309999999998</v>
      </c>
      <c r="D806" s="92">
        <f t="shared" ref="D806:N806" si="63">D697+D587</f>
        <v>13091.599999999999</v>
      </c>
      <c r="E806" s="92">
        <f t="shared" si="63"/>
        <v>2212.9500000000003</v>
      </c>
      <c r="F806" s="92">
        <f t="shared" si="63"/>
        <v>0</v>
      </c>
      <c r="G806" s="92">
        <f t="shared" si="63"/>
        <v>0</v>
      </c>
      <c r="H806" s="92">
        <f t="shared" si="63"/>
        <v>906.19</v>
      </c>
      <c r="I806" s="92">
        <f t="shared" si="63"/>
        <v>35.65</v>
      </c>
      <c r="J806" s="92">
        <f t="shared" si="63"/>
        <v>0</v>
      </c>
      <c r="K806" s="92">
        <f t="shared" si="63"/>
        <v>11623.92</v>
      </c>
      <c r="L806" s="92">
        <f t="shared" si="63"/>
        <v>0</v>
      </c>
      <c r="M806" s="92">
        <f t="shared" si="63"/>
        <v>0</v>
      </c>
      <c r="N806" s="92">
        <f t="shared" si="63"/>
        <v>0</v>
      </c>
      <c r="O806" s="92">
        <f t="shared" si="55"/>
        <v>0</v>
      </c>
    </row>
    <row r="807" spans="1:15" x14ac:dyDescent="0.3">
      <c r="A807" s="146"/>
      <c r="B807" s="94">
        <v>42856</v>
      </c>
      <c r="C807" s="92">
        <f t="shared" si="62"/>
        <v>31628.29</v>
      </c>
      <c r="D807" s="92">
        <f t="shared" ref="D807:N807" si="64">D698+D588</f>
        <v>12585.609999999999</v>
      </c>
      <c r="E807" s="92">
        <f t="shared" si="64"/>
        <v>3921.0499999999997</v>
      </c>
      <c r="F807" s="92">
        <f t="shared" si="64"/>
        <v>0</v>
      </c>
      <c r="G807" s="92">
        <f t="shared" si="64"/>
        <v>6.36</v>
      </c>
      <c r="H807" s="92">
        <f t="shared" si="64"/>
        <v>4316.91</v>
      </c>
      <c r="I807" s="92">
        <f t="shared" si="64"/>
        <v>61.91</v>
      </c>
      <c r="J807" s="92">
        <f t="shared" si="64"/>
        <v>0</v>
      </c>
      <c r="K807" s="92">
        <f t="shared" si="64"/>
        <v>10736.45</v>
      </c>
      <c r="L807" s="92">
        <f t="shared" si="64"/>
        <v>0</v>
      </c>
      <c r="M807" s="92">
        <f t="shared" si="64"/>
        <v>0</v>
      </c>
      <c r="N807" s="92">
        <f t="shared" si="64"/>
        <v>0</v>
      </c>
      <c r="O807" s="92">
        <f t="shared" si="55"/>
        <v>0</v>
      </c>
    </row>
    <row r="808" spans="1:15" x14ac:dyDescent="0.3">
      <c r="A808" s="146"/>
      <c r="B808" s="94">
        <v>42887</v>
      </c>
      <c r="C808" s="92">
        <f t="shared" si="62"/>
        <v>22731.67</v>
      </c>
      <c r="D808" s="92">
        <f t="shared" ref="D808:N808" si="65">D699+D589</f>
        <v>10745.380000000001</v>
      </c>
      <c r="E808" s="92">
        <f t="shared" si="65"/>
        <v>3716.87</v>
      </c>
      <c r="F808" s="92">
        <f t="shared" si="65"/>
        <v>19.88</v>
      </c>
      <c r="G808" s="92">
        <f t="shared" si="65"/>
        <v>17.940000000000001</v>
      </c>
      <c r="H808" s="92">
        <f t="shared" si="65"/>
        <v>1519.6799999999998</v>
      </c>
      <c r="I808" s="92">
        <f t="shared" si="65"/>
        <v>133.43</v>
      </c>
      <c r="J808" s="92">
        <f t="shared" si="65"/>
        <v>0</v>
      </c>
      <c r="K808" s="92">
        <f t="shared" si="65"/>
        <v>6578.49</v>
      </c>
      <c r="L808" s="92">
        <f t="shared" si="65"/>
        <v>0</v>
      </c>
      <c r="M808" s="92">
        <f t="shared" si="65"/>
        <v>0</v>
      </c>
      <c r="N808" s="92">
        <f t="shared" si="65"/>
        <v>0</v>
      </c>
      <c r="O808" s="92">
        <f t="shared" si="55"/>
        <v>0</v>
      </c>
    </row>
    <row r="809" spans="1:15" x14ac:dyDescent="0.3">
      <c r="A809" s="146"/>
      <c r="B809" s="94">
        <v>42917</v>
      </c>
      <c r="C809" s="92">
        <f t="shared" si="62"/>
        <v>22751.670000000002</v>
      </c>
      <c r="D809" s="92">
        <f t="shared" ref="D809:N809" si="66">D700+D590</f>
        <v>14087.61</v>
      </c>
      <c r="E809" s="92">
        <f t="shared" si="66"/>
        <v>305.52999999999997</v>
      </c>
      <c r="F809" s="92">
        <f t="shared" si="66"/>
        <v>82.88</v>
      </c>
      <c r="G809" s="92">
        <f t="shared" si="66"/>
        <v>159.36000000000001</v>
      </c>
      <c r="H809" s="92">
        <f t="shared" si="66"/>
        <v>587.28</v>
      </c>
      <c r="I809" s="92">
        <f t="shared" si="66"/>
        <v>47.15</v>
      </c>
      <c r="J809" s="92">
        <f t="shared" si="66"/>
        <v>0</v>
      </c>
      <c r="K809" s="92">
        <f t="shared" si="66"/>
        <v>7481.86</v>
      </c>
      <c r="L809" s="92">
        <f t="shared" si="66"/>
        <v>0</v>
      </c>
      <c r="M809" s="92">
        <f t="shared" si="66"/>
        <v>0</v>
      </c>
      <c r="N809" s="92">
        <f t="shared" si="66"/>
        <v>0</v>
      </c>
      <c r="O809" s="92">
        <f t="shared" si="55"/>
        <v>0</v>
      </c>
    </row>
    <row r="810" spans="1:15" x14ac:dyDescent="0.3">
      <c r="A810" s="146"/>
      <c r="B810" s="94">
        <v>42948</v>
      </c>
      <c r="C810" s="92">
        <f t="shared" si="62"/>
        <v>22026.039999999997</v>
      </c>
      <c r="D810" s="92">
        <f t="shared" ref="D810:N810" si="67">D701+D591</f>
        <v>7479.16</v>
      </c>
      <c r="E810" s="92">
        <f t="shared" si="67"/>
        <v>6327.1399999999994</v>
      </c>
      <c r="F810" s="92">
        <f t="shared" si="67"/>
        <v>0</v>
      </c>
      <c r="G810" s="92">
        <f t="shared" si="67"/>
        <v>737.55</v>
      </c>
      <c r="H810" s="92">
        <f t="shared" si="67"/>
        <v>638.33000000000004</v>
      </c>
      <c r="I810" s="92">
        <f t="shared" si="67"/>
        <v>50.23</v>
      </c>
      <c r="J810" s="92">
        <f t="shared" si="67"/>
        <v>0</v>
      </c>
      <c r="K810" s="92">
        <f t="shared" si="67"/>
        <v>5180.33</v>
      </c>
      <c r="L810" s="92">
        <f t="shared" si="67"/>
        <v>0</v>
      </c>
      <c r="M810" s="92">
        <f t="shared" si="67"/>
        <v>1613.3</v>
      </c>
      <c r="N810" s="92">
        <f t="shared" si="67"/>
        <v>0</v>
      </c>
      <c r="O810" s="92">
        <f t="shared" si="55"/>
        <v>0</v>
      </c>
    </row>
    <row r="811" spans="1:15" x14ac:dyDescent="0.3">
      <c r="A811" s="146"/>
      <c r="B811" s="94">
        <v>42979</v>
      </c>
      <c r="C811" s="92">
        <f t="shared" si="62"/>
        <v>38210.85</v>
      </c>
      <c r="D811" s="92">
        <f t="shared" ref="D811:N811" si="68">D702+D592</f>
        <v>11838.9</v>
      </c>
      <c r="E811" s="92">
        <f t="shared" si="68"/>
        <v>15456.76</v>
      </c>
      <c r="F811" s="92">
        <f t="shared" si="68"/>
        <v>38.08</v>
      </c>
      <c r="G811" s="92">
        <f t="shared" si="68"/>
        <v>32.64</v>
      </c>
      <c r="H811" s="92">
        <f t="shared" si="68"/>
        <v>1466.84</v>
      </c>
      <c r="I811" s="92">
        <f t="shared" si="68"/>
        <v>56.11</v>
      </c>
      <c r="J811" s="92">
        <f t="shared" si="68"/>
        <v>0</v>
      </c>
      <c r="K811" s="92">
        <f t="shared" si="68"/>
        <v>7085.88</v>
      </c>
      <c r="L811" s="92">
        <f t="shared" si="68"/>
        <v>0</v>
      </c>
      <c r="M811" s="92">
        <f t="shared" si="68"/>
        <v>2235.64</v>
      </c>
      <c r="N811" s="92">
        <f t="shared" si="68"/>
        <v>0</v>
      </c>
      <c r="O811" s="92">
        <f t="shared" si="55"/>
        <v>0</v>
      </c>
    </row>
    <row r="812" spans="1:15" x14ac:dyDescent="0.3">
      <c r="A812" s="146"/>
      <c r="B812" s="94">
        <v>43009</v>
      </c>
      <c r="C812" s="92">
        <f t="shared" si="62"/>
        <v>32408.13</v>
      </c>
      <c r="D812" s="92">
        <f t="shared" ref="D812:N812" si="69">D703+D593</f>
        <v>11012.75</v>
      </c>
      <c r="E812" s="92">
        <f t="shared" si="69"/>
        <v>9355.2800000000007</v>
      </c>
      <c r="F812" s="92">
        <f t="shared" si="69"/>
        <v>106.4</v>
      </c>
      <c r="G812" s="92">
        <f t="shared" si="69"/>
        <v>24.25</v>
      </c>
      <c r="H812" s="92">
        <f t="shared" si="69"/>
        <v>748.91</v>
      </c>
      <c r="I812" s="92">
        <f t="shared" si="69"/>
        <v>97.72</v>
      </c>
      <c r="J812" s="92">
        <f t="shared" si="69"/>
        <v>0</v>
      </c>
      <c r="K812" s="92">
        <f t="shared" si="69"/>
        <v>11062.82</v>
      </c>
      <c r="L812" s="92">
        <f t="shared" si="69"/>
        <v>0</v>
      </c>
      <c r="M812" s="92">
        <f t="shared" si="69"/>
        <v>0</v>
      </c>
      <c r="N812" s="92">
        <f t="shared" si="69"/>
        <v>0</v>
      </c>
      <c r="O812" s="92">
        <f t="shared" si="55"/>
        <v>0</v>
      </c>
    </row>
    <row r="813" spans="1:15" x14ac:dyDescent="0.3">
      <c r="A813" s="146"/>
      <c r="B813" s="94">
        <v>43040</v>
      </c>
      <c r="C813" s="92">
        <f t="shared" si="62"/>
        <v>36332.660000000003</v>
      </c>
      <c r="D813" s="92">
        <f t="shared" ref="D813:N813" si="70">D704+D594</f>
        <v>18225.900000000001</v>
      </c>
      <c r="E813" s="92">
        <f t="shared" si="70"/>
        <v>6492.68</v>
      </c>
      <c r="F813" s="92">
        <f t="shared" si="70"/>
        <v>1.68</v>
      </c>
      <c r="G813" s="92">
        <f t="shared" si="70"/>
        <v>317.17</v>
      </c>
      <c r="H813" s="92">
        <f t="shared" si="70"/>
        <v>47.9</v>
      </c>
      <c r="I813" s="92">
        <f t="shared" si="70"/>
        <v>165.05</v>
      </c>
      <c r="J813" s="92">
        <f t="shared" si="70"/>
        <v>0</v>
      </c>
      <c r="K813" s="92">
        <f t="shared" si="70"/>
        <v>11082.28</v>
      </c>
      <c r="L813" s="92">
        <f t="shared" si="70"/>
        <v>0</v>
      </c>
      <c r="M813" s="92">
        <f t="shared" si="70"/>
        <v>0</v>
      </c>
      <c r="N813" s="92">
        <f t="shared" si="70"/>
        <v>0</v>
      </c>
      <c r="O813" s="92">
        <f t="shared" si="55"/>
        <v>0</v>
      </c>
    </row>
    <row r="814" spans="1:15" x14ac:dyDescent="0.3">
      <c r="A814" s="146"/>
      <c r="B814" s="94">
        <v>43070</v>
      </c>
      <c r="C814" s="92">
        <f t="shared" si="62"/>
        <v>11236.190000000002</v>
      </c>
      <c r="D814" s="92">
        <f t="shared" ref="D814:N814" si="71">D705+D595</f>
        <v>6103.02</v>
      </c>
      <c r="E814" s="92">
        <f t="shared" si="71"/>
        <v>80.64</v>
      </c>
      <c r="F814" s="92">
        <f t="shared" si="71"/>
        <v>0</v>
      </c>
      <c r="G814" s="92">
        <f t="shared" si="71"/>
        <v>5.77</v>
      </c>
      <c r="H814" s="92">
        <f t="shared" si="71"/>
        <v>44.05</v>
      </c>
      <c r="I814" s="92">
        <f t="shared" si="71"/>
        <v>15.99</v>
      </c>
      <c r="J814" s="92">
        <f t="shared" si="71"/>
        <v>0</v>
      </c>
      <c r="K814" s="92">
        <f t="shared" si="71"/>
        <v>4986.72</v>
      </c>
      <c r="L814" s="92">
        <f t="shared" si="71"/>
        <v>0</v>
      </c>
      <c r="M814" s="92">
        <f t="shared" si="71"/>
        <v>0</v>
      </c>
      <c r="N814" s="92">
        <f t="shared" si="71"/>
        <v>0</v>
      </c>
      <c r="O814" s="92">
        <f t="shared" si="55"/>
        <v>0</v>
      </c>
    </row>
    <row r="815" spans="1:15" x14ac:dyDescent="0.3">
      <c r="A815" s="146"/>
      <c r="B815" s="94">
        <v>43101</v>
      </c>
      <c r="C815" s="92">
        <f t="shared" si="62"/>
        <v>46464.350000000006</v>
      </c>
      <c r="D815" s="92">
        <f t="shared" ref="D815:N815" si="72">D706+D596</f>
        <v>16875.38</v>
      </c>
      <c r="E815" s="92">
        <f t="shared" si="72"/>
        <v>14485.86</v>
      </c>
      <c r="F815" s="92">
        <f t="shared" si="72"/>
        <v>110.75</v>
      </c>
      <c r="G815" s="92">
        <f t="shared" si="72"/>
        <v>5.2</v>
      </c>
      <c r="H815" s="92">
        <f t="shared" si="72"/>
        <v>447.5</v>
      </c>
      <c r="I815" s="92">
        <f t="shared" si="72"/>
        <v>53.57</v>
      </c>
      <c r="J815" s="92">
        <f t="shared" si="72"/>
        <v>0</v>
      </c>
      <c r="K815" s="92">
        <f t="shared" si="72"/>
        <v>14486.09</v>
      </c>
      <c r="L815" s="92">
        <f t="shared" si="72"/>
        <v>0</v>
      </c>
      <c r="M815" s="92">
        <f t="shared" si="72"/>
        <v>0</v>
      </c>
      <c r="N815" s="92">
        <f t="shared" si="72"/>
        <v>0</v>
      </c>
      <c r="O815" s="92">
        <f t="shared" si="55"/>
        <v>0</v>
      </c>
    </row>
    <row r="816" spans="1:15" x14ac:dyDescent="0.3">
      <c r="A816" s="146"/>
      <c r="B816" s="94">
        <v>43132</v>
      </c>
      <c r="C816" s="92">
        <f t="shared" si="62"/>
        <v>33940.880000000005</v>
      </c>
      <c r="D816" s="92">
        <f t="shared" ref="D816:N816" si="73">D707+D597</f>
        <v>18119.559999999998</v>
      </c>
      <c r="E816" s="92">
        <f t="shared" si="73"/>
        <v>4890.51</v>
      </c>
      <c r="F816" s="92">
        <f t="shared" si="73"/>
        <v>1533.2800000000002</v>
      </c>
      <c r="G816" s="92">
        <f t="shared" si="73"/>
        <v>230.9</v>
      </c>
      <c r="H816" s="92">
        <f t="shared" si="73"/>
        <v>664</v>
      </c>
      <c r="I816" s="92">
        <f t="shared" si="73"/>
        <v>12.75</v>
      </c>
      <c r="J816" s="92">
        <f t="shared" si="73"/>
        <v>0</v>
      </c>
      <c r="K816" s="92">
        <f t="shared" si="73"/>
        <v>8489.880000000001</v>
      </c>
      <c r="L816" s="92">
        <f t="shared" si="73"/>
        <v>0</v>
      </c>
      <c r="M816" s="92">
        <f t="shared" si="73"/>
        <v>0</v>
      </c>
      <c r="N816" s="92">
        <f t="shared" si="73"/>
        <v>0</v>
      </c>
      <c r="O816" s="92">
        <f t="shared" si="55"/>
        <v>0</v>
      </c>
    </row>
    <row r="817" spans="1:16" x14ac:dyDescent="0.3">
      <c r="A817" s="146"/>
      <c r="B817" s="94">
        <v>43160</v>
      </c>
      <c r="C817" s="92">
        <f t="shared" si="62"/>
        <v>30845.65</v>
      </c>
      <c r="D817" s="92">
        <f t="shared" ref="D817:N817" si="74">D708+D598</f>
        <v>14657.86</v>
      </c>
      <c r="E817" s="92">
        <f t="shared" si="74"/>
        <v>3984.45</v>
      </c>
      <c r="F817" s="92">
        <f t="shared" si="74"/>
        <v>45.36</v>
      </c>
      <c r="G817" s="92">
        <f t="shared" si="74"/>
        <v>45.15</v>
      </c>
      <c r="H817" s="92">
        <f t="shared" si="74"/>
        <v>231.44</v>
      </c>
      <c r="I817" s="92">
        <f t="shared" si="74"/>
        <v>132.72</v>
      </c>
      <c r="J817" s="92">
        <f t="shared" si="74"/>
        <v>0</v>
      </c>
      <c r="K817" s="92">
        <f t="shared" si="74"/>
        <v>11748.67</v>
      </c>
      <c r="L817" s="92">
        <f t="shared" si="74"/>
        <v>0</v>
      </c>
      <c r="M817" s="92">
        <f t="shared" si="74"/>
        <v>0</v>
      </c>
      <c r="N817" s="92">
        <f t="shared" si="74"/>
        <v>0</v>
      </c>
      <c r="O817" s="92">
        <f t="shared" si="55"/>
        <v>0</v>
      </c>
      <c r="P817" s="117">
        <f t="shared" ref="P817:P868" si="75">P708+P598</f>
        <v>0</v>
      </c>
    </row>
    <row r="818" spans="1:16" x14ac:dyDescent="0.3">
      <c r="A818" s="146"/>
      <c r="B818" s="94">
        <v>43191</v>
      </c>
      <c r="C818" s="92">
        <f t="shared" si="62"/>
        <v>21815.26</v>
      </c>
      <c r="D818" s="92">
        <f t="shared" ref="D818:N818" si="76">D709+D599</f>
        <v>9573.35</v>
      </c>
      <c r="E818" s="92">
        <f t="shared" si="76"/>
        <v>2557.14</v>
      </c>
      <c r="F818" s="92">
        <f t="shared" si="76"/>
        <v>680</v>
      </c>
      <c r="G818" s="92">
        <f t="shared" si="76"/>
        <v>38.93</v>
      </c>
      <c r="H818" s="92">
        <f t="shared" si="76"/>
        <v>44.97</v>
      </c>
      <c r="I818" s="92">
        <f t="shared" si="76"/>
        <v>47.709999999999994</v>
      </c>
      <c r="J818" s="92">
        <f t="shared" si="76"/>
        <v>0</v>
      </c>
      <c r="K818" s="92">
        <f t="shared" si="76"/>
        <v>8873.16</v>
      </c>
      <c r="L818" s="92">
        <f t="shared" si="76"/>
        <v>0</v>
      </c>
      <c r="M818" s="92">
        <f t="shared" si="76"/>
        <v>0</v>
      </c>
      <c r="N818" s="92">
        <f t="shared" si="76"/>
        <v>0</v>
      </c>
      <c r="O818" s="92">
        <f t="shared" si="55"/>
        <v>0</v>
      </c>
      <c r="P818" s="117">
        <f t="shared" si="75"/>
        <v>0</v>
      </c>
    </row>
    <row r="819" spans="1:16" x14ac:dyDescent="0.3">
      <c r="A819" s="146"/>
      <c r="B819" s="94">
        <v>43221</v>
      </c>
      <c r="C819" s="92">
        <f t="shared" si="62"/>
        <v>31786.95</v>
      </c>
      <c r="D819" s="92">
        <f t="shared" ref="D819:N819" si="77">D710+D600</f>
        <v>16885.07</v>
      </c>
      <c r="E819" s="92">
        <f t="shared" si="77"/>
        <v>1822.19</v>
      </c>
      <c r="F819" s="92">
        <f t="shared" si="77"/>
        <v>543.09</v>
      </c>
      <c r="G819" s="92">
        <f t="shared" si="77"/>
        <v>0</v>
      </c>
      <c r="H819" s="92">
        <f t="shared" si="77"/>
        <v>169.15</v>
      </c>
      <c r="I819" s="92">
        <f t="shared" si="77"/>
        <v>56.36</v>
      </c>
      <c r="J819" s="92">
        <f t="shared" si="77"/>
        <v>0</v>
      </c>
      <c r="K819" s="92">
        <f t="shared" si="77"/>
        <v>12281.09</v>
      </c>
      <c r="L819" s="92">
        <f t="shared" si="77"/>
        <v>0</v>
      </c>
      <c r="M819" s="92">
        <f t="shared" si="77"/>
        <v>0</v>
      </c>
      <c r="N819" s="92">
        <f t="shared" si="77"/>
        <v>0</v>
      </c>
      <c r="O819" s="92">
        <f t="shared" si="55"/>
        <v>0</v>
      </c>
      <c r="P819" s="117">
        <f t="shared" si="75"/>
        <v>30</v>
      </c>
    </row>
    <row r="820" spans="1:16" x14ac:dyDescent="0.3">
      <c r="A820" s="146"/>
      <c r="B820" s="94">
        <v>43252</v>
      </c>
      <c r="C820" s="92">
        <f t="shared" si="62"/>
        <v>30445.690000000002</v>
      </c>
      <c r="D820" s="92">
        <f t="shared" ref="D820:N820" si="78">D711+D601</f>
        <v>10343.240000000002</v>
      </c>
      <c r="E820" s="92">
        <f t="shared" si="78"/>
        <v>3798.75</v>
      </c>
      <c r="F820" s="92">
        <f t="shared" si="78"/>
        <v>918.08</v>
      </c>
      <c r="G820" s="92">
        <f t="shared" si="78"/>
        <v>62.09</v>
      </c>
      <c r="H820" s="92">
        <f t="shared" si="78"/>
        <v>708.37</v>
      </c>
      <c r="I820" s="92">
        <f t="shared" si="78"/>
        <v>109.56</v>
      </c>
      <c r="J820" s="92">
        <f t="shared" si="78"/>
        <v>0</v>
      </c>
      <c r="K820" s="92">
        <f t="shared" si="78"/>
        <v>14480.6</v>
      </c>
      <c r="L820" s="92">
        <f t="shared" si="78"/>
        <v>25</v>
      </c>
      <c r="M820" s="92">
        <f t="shared" si="78"/>
        <v>0</v>
      </c>
      <c r="N820" s="92">
        <f t="shared" si="78"/>
        <v>0</v>
      </c>
      <c r="O820" s="92">
        <f t="shared" si="55"/>
        <v>0</v>
      </c>
      <c r="P820" s="117">
        <f t="shared" si="75"/>
        <v>0</v>
      </c>
    </row>
    <row r="821" spans="1:16" x14ac:dyDescent="0.3">
      <c r="A821" s="146"/>
      <c r="B821" s="94">
        <v>43282</v>
      </c>
      <c r="C821" s="92">
        <f t="shared" si="62"/>
        <v>17481.84</v>
      </c>
      <c r="D821" s="92">
        <f t="shared" ref="D821:N821" si="79">D712+D602</f>
        <v>8487.36</v>
      </c>
      <c r="E821" s="92">
        <f t="shared" si="79"/>
        <v>9.9</v>
      </c>
      <c r="F821" s="92">
        <f t="shared" si="79"/>
        <v>0</v>
      </c>
      <c r="G821" s="92">
        <f t="shared" si="79"/>
        <v>1.1299999999999999</v>
      </c>
      <c r="H821" s="92">
        <f t="shared" si="79"/>
        <v>24</v>
      </c>
      <c r="I821" s="92">
        <f t="shared" si="79"/>
        <v>57.29</v>
      </c>
      <c r="J821" s="92">
        <f t="shared" si="79"/>
        <v>0</v>
      </c>
      <c r="K821" s="92">
        <f t="shared" si="79"/>
        <v>8902.16</v>
      </c>
      <c r="L821" s="92">
        <f t="shared" si="79"/>
        <v>0</v>
      </c>
      <c r="M821" s="92">
        <f t="shared" si="79"/>
        <v>0</v>
      </c>
      <c r="N821" s="92">
        <f t="shared" si="79"/>
        <v>0</v>
      </c>
      <c r="O821" s="92">
        <f t="shared" si="55"/>
        <v>0</v>
      </c>
      <c r="P821" s="117">
        <f t="shared" si="75"/>
        <v>0</v>
      </c>
    </row>
    <row r="822" spans="1:16" x14ac:dyDescent="0.3">
      <c r="A822" s="146"/>
      <c r="B822" s="94">
        <v>43313</v>
      </c>
      <c r="C822" s="92">
        <f t="shared" si="62"/>
        <v>18840.04</v>
      </c>
      <c r="D822" s="92">
        <f t="shared" ref="D822:N822" si="80">D713+D603</f>
        <v>3503.82</v>
      </c>
      <c r="E822" s="92">
        <f t="shared" si="80"/>
        <v>5123.6400000000003</v>
      </c>
      <c r="F822" s="92">
        <f t="shared" si="80"/>
        <v>31.22</v>
      </c>
      <c r="G822" s="92">
        <f t="shared" si="80"/>
        <v>8.64</v>
      </c>
      <c r="H822" s="92">
        <f t="shared" si="80"/>
        <v>428.38</v>
      </c>
      <c r="I822" s="92">
        <f t="shared" si="80"/>
        <v>3.57</v>
      </c>
      <c r="J822" s="92">
        <f t="shared" si="80"/>
        <v>0</v>
      </c>
      <c r="K822" s="92">
        <f t="shared" si="80"/>
        <v>9740.77</v>
      </c>
      <c r="L822" s="92">
        <f t="shared" si="80"/>
        <v>0</v>
      </c>
      <c r="M822" s="92">
        <f t="shared" si="80"/>
        <v>0</v>
      </c>
      <c r="N822" s="92">
        <f t="shared" si="80"/>
        <v>0</v>
      </c>
      <c r="O822" s="92">
        <f t="shared" si="55"/>
        <v>0</v>
      </c>
      <c r="P822" s="117">
        <f t="shared" si="75"/>
        <v>0</v>
      </c>
    </row>
    <row r="823" spans="1:16" x14ac:dyDescent="0.3">
      <c r="A823" s="146"/>
      <c r="B823" s="94">
        <v>43344</v>
      </c>
      <c r="C823" s="92">
        <f t="shared" si="62"/>
        <v>45103.459999999992</v>
      </c>
      <c r="D823" s="92">
        <f t="shared" ref="D823:N823" si="81">D714+D604</f>
        <v>12824.31</v>
      </c>
      <c r="E823" s="92">
        <f t="shared" si="81"/>
        <v>15534.72</v>
      </c>
      <c r="F823" s="92">
        <f t="shared" si="81"/>
        <v>343.40999999999997</v>
      </c>
      <c r="G823" s="92">
        <f t="shared" si="81"/>
        <v>5.27</v>
      </c>
      <c r="H823" s="92">
        <f t="shared" si="81"/>
        <v>829.6</v>
      </c>
      <c r="I823" s="92">
        <f t="shared" si="81"/>
        <v>202.94</v>
      </c>
      <c r="J823" s="92">
        <f t="shared" si="81"/>
        <v>0</v>
      </c>
      <c r="K823" s="92">
        <f t="shared" si="81"/>
        <v>15346.29</v>
      </c>
      <c r="L823" s="92">
        <f t="shared" si="81"/>
        <v>16.920000000000002</v>
      </c>
      <c r="M823" s="92">
        <f t="shared" si="81"/>
        <v>0</v>
      </c>
      <c r="N823" s="92">
        <f t="shared" si="81"/>
        <v>0</v>
      </c>
      <c r="O823" s="92">
        <f t="shared" si="55"/>
        <v>0</v>
      </c>
      <c r="P823" s="117">
        <f t="shared" si="75"/>
        <v>0</v>
      </c>
    </row>
    <row r="824" spans="1:16" x14ac:dyDescent="0.3">
      <c r="A824" s="146"/>
      <c r="B824" s="94">
        <v>43374</v>
      </c>
      <c r="C824" s="92">
        <f t="shared" si="62"/>
        <v>30927.82</v>
      </c>
      <c r="D824" s="92">
        <f t="shared" ref="D824:N824" si="82">D715+D605</f>
        <v>10649.04</v>
      </c>
      <c r="E824" s="92">
        <f t="shared" si="82"/>
        <v>8105.52</v>
      </c>
      <c r="F824" s="92">
        <f t="shared" si="82"/>
        <v>846.57</v>
      </c>
      <c r="G824" s="92">
        <f t="shared" si="82"/>
        <v>0</v>
      </c>
      <c r="H824" s="92">
        <f t="shared" si="82"/>
        <v>249.34</v>
      </c>
      <c r="I824" s="92">
        <f t="shared" si="82"/>
        <v>33.32</v>
      </c>
      <c r="J824" s="92">
        <f t="shared" si="82"/>
        <v>0</v>
      </c>
      <c r="K824" s="92">
        <f t="shared" si="82"/>
        <v>11044.03</v>
      </c>
      <c r="L824" s="92">
        <f t="shared" si="82"/>
        <v>0</v>
      </c>
      <c r="M824" s="92">
        <f t="shared" si="82"/>
        <v>0</v>
      </c>
      <c r="N824" s="92">
        <f t="shared" si="82"/>
        <v>0</v>
      </c>
      <c r="O824" s="92">
        <f t="shared" si="55"/>
        <v>0</v>
      </c>
      <c r="P824" s="117">
        <f t="shared" si="75"/>
        <v>0</v>
      </c>
    </row>
    <row r="825" spans="1:16" x14ac:dyDescent="0.3">
      <c r="A825" s="146"/>
      <c r="B825" s="94">
        <v>43405</v>
      </c>
      <c r="C825" s="92">
        <f t="shared" si="62"/>
        <v>39833.839999999997</v>
      </c>
      <c r="D825" s="92">
        <f t="shared" ref="D825:N825" si="83">D716+D606</f>
        <v>14422.5</v>
      </c>
      <c r="E825" s="92">
        <f t="shared" si="83"/>
        <v>5053.3099999999995</v>
      </c>
      <c r="F825" s="92">
        <f t="shared" si="83"/>
        <v>951.04</v>
      </c>
      <c r="G825" s="92">
        <f t="shared" si="83"/>
        <v>17.799999999999997</v>
      </c>
      <c r="H825" s="92">
        <f t="shared" si="83"/>
        <v>1039.04</v>
      </c>
      <c r="I825" s="92">
        <f t="shared" si="83"/>
        <v>2408.54</v>
      </c>
      <c r="J825" s="92">
        <f t="shared" si="83"/>
        <v>0</v>
      </c>
      <c r="K825" s="92">
        <f t="shared" si="83"/>
        <v>15926.609999999999</v>
      </c>
      <c r="L825" s="92">
        <f t="shared" si="83"/>
        <v>5</v>
      </c>
      <c r="M825" s="92">
        <f t="shared" si="83"/>
        <v>0</v>
      </c>
      <c r="N825" s="92">
        <f t="shared" si="83"/>
        <v>0</v>
      </c>
      <c r="O825" s="92">
        <f t="shared" si="55"/>
        <v>0</v>
      </c>
      <c r="P825" s="117">
        <f t="shared" si="75"/>
        <v>10</v>
      </c>
    </row>
    <row r="826" spans="1:16" x14ac:dyDescent="0.3">
      <c r="A826" s="146"/>
      <c r="B826" s="94">
        <v>43435</v>
      </c>
      <c r="C826" s="92">
        <f t="shared" si="62"/>
        <v>8995.48</v>
      </c>
      <c r="D826" s="92">
        <f t="shared" ref="D826:N826" si="84">D717+D607</f>
        <v>2931.96</v>
      </c>
      <c r="E826" s="92">
        <f t="shared" si="84"/>
        <v>44.53</v>
      </c>
      <c r="F826" s="92">
        <f t="shared" si="84"/>
        <v>0</v>
      </c>
      <c r="G826" s="92">
        <f t="shared" si="84"/>
        <v>0</v>
      </c>
      <c r="H826" s="92">
        <f t="shared" si="84"/>
        <v>512</v>
      </c>
      <c r="I826" s="92">
        <f t="shared" si="84"/>
        <v>36.46</v>
      </c>
      <c r="J826" s="92">
        <f t="shared" si="84"/>
        <v>0</v>
      </c>
      <c r="K826" s="92">
        <f t="shared" si="84"/>
        <v>5470.53</v>
      </c>
      <c r="L826" s="92">
        <f t="shared" si="84"/>
        <v>0</v>
      </c>
      <c r="M826" s="92">
        <f t="shared" si="84"/>
        <v>0</v>
      </c>
      <c r="N826" s="92">
        <f t="shared" si="84"/>
        <v>0</v>
      </c>
      <c r="O826" s="92">
        <f t="shared" si="55"/>
        <v>0</v>
      </c>
      <c r="P826" s="117">
        <f t="shared" si="75"/>
        <v>0</v>
      </c>
    </row>
    <row r="827" spans="1:16" x14ac:dyDescent="0.3">
      <c r="A827" s="146"/>
      <c r="B827" s="94">
        <v>43466</v>
      </c>
      <c r="C827" s="92">
        <f t="shared" si="62"/>
        <v>46844.009999999995</v>
      </c>
      <c r="D827" s="92">
        <f t="shared" ref="D827:N827" si="85">D718+D608</f>
        <v>15656.89</v>
      </c>
      <c r="E827" s="92">
        <f t="shared" si="85"/>
        <v>17059.87</v>
      </c>
      <c r="F827" s="92">
        <f t="shared" si="85"/>
        <v>558.15</v>
      </c>
      <c r="G827" s="92">
        <f t="shared" si="85"/>
        <v>5.64</v>
      </c>
      <c r="H827" s="92">
        <f t="shared" si="85"/>
        <v>255.59</v>
      </c>
      <c r="I827" s="92">
        <f t="shared" si="85"/>
        <v>91.660000000000011</v>
      </c>
      <c r="J827" s="92">
        <f t="shared" si="85"/>
        <v>0</v>
      </c>
      <c r="K827" s="92">
        <f t="shared" si="85"/>
        <v>13216.21</v>
      </c>
      <c r="L827" s="92">
        <f t="shared" si="85"/>
        <v>0</v>
      </c>
      <c r="M827" s="92">
        <f t="shared" si="85"/>
        <v>0</v>
      </c>
      <c r="N827" s="92">
        <f t="shared" si="85"/>
        <v>0</v>
      </c>
      <c r="O827" s="92">
        <f t="shared" si="55"/>
        <v>0</v>
      </c>
      <c r="P827" s="117">
        <f t="shared" si="75"/>
        <v>0</v>
      </c>
    </row>
    <row r="828" spans="1:16" x14ac:dyDescent="0.3">
      <c r="A828" s="146"/>
      <c r="B828" s="94">
        <v>43497</v>
      </c>
      <c r="C828" s="92">
        <f t="shared" si="62"/>
        <v>32449.870000000003</v>
      </c>
      <c r="D828" s="92">
        <f t="shared" ref="D828:N828" si="86">D719+D609</f>
        <v>15608.65</v>
      </c>
      <c r="E828" s="92">
        <f t="shared" si="86"/>
        <v>4621.68</v>
      </c>
      <c r="F828" s="92">
        <f t="shared" si="86"/>
        <v>234.47</v>
      </c>
      <c r="G828" s="92">
        <f t="shared" si="86"/>
        <v>64.72</v>
      </c>
      <c r="H828" s="92">
        <f t="shared" si="86"/>
        <v>602.45000000000005</v>
      </c>
      <c r="I828" s="92">
        <f t="shared" si="86"/>
        <v>94.12</v>
      </c>
      <c r="J828" s="92">
        <f t="shared" si="86"/>
        <v>0</v>
      </c>
      <c r="K828" s="92">
        <f t="shared" si="86"/>
        <v>11223.78</v>
      </c>
      <c r="L828" s="92">
        <f t="shared" si="86"/>
        <v>0</v>
      </c>
      <c r="M828" s="92">
        <f t="shared" si="86"/>
        <v>0</v>
      </c>
      <c r="N828" s="92">
        <f t="shared" si="86"/>
        <v>0</v>
      </c>
      <c r="O828" s="92">
        <f t="shared" si="55"/>
        <v>0</v>
      </c>
      <c r="P828" s="117">
        <f t="shared" si="75"/>
        <v>0</v>
      </c>
    </row>
    <row r="829" spans="1:16" x14ac:dyDescent="0.3">
      <c r="A829" s="146"/>
      <c r="B829" s="94">
        <v>43525</v>
      </c>
      <c r="C829" s="92">
        <f t="shared" si="62"/>
        <v>22812.71</v>
      </c>
      <c r="D829" s="92">
        <f t="shared" ref="D829:N829" si="87">D720+D610</f>
        <v>9854.09</v>
      </c>
      <c r="E829" s="92">
        <f t="shared" si="87"/>
        <v>3381.7000000000003</v>
      </c>
      <c r="F829" s="92">
        <f t="shared" si="87"/>
        <v>325.2</v>
      </c>
      <c r="G829" s="92">
        <f t="shared" si="87"/>
        <v>0</v>
      </c>
      <c r="H829" s="92">
        <f t="shared" si="87"/>
        <v>504.4</v>
      </c>
      <c r="I829" s="92">
        <f t="shared" si="87"/>
        <v>412.25</v>
      </c>
      <c r="J829" s="92">
        <f t="shared" si="87"/>
        <v>0</v>
      </c>
      <c r="K829" s="92">
        <f t="shared" si="87"/>
        <v>8335.07</v>
      </c>
      <c r="L829" s="92">
        <f t="shared" si="87"/>
        <v>0</v>
      </c>
      <c r="M829" s="92">
        <f t="shared" si="87"/>
        <v>0</v>
      </c>
      <c r="N829" s="92">
        <f t="shared" si="87"/>
        <v>0</v>
      </c>
      <c r="O829" s="92">
        <f t="shared" si="55"/>
        <v>0</v>
      </c>
      <c r="P829" s="117">
        <f t="shared" si="75"/>
        <v>0</v>
      </c>
    </row>
    <row r="830" spans="1:16" x14ac:dyDescent="0.3">
      <c r="A830" s="146"/>
      <c r="B830" s="94">
        <v>43556</v>
      </c>
      <c r="C830" s="92">
        <f t="shared" si="62"/>
        <v>39317.850000000006</v>
      </c>
      <c r="D830" s="92">
        <f t="shared" ref="D830:N830" si="88">D721+D611</f>
        <v>13927.79</v>
      </c>
      <c r="E830" s="92">
        <f t="shared" si="88"/>
        <v>4721.08</v>
      </c>
      <c r="F830" s="92">
        <f t="shared" si="88"/>
        <v>291.10000000000002</v>
      </c>
      <c r="G830" s="92">
        <f t="shared" si="88"/>
        <v>343.65999999999997</v>
      </c>
      <c r="H830" s="92">
        <f t="shared" si="88"/>
        <v>1541.64</v>
      </c>
      <c r="I830" s="92">
        <f t="shared" si="88"/>
        <v>70.81</v>
      </c>
      <c r="J830" s="92">
        <f t="shared" si="88"/>
        <v>0</v>
      </c>
      <c r="K830" s="92">
        <f t="shared" si="88"/>
        <v>18421.77</v>
      </c>
      <c r="L830" s="92">
        <f t="shared" si="88"/>
        <v>0</v>
      </c>
      <c r="M830" s="92">
        <f t="shared" si="88"/>
        <v>0</v>
      </c>
      <c r="N830" s="92">
        <f t="shared" si="88"/>
        <v>0</v>
      </c>
      <c r="O830" s="92">
        <f t="shared" si="55"/>
        <v>0</v>
      </c>
      <c r="P830" s="117">
        <f t="shared" si="75"/>
        <v>0</v>
      </c>
    </row>
    <row r="831" spans="1:16" x14ac:dyDescent="0.3">
      <c r="A831" s="146"/>
      <c r="B831" s="94">
        <v>43586</v>
      </c>
      <c r="C831" s="92">
        <f t="shared" si="62"/>
        <v>31065.399999999998</v>
      </c>
      <c r="D831" s="92">
        <f t="shared" ref="D831:N831" si="89">D722+D612</f>
        <v>12700.91</v>
      </c>
      <c r="E831" s="92">
        <f t="shared" si="89"/>
        <v>1590.6599999999999</v>
      </c>
      <c r="F831" s="92">
        <f t="shared" si="89"/>
        <v>661.56</v>
      </c>
      <c r="G831" s="92">
        <f t="shared" si="89"/>
        <v>7.15</v>
      </c>
      <c r="H831" s="92">
        <f t="shared" si="89"/>
        <v>1102.5</v>
      </c>
      <c r="I831" s="92">
        <f t="shared" si="89"/>
        <v>108.66</v>
      </c>
      <c r="J831" s="92">
        <f t="shared" si="89"/>
        <v>0</v>
      </c>
      <c r="K831" s="92">
        <f t="shared" si="89"/>
        <v>14893.96</v>
      </c>
      <c r="L831" s="92">
        <f t="shared" si="89"/>
        <v>0</v>
      </c>
      <c r="M831" s="92">
        <f t="shared" si="89"/>
        <v>0</v>
      </c>
      <c r="N831" s="92">
        <f t="shared" si="89"/>
        <v>0</v>
      </c>
      <c r="O831" s="92">
        <f t="shared" ref="O831:O868" si="90">O722+O612</f>
        <v>0</v>
      </c>
      <c r="P831" s="117">
        <f t="shared" si="75"/>
        <v>0</v>
      </c>
    </row>
    <row r="832" spans="1:16" x14ac:dyDescent="0.3">
      <c r="A832" s="146"/>
      <c r="B832" s="94">
        <v>43617</v>
      </c>
      <c r="C832" s="92">
        <f t="shared" si="62"/>
        <v>25674.820000000003</v>
      </c>
      <c r="D832" s="92">
        <f t="shared" ref="D832:N832" si="91">D723+D613</f>
        <v>9093.3000000000011</v>
      </c>
      <c r="E832" s="92">
        <f t="shared" si="91"/>
        <v>1638.84</v>
      </c>
      <c r="F832" s="92">
        <f t="shared" si="91"/>
        <v>368</v>
      </c>
      <c r="G832" s="92">
        <f t="shared" si="91"/>
        <v>2.2599999999999998</v>
      </c>
      <c r="H832" s="92">
        <f t="shared" si="91"/>
        <v>757.75</v>
      </c>
      <c r="I832" s="92">
        <f t="shared" si="91"/>
        <v>87.45</v>
      </c>
      <c r="J832" s="92">
        <f t="shared" si="91"/>
        <v>0</v>
      </c>
      <c r="K832" s="92">
        <f t="shared" si="91"/>
        <v>13727.220000000001</v>
      </c>
      <c r="L832" s="92">
        <f t="shared" si="91"/>
        <v>0</v>
      </c>
      <c r="M832" s="92">
        <f t="shared" si="91"/>
        <v>0</v>
      </c>
      <c r="N832" s="92">
        <f t="shared" si="91"/>
        <v>0</v>
      </c>
      <c r="O832" s="92">
        <f t="shared" si="90"/>
        <v>0</v>
      </c>
      <c r="P832" s="117">
        <f t="shared" si="75"/>
        <v>0</v>
      </c>
    </row>
    <row r="833" spans="1:16" x14ac:dyDescent="0.3">
      <c r="A833" s="146"/>
      <c r="B833" s="94">
        <v>43647</v>
      </c>
      <c r="C833" s="92">
        <f t="shared" si="62"/>
        <v>64229.53</v>
      </c>
      <c r="D833" s="92">
        <f t="shared" ref="D833:N833" si="92">D724+D614</f>
        <v>37048.239999999998</v>
      </c>
      <c r="E833" s="92">
        <f t="shared" si="92"/>
        <v>2561.9899999999998</v>
      </c>
      <c r="F833" s="92">
        <f t="shared" si="92"/>
        <v>838.23</v>
      </c>
      <c r="G833" s="92">
        <f t="shared" si="92"/>
        <v>357.49</v>
      </c>
      <c r="H833" s="92">
        <f t="shared" si="92"/>
        <v>0</v>
      </c>
      <c r="I833" s="92">
        <f t="shared" si="92"/>
        <v>16.77</v>
      </c>
      <c r="J833" s="92">
        <f t="shared" si="92"/>
        <v>0</v>
      </c>
      <c r="K833" s="92">
        <f t="shared" si="92"/>
        <v>23406.81</v>
      </c>
      <c r="L833" s="92">
        <f t="shared" si="92"/>
        <v>0</v>
      </c>
      <c r="M833" s="92">
        <f t="shared" si="92"/>
        <v>0</v>
      </c>
      <c r="N833" s="92">
        <f t="shared" si="92"/>
        <v>0</v>
      </c>
      <c r="O833" s="92">
        <f t="shared" si="90"/>
        <v>0</v>
      </c>
      <c r="P833" s="117">
        <f t="shared" si="75"/>
        <v>0</v>
      </c>
    </row>
    <row r="834" spans="1:16" x14ac:dyDescent="0.3">
      <c r="A834" s="146"/>
      <c r="B834" s="94">
        <v>43678</v>
      </c>
      <c r="C834" s="92">
        <f t="shared" si="62"/>
        <v>20868.28</v>
      </c>
      <c r="D834" s="92">
        <f t="shared" ref="D834:N834" si="93">D725+D615</f>
        <v>6011.18</v>
      </c>
      <c r="E834" s="92">
        <f t="shared" si="93"/>
        <v>5912.5999999999995</v>
      </c>
      <c r="F834" s="92">
        <f t="shared" si="93"/>
        <v>282.61</v>
      </c>
      <c r="G834" s="92">
        <f t="shared" si="93"/>
        <v>3.6</v>
      </c>
      <c r="H834" s="92">
        <f t="shared" si="93"/>
        <v>126</v>
      </c>
      <c r="I834" s="92">
        <f t="shared" si="93"/>
        <v>43.45</v>
      </c>
      <c r="J834" s="92">
        <f t="shared" si="93"/>
        <v>0</v>
      </c>
      <c r="K834" s="92">
        <f t="shared" si="93"/>
        <v>8488.84</v>
      </c>
      <c r="L834" s="92">
        <f t="shared" si="93"/>
        <v>0</v>
      </c>
      <c r="M834" s="92">
        <f t="shared" si="93"/>
        <v>0</v>
      </c>
      <c r="N834" s="92">
        <f t="shared" si="93"/>
        <v>0</v>
      </c>
      <c r="O834" s="92">
        <f t="shared" si="90"/>
        <v>0</v>
      </c>
      <c r="P834" s="117">
        <f t="shared" si="75"/>
        <v>0</v>
      </c>
    </row>
    <row r="835" spans="1:16" x14ac:dyDescent="0.3">
      <c r="A835" s="146"/>
      <c r="B835" s="94">
        <v>43709</v>
      </c>
      <c r="C835" s="92">
        <f t="shared" si="62"/>
        <v>48148.160000000011</v>
      </c>
      <c r="D835" s="92">
        <f t="shared" ref="D835:N835" si="94">D726+D616</f>
        <v>17463.97</v>
      </c>
      <c r="E835" s="92">
        <f t="shared" si="94"/>
        <v>16389.419999999998</v>
      </c>
      <c r="F835" s="92">
        <f t="shared" si="94"/>
        <v>498.48</v>
      </c>
      <c r="G835" s="92">
        <f t="shared" si="94"/>
        <v>14.3</v>
      </c>
      <c r="H835" s="92">
        <f t="shared" si="94"/>
        <v>659.5</v>
      </c>
      <c r="I835" s="92">
        <f t="shared" si="94"/>
        <v>263.05</v>
      </c>
      <c r="J835" s="92">
        <f t="shared" si="94"/>
        <v>0</v>
      </c>
      <c r="K835" s="92">
        <f t="shared" si="94"/>
        <v>12859.44</v>
      </c>
      <c r="L835" s="92">
        <f t="shared" si="94"/>
        <v>0</v>
      </c>
      <c r="M835" s="92">
        <f t="shared" si="94"/>
        <v>0</v>
      </c>
      <c r="N835" s="92">
        <f t="shared" si="94"/>
        <v>0</v>
      </c>
      <c r="O835" s="92">
        <f t="shared" si="90"/>
        <v>0</v>
      </c>
      <c r="P835" s="117">
        <f t="shared" si="75"/>
        <v>0</v>
      </c>
    </row>
    <row r="836" spans="1:16" x14ac:dyDescent="0.3">
      <c r="A836" s="146"/>
      <c r="B836" s="94">
        <v>43739</v>
      </c>
      <c r="C836" s="92">
        <f t="shared" si="62"/>
        <v>29676.34</v>
      </c>
      <c r="D836" s="92">
        <f t="shared" ref="D836:N836" si="95">D727+D617</f>
        <v>9163.19</v>
      </c>
      <c r="E836" s="92">
        <f t="shared" si="95"/>
        <v>8491.89</v>
      </c>
      <c r="F836" s="92">
        <f t="shared" si="95"/>
        <v>302.69</v>
      </c>
      <c r="G836" s="92">
        <f t="shared" si="95"/>
        <v>156.38</v>
      </c>
      <c r="H836" s="92">
        <f t="shared" si="95"/>
        <v>147.75</v>
      </c>
      <c r="I836" s="92">
        <f t="shared" si="95"/>
        <v>191.71</v>
      </c>
      <c r="J836" s="92">
        <f t="shared" si="95"/>
        <v>0</v>
      </c>
      <c r="K836" s="92">
        <f t="shared" si="95"/>
        <v>11222.73</v>
      </c>
      <c r="L836" s="92">
        <f t="shared" si="95"/>
        <v>0</v>
      </c>
      <c r="M836" s="92">
        <f t="shared" si="95"/>
        <v>0</v>
      </c>
      <c r="N836" s="92">
        <f t="shared" si="95"/>
        <v>0</v>
      </c>
      <c r="O836" s="92">
        <f t="shared" si="90"/>
        <v>0</v>
      </c>
      <c r="P836" s="117">
        <f t="shared" si="75"/>
        <v>0</v>
      </c>
    </row>
    <row r="837" spans="1:16" x14ac:dyDescent="0.3">
      <c r="A837" s="146"/>
      <c r="B837" s="94">
        <v>43770</v>
      </c>
      <c r="C837" s="92">
        <f t="shared" si="62"/>
        <v>32642.559999999998</v>
      </c>
      <c r="D837" s="92">
        <f t="shared" ref="D837:N837" si="96">D728+D618</f>
        <v>13149.05</v>
      </c>
      <c r="E837" s="92">
        <f t="shared" si="96"/>
        <v>6602.23</v>
      </c>
      <c r="F837" s="92">
        <f t="shared" si="96"/>
        <v>739.69</v>
      </c>
      <c r="G837" s="92">
        <f t="shared" si="96"/>
        <v>129.07</v>
      </c>
      <c r="H837" s="92">
        <f t="shared" si="96"/>
        <v>0</v>
      </c>
      <c r="I837" s="92">
        <f t="shared" si="96"/>
        <v>33.08</v>
      </c>
      <c r="J837" s="92">
        <f t="shared" si="96"/>
        <v>0</v>
      </c>
      <c r="K837" s="92">
        <f t="shared" si="96"/>
        <v>11989.44</v>
      </c>
      <c r="L837" s="92">
        <f t="shared" si="96"/>
        <v>0</v>
      </c>
      <c r="M837" s="92">
        <f t="shared" si="96"/>
        <v>0</v>
      </c>
      <c r="N837" s="92">
        <f t="shared" si="96"/>
        <v>0</v>
      </c>
      <c r="O837" s="92">
        <f t="shared" si="90"/>
        <v>0</v>
      </c>
      <c r="P837" s="117">
        <f t="shared" si="75"/>
        <v>0</v>
      </c>
    </row>
    <row r="838" spans="1:16" x14ac:dyDescent="0.3">
      <c r="A838" s="146"/>
      <c r="B838" s="94">
        <v>43800</v>
      </c>
      <c r="C838" s="92">
        <f t="shared" si="62"/>
        <v>42042.63</v>
      </c>
      <c r="D838" s="92">
        <f t="shared" ref="D838:N838" si="97">D729+D619</f>
        <v>11331.08</v>
      </c>
      <c r="E838" s="92">
        <f t="shared" si="97"/>
        <v>11552.849999999999</v>
      </c>
      <c r="F838" s="92">
        <f t="shared" si="97"/>
        <v>328.81</v>
      </c>
      <c r="G838" s="92">
        <f t="shared" si="97"/>
        <v>567.27</v>
      </c>
      <c r="H838" s="92">
        <f t="shared" si="97"/>
        <v>127</v>
      </c>
      <c r="I838" s="92">
        <f t="shared" si="97"/>
        <v>12.32</v>
      </c>
      <c r="J838" s="92">
        <f t="shared" si="97"/>
        <v>0</v>
      </c>
      <c r="K838" s="92">
        <f t="shared" si="97"/>
        <v>9507.9500000000007</v>
      </c>
      <c r="L838" s="92">
        <f t="shared" si="97"/>
        <v>2228.4</v>
      </c>
      <c r="M838" s="92">
        <f t="shared" si="97"/>
        <v>240</v>
      </c>
      <c r="N838" s="92">
        <f t="shared" si="97"/>
        <v>0</v>
      </c>
      <c r="O838" s="92">
        <f t="shared" si="90"/>
        <v>6146.95</v>
      </c>
      <c r="P838" s="119">
        <f t="shared" si="75"/>
        <v>0</v>
      </c>
    </row>
    <row r="839" spans="1:16" ht="15.75" customHeight="1" x14ac:dyDescent="0.3">
      <c r="A839" s="146"/>
      <c r="B839" s="94">
        <v>43831</v>
      </c>
      <c r="C839" s="92">
        <f t="shared" si="62"/>
        <v>44029.1</v>
      </c>
      <c r="D839" s="92">
        <f t="shared" ref="D839:N839" si="98">D730+D620</f>
        <v>19978.57</v>
      </c>
      <c r="E839" s="92">
        <f t="shared" si="98"/>
        <v>10962.3</v>
      </c>
      <c r="F839" s="92">
        <f t="shared" si="98"/>
        <v>547.13</v>
      </c>
      <c r="G839" s="92">
        <f t="shared" si="98"/>
        <v>136.22999999999999</v>
      </c>
      <c r="H839" s="92">
        <f t="shared" si="98"/>
        <v>594.62</v>
      </c>
      <c r="I839" s="92">
        <f t="shared" si="98"/>
        <v>54.18</v>
      </c>
      <c r="J839" s="92">
        <f t="shared" si="98"/>
        <v>0</v>
      </c>
      <c r="K839" s="92">
        <f t="shared" si="98"/>
        <v>11756.07</v>
      </c>
      <c r="L839" s="92">
        <f t="shared" si="98"/>
        <v>0</v>
      </c>
      <c r="M839" s="92">
        <f t="shared" si="98"/>
        <v>0</v>
      </c>
      <c r="N839" s="92">
        <f t="shared" si="98"/>
        <v>0</v>
      </c>
      <c r="O839" s="92">
        <f t="shared" si="90"/>
        <v>0</v>
      </c>
      <c r="P839" s="119">
        <f t="shared" si="75"/>
        <v>0</v>
      </c>
    </row>
    <row r="840" spans="1:16" x14ac:dyDescent="0.3">
      <c r="A840" s="146"/>
      <c r="B840" s="94">
        <v>43862</v>
      </c>
      <c r="C840" s="92">
        <f t="shared" si="62"/>
        <v>31485.129999999997</v>
      </c>
      <c r="D840" s="92">
        <f t="shared" ref="D840:N840" si="99">D731+D621</f>
        <v>12940.13</v>
      </c>
      <c r="E840" s="92">
        <f t="shared" si="99"/>
        <v>4165.9400000000005</v>
      </c>
      <c r="F840" s="92">
        <f t="shared" si="99"/>
        <v>503.49</v>
      </c>
      <c r="G840" s="92">
        <f t="shared" si="99"/>
        <v>12.04</v>
      </c>
      <c r="H840" s="92">
        <f t="shared" si="99"/>
        <v>33</v>
      </c>
      <c r="I840" s="92">
        <f t="shared" si="99"/>
        <v>13.67</v>
      </c>
      <c r="J840" s="92">
        <f t="shared" si="99"/>
        <v>0</v>
      </c>
      <c r="K840" s="92">
        <f t="shared" si="99"/>
        <v>13816.859999999999</v>
      </c>
      <c r="L840" s="92">
        <f t="shared" si="99"/>
        <v>0</v>
      </c>
      <c r="M840" s="92">
        <f t="shared" si="99"/>
        <v>0</v>
      </c>
      <c r="N840" s="92">
        <f t="shared" si="99"/>
        <v>0</v>
      </c>
      <c r="O840" s="92">
        <f t="shared" si="90"/>
        <v>0</v>
      </c>
      <c r="P840" s="119">
        <f t="shared" si="75"/>
        <v>0</v>
      </c>
    </row>
    <row r="841" spans="1:16" x14ac:dyDescent="0.3">
      <c r="A841" s="146"/>
      <c r="B841" s="94">
        <v>43891</v>
      </c>
      <c r="C841" s="92">
        <f t="shared" si="62"/>
        <v>11679.69</v>
      </c>
      <c r="D841" s="92">
        <f t="shared" ref="D841:N841" si="100">D732+D622</f>
        <v>9261.9500000000007</v>
      </c>
      <c r="E841" s="92">
        <f t="shared" si="100"/>
        <v>0</v>
      </c>
      <c r="F841" s="92">
        <f t="shared" si="100"/>
        <v>0</v>
      </c>
      <c r="G841" s="92">
        <f t="shared" si="100"/>
        <v>0</v>
      </c>
      <c r="H841" s="92">
        <f t="shared" si="100"/>
        <v>0</v>
      </c>
      <c r="I841" s="92">
        <f t="shared" si="100"/>
        <v>9.6</v>
      </c>
      <c r="J841" s="92">
        <f t="shared" si="100"/>
        <v>0</v>
      </c>
      <c r="K841" s="92">
        <f t="shared" si="100"/>
        <v>2408.14</v>
      </c>
      <c r="L841" s="92">
        <f t="shared" si="100"/>
        <v>0</v>
      </c>
      <c r="M841" s="92">
        <f t="shared" si="100"/>
        <v>0</v>
      </c>
      <c r="N841" s="92">
        <f t="shared" si="100"/>
        <v>0</v>
      </c>
      <c r="O841" s="92">
        <f t="shared" si="90"/>
        <v>0</v>
      </c>
      <c r="P841" s="119">
        <f t="shared" si="75"/>
        <v>0</v>
      </c>
    </row>
    <row r="842" spans="1:16" x14ac:dyDescent="0.3">
      <c r="A842" s="146"/>
      <c r="B842" s="94">
        <v>43922</v>
      </c>
      <c r="C842" s="92">
        <f t="shared" si="62"/>
        <v>0</v>
      </c>
      <c r="D842" s="92">
        <f t="shared" ref="D842:N842" si="101">D733+D623</f>
        <v>0</v>
      </c>
      <c r="E842" s="92">
        <f t="shared" si="101"/>
        <v>0</v>
      </c>
      <c r="F842" s="92">
        <f t="shared" si="101"/>
        <v>0</v>
      </c>
      <c r="G842" s="92">
        <f t="shared" si="101"/>
        <v>0</v>
      </c>
      <c r="H842" s="92">
        <f t="shared" si="101"/>
        <v>0</v>
      </c>
      <c r="I842" s="92">
        <f t="shared" si="101"/>
        <v>0</v>
      </c>
      <c r="J842" s="92">
        <f t="shared" si="101"/>
        <v>0</v>
      </c>
      <c r="K842" s="92">
        <f t="shared" si="101"/>
        <v>0</v>
      </c>
      <c r="L842" s="92">
        <f t="shared" si="101"/>
        <v>0</v>
      </c>
      <c r="M842" s="92">
        <f t="shared" si="101"/>
        <v>0</v>
      </c>
      <c r="N842" s="92">
        <f t="shared" si="101"/>
        <v>0</v>
      </c>
      <c r="O842" s="92">
        <f t="shared" si="90"/>
        <v>0</v>
      </c>
      <c r="P842" s="119">
        <f t="shared" si="75"/>
        <v>0</v>
      </c>
    </row>
    <row r="843" spans="1:16" x14ac:dyDescent="0.3">
      <c r="A843" s="146"/>
      <c r="B843" s="94">
        <v>43952</v>
      </c>
      <c r="C843" s="92">
        <f t="shared" ref="C843" si="102">SUM(D843:P843)</f>
        <v>20409.68</v>
      </c>
      <c r="D843" s="92">
        <f t="shared" ref="D843:N843" si="103">D734+D624</f>
        <v>1394.84</v>
      </c>
      <c r="E843" s="92">
        <f t="shared" si="103"/>
        <v>1646.22</v>
      </c>
      <c r="F843" s="92">
        <f t="shared" si="103"/>
        <v>344.8</v>
      </c>
      <c r="G843" s="92">
        <f t="shared" si="103"/>
        <v>0</v>
      </c>
      <c r="H843" s="92">
        <f t="shared" si="103"/>
        <v>359</v>
      </c>
      <c r="I843" s="92">
        <f t="shared" si="103"/>
        <v>192.82999999999998</v>
      </c>
      <c r="J843" s="92">
        <f t="shared" si="103"/>
        <v>0</v>
      </c>
      <c r="K843" s="92">
        <f t="shared" si="103"/>
        <v>16471.990000000002</v>
      </c>
      <c r="L843" s="92">
        <f t="shared" si="103"/>
        <v>0</v>
      </c>
      <c r="M843" s="92">
        <f t="shared" si="103"/>
        <v>0</v>
      </c>
      <c r="N843" s="92">
        <f t="shared" si="103"/>
        <v>0</v>
      </c>
      <c r="O843" s="92">
        <f t="shared" si="90"/>
        <v>0</v>
      </c>
      <c r="P843" s="117">
        <f t="shared" si="75"/>
        <v>0</v>
      </c>
    </row>
    <row r="844" spans="1:16" x14ac:dyDescent="0.3">
      <c r="A844" s="146"/>
      <c r="B844" s="94">
        <v>43983</v>
      </c>
      <c r="C844" s="92">
        <f t="shared" ref="C844" si="104">SUM(D844:P844)</f>
        <v>9429.5399999999991</v>
      </c>
      <c r="D844" s="92">
        <f t="shared" ref="D844:N844" si="105">D735+D625</f>
        <v>1906.78</v>
      </c>
      <c r="E844" s="92">
        <f t="shared" si="105"/>
        <v>72.25</v>
      </c>
      <c r="F844" s="92">
        <f t="shared" si="105"/>
        <v>416</v>
      </c>
      <c r="G844" s="92">
        <f t="shared" si="105"/>
        <v>0</v>
      </c>
      <c r="H844" s="92">
        <f t="shared" si="105"/>
        <v>0</v>
      </c>
      <c r="I844" s="92">
        <f t="shared" si="105"/>
        <v>39.69</v>
      </c>
      <c r="J844" s="92">
        <f t="shared" si="105"/>
        <v>0</v>
      </c>
      <c r="K844" s="92">
        <f t="shared" si="105"/>
        <v>6994.82</v>
      </c>
      <c r="L844" s="92">
        <f t="shared" si="105"/>
        <v>0</v>
      </c>
      <c r="M844" s="92">
        <f t="shared" si="105"/>
        <v>0</v>
      </c>
      <c r="N844" s="92">
        <f t="shared" si="105"/>
        <v>0</v>
      </c>
      <c r="O844" s="92">
        <f t="shared" si="90"/>
        <v>0</v>
      </c>
      <c r="P844" s="117">
        <f t="shared" si="75"/>
        <v>0</v>
      </c>
    </row>
    <row r="845" spans="1:16" x14ac:dyDescent="0.3">
      <c r="A845" s="146"/>
      <c r="B845" s="94">
        <v>44013</v>
      </c>
      <c r="C845" s="92">
        <f t="shared" ref="C845" si="106">SUM(D845:P845)</f>
        <v>12561.7</v>
      </c>
      <c r="D845" s="92">
        <f t="shared" ref="D845:N845" si="107">D736+D626</f>
        <v>6064.27</v>
      </c>
      <c r="E845" s="92">
        <f t="shared" si="107"/>
        <v>180.47</v>
      </c>
      <c r="F845" s="92">
        <f t="shared" si="107"/>
        <v>462.22</v>
      </c>
      <c r="G845" s="92">
        <f t="shared" si="107"/>
        <v>0</v>
      </c>
      <c r="H845" s="92">
        <f t="shared" si="107"/>
        <v>0</v>
      </c>
      <c r="I845" s="92">
        <f t="shared" si="107"/>
        <v>32</v>
      </c>
      <c r="J845" s="92">
        <f t="shared" si="107"/>
        <v>0</v>
      </c>
      <c r="K845" s="92">
        <f t="shared" si="107"/>
        <v>5822.74</v>
      </c>
      <c r="L845" s="92">
        <f t="shared" si="107"/>
        <v>0</v>
      </c>
      <c r="M845" s="92">
        <f t="shared" si="107"/>
        <v>0</v>
      </c>
      <c r="N845" s="92">
        <f t="shared" si="107"/>
        <v>0</v>
      </c>
      <c r="O845" s="92">
        <f t="shared" si="90"/>
        <v>0</v>
      </c>
      <c r="P845" s="117">
        <f t="shared" si="75"/>
        <v>0</v>
      </c>
    </row>
    <row r="846" spans="1:16" x14ac:dyDescent="0.3">
      <c r="A846" s="146"/>
      <c r="B846" s="94">
        <v>44044</v>
      </c>
      <c r="C846" s="92">
        <f t="shared" ref="C846" si="108">SUM(D846:P846)</f>
        <v>14461.65</v>
      </c>
      <c r="D846" s="92">
        <f t="shared" ref="D846:N846" si="109">D737+D627</f>
        <v>3923.3</v>
      </c>
      <c r="E846" s="92">
        <f t="shared" si="109"/>
        <v>4079.29</v>
      </c>
      <c r="F846" s="92">
        <f t="shared" si="109"/>
        <v>390</v>
      </c>
      <c r="G846" s="92">
        <f t="shared" si="109"/>
        <v>0</v>
      </c>
      <c r="H846" s="92">
        <f t="shared" si="109"/>
        <v>182</v>
      </c>
      <c r="I846" s="92">
        <f t="shared" si="109"/>
        <v>153.72999999999999</v>
      </c>
      <c r="J846" s="92">
        <f t="shared" si="109"/>
        <v>0</v>
      </c>
      <c r="K846" s="92">
        <f t="shared" si="109"/>
        <v>5638.33</v>
      </c>
      <c r="L846" s="92">
        <f t="shared" si="109"/>
        <v>10</v>
      </c>
      <c r="M846" s="92">
        <f t="shared" si="109"/>
        <v>0</v>
      </c>
      <c r="N846" s="92">
        <f t="shared" si="109"/>
        <v>0</v>
      </c>
      <c r="O846" s="92">
        <f t="shared" si="90"/>
        <v>0</v>
      </c>
      <c r="P846" s="117">
        <f t="shared" si="75"/>
        <v>85</v>
      </c>
    </row>
    <row r="847" spans="1:16" x14ac:dyDescent="0.3">
      <c r="A847" s="146"/>
      <c r="B847" s="94">
        <v>44075</v>
      </c>
      <c r="C847" s="92">
        <f t="shared" ref="C847" si="110">SUM(D847:P847)</f>
        <v>40726.910000000003</v>
      </c>
      <c r="D847" s="92">
        <f t="shared" ref="D847:N847" si="111">D738+D628</f>
        <v>8838.2200000000012</v>
      </c>
      <c r="E847" s="92">
        <f t="shared" si="111"/>
        <v>15968.91</v>
      </c>
      <c r="F847" s="92">
        <f t="shared" si="111"/>
        <v>144.63999999999999</v>
      </c>
      <c r="G847" s="92">
        <f t="shared" si="111"/>
        <v>3.57</v>
      </c>
      <c r="H847" s="92">
        <f t="shared" si="111"/>
        <v>362.45</v>
      </c>
      <c r="I847" s="92">
        <f t="shared" si="111"/>
        <v>93.26</v>
      </c>
      <c r="J847" s="92">
        <f t="shared" si="111"/>
        <v>0</v>
      </c>
      <c r="K847" s="92">
        <f t="shared" si="111"/>
        <v>15230.86</v>
      </c>
      <c r="L847" s="92">
        <f t="shared" si="111"/>
        <v>0</v>
      </c>
      <c r="M847" s="92">
        <f t="shared" si="111"/>
        <v>0</v>
      </c>
      <c r="N847" s="92">
        <f t="shared" si="111"/>
        <v>0</v>
      </c>
      <c r="O847" s="92">
        <f t="shared" si="90"/>
        <v>0</v>
      </c>
      <c r="P847" s="117">
        <f t="shared" si="75"/>
        <v>85</v>
      </c>
    </row>
    <row r="848" spans="1:16" x14ac:dyDescent="0.3">
      <c r="A848" s="146"/>
      <c r="B848" s="94">
        <v>44105</v>
      </c>
      <c r="C848" s="92">
        <f t="shared" ref="C848" si="112">SUM(D848:P848)</f>
        <v>20002.150000000001</v>
      </c>
      <c r="D848" s="92">
        <f t="shared" ref="D848:N848" si="113">D739+D629</f>
        <v>5804.29</v>
      </c>
      <c r="E848" s="92">
        <f t="shared" si="113"/>
        <v>4507.8599999999997</v>
      </c>
      <c r="F848" s="92">
        <f t="shared" si="113"/>
        <v>0</v>
      </c>
      <c r="G848" s="92">
        <f t="shared" si="113"/>
        <v>17.100000000000001</v>
      </c>
      <c r="H848" s="92">
        <f t="shared" si="113"/>
        <v>1308.5999999999999</v>
      </c>
      <c r="I848" s="92">
        <f t="shared" si="113"/>
        <v>199.87</v>
      </c>
      <c r="J848" s="92">
        <f t="shared" si="113"/>
        <v>0</v>
      </c>
      <c r="K848" s="92">
        <f t="shared" si="113"/>
        <v>8164.43</v>
      </c>
      <c r="L848" s="92">
        <f t="shared" si="113"/>
        <v>0</v>
      </c>
      <c r="M848" s="92">
        <f t="shared" si="113"/>
        <v>0</v>
      </c>
      <c r="N848" s="92">
        <f t="shared" si="113"/>
        <v>0</v>
      </c>
      <c r="O848" s="92">
        <f t="shared" si="90"/>
        <v>0</v>
      </c>
      <c r="P848" s="117">
        <f t="shared" si="75"/>
        <v>0</v>
      </c>
    </row>
    <row r="849" spans="1:16" x14ac:dyDescent="0.3">
      <c r="A849" s="146"/>
      <c r="B849" s="94">
        <v>44136</v>
      </c>
      <c r="C849" s="92">
        <f t="shared" ref="C849" si="114">SUM(D849:P849)</f>
        <v>7696.65</v>
      </c>
      <c r="D849" s="92">
        <f t="shared" ref="D849:N849" si="115">D740+D630</f>
        <v>1537.84</v>
      </c>
      <c r="E849" s="92">
        <f t="shared" si="115"/>
        <v>739.25</v>
      </c>
      <c r="F849" s="92">
        <f t="shared" si="115"/>
        <v>280</v>
      </c>
      <c r="G849" s="92">
        <f t="shared" si="115"/>
        <v>0</v>
      </c>
      <c r="H849" s="92">
        <f t="shared" si="115"/>
        <v>0</v>
      </c>
      <c r="I849" s="92">
        <f t="shared" si="115"/>
        <v>34.619999999999997</v>
      </c>
      <c r="J849" s="92">
        <f t="shared" si="115"/>
        <v>0</v>
      </c>
      <c r="K849" s="92">
        <f t="shared" si="115"/>
        <v>5104.9399999999996</v>
      </c>
      <c r="L849" s="92">
        <f t="shared" si="115"/>
        <v>0</v>
      </c>
      <c r="M849" s="92">
        <f t="shared" si="115"/>
        <v>0</v>
      </c>
      <c r="N849" s="92">
        <f t="shared" si="115"/>
        <v>0</v>
      </c>
      <c r="O849" s="92">
        <f t="shared" si="90"/>
        <v>0</v>
      </c>
      <c r="P849" s="117">
        <f t="shared" si="75"/>
        <v>0</v>
      </c>
    </row>
    <row r="850" spans="1:16" x14ac:dyDescent="0.3">
      <c r="A850" s="146"/>
      <c r="B850" s="94">
        <v>44166</v>
      </c>
      <c r="C850" s="92">
        <f t="shared" ref="C850" si="116">SUM(D850:P850)</f>
        <v>17574.400000000001</v>
      </c>
      <c r="D850" s="92">
        <f t="shared" ref="D850:N850" si="117">D741+D631</f>
        <v>4048.26</v>
      </c>
      <c r="E850" s="92">
        <f t="shared" si="117"/>
        <v>5648.44</v>
      </c>
      <c r="F850" s="92">
        <f t="shared" si="117"/>
        <v>0</v>
      </c>
      <c r="G850" s="92">
        <f t="shared" si="117"/>
        <v>0</v>
      </c>
      <c r="H850" s="92">
        <f t="shared" si="117"/>
        <v>48</v>
      </c>
      <c r="I850" s="92">
        <f t="shared" si="117"/>
        <v>0</v>
      </c>
      <c r="J850" s="92">
        <f t="shared" si="117"/>
        <v>0</v>
      </c>
      <c r="K850" s="92">
        <f t="shared" si="117"/>
        <v>7814.7000000000007</v>
      </c>
      <c r="L850" s="92">
        <f t="shared" si="117"/>
        <v>0</v>
      </c>
      <c r="M850" s="92">
        <f t="shared" si="117"/>
        <v>0</v>
      </c>
      <c r="N850" s="92">
        <f t="shared" si="117"/>
        <v>0</v>
      </c>
      <c r="O850" s="92">
        <f t="shared" si="90"/>
        <v>0</v>
      </c>
      <c r="P850" s="117">
        <f t="shared" si="75"/>
        <v>15</v>
      </c>
    </row>
    <row r="851" spans="1:16" x14ac:dyDescent="0.3">
      <c r="A851" s="146"/>
      <c r="B851" s="94">
        <v>44197</v>
      </c>
      <c r="C851" s="92">
        <f t="shared" ref="C851" si="118">SUM(D851:P851)</f>
        <v>14147.54</v>
      </c>
      <c r="D851" s="92">
        <f t="shared" ref="D851:N851" si="119">D742+D632</f>
        <v>3700.08</v>
      </c>
      <c r="E851" s="92">
        <f t="shared" si="119"/>
        <v>3869.9</v>
      </c>
      <c r="F851" s="92">
        <f t="shared" si="119"/>
        <v>616</v>
      </c>
      <c r="G851" s="92">
        <f t="shared" si="119"/>
        <v>0.38</v>
      </c>
      <c r="H851" s="92">
        <f t="shared" si="119"/>
        <v>0</v>
      </c>
      <c r="I851" s="92">
        <f t="shared" si="119"/>
        <v>0</v>
      </c>
      <c r="J851" s="92">
        <f t="shared" si="119"/>
        <v>0</v>
      </c>
      <c r="K851" s="92">
        <f t="shared" si="119"/>
        <v>5961.18</v>
      </c>
      <c r="L851" s="92">
        <f t="shared" si="119"/>
        <v>0</v>
      </c>
      <c r="M851" s="92">
        <f t="shared" si="119"/>
        <v>0</v>
      </c>
      <c r="N851" s="92">
        <f t="shared" si="119"/>
        <v>0</v>
      </c>
      <c r="O851" s="92">
        <f t="shared" si="90"/>
        <v>0</v>
      </c>
      <c r="P851" s="117">
        <f t="shared" si="75"/>
        <v>0</v>
      </c>
    </row>
    <row r="852" spans="1:16" x14ac:dyDescent="0.3">
      <c r="A852" s="146"/>
      <c r="B852" s="94">
        <v>44228</v>
      </c>
      <c r="C852" s="92">
        <f t="shared" ref="C852" si="120">SUM(D852:P852)</f>
        <v>27373.01</v>
      </c>
      <c r="D852" s="92">
        <f t="shared" ref="D852:N852" si="121">D743+D633</f>
        <v>6371.2</v>
      </c>
      <c r="E852" s="92">
        <f t="shared" si="121"/>
        <v>959.31</v>
      </c>
      <c r="F852" s="92">
        <f t="shared" si="121"/>
        <v>184</v>
      </c>
      <c r="G852" s="92">
        <f t="shared" si="121"/>
        <v>0</v>
      </c>
      <c r="H852" s="92">
        <f t="shared" si="121"/>
        <v>89</v>
      </c>
      <c r="I852" s="92">
        <f t="shared" si="121"/>
        <v>14244.15</v>
      </c>
      <c r="J852" s="92">
        <f t="shared" si="121"/>
        <v>0</v>
      </c>
      <c r="K852" s="92">
        <f t="shared" si="121"/>
        <v>5525.3499999999995</v>
      </c>
      <c r="L852" s="92">
        <f t="shared" si="121"/>
        <v>0</v>
      </c>
      <c r="M852" s="92">
        <f t="shared" si="121"/>
        <v>0</v>
      </c>
      <c r="N852" s="92">
        <f t="shared" si="121"/>
        <v>0</v>
      </c>
      <c r="O852" s="92">
        <f t="shared" si="90"/>
        <v>0</v>
      </c>
      <c r="P852" s="117">
        <f t="shared" si="75"/>
        <v>0</v>
      </c>
    </row>
    <row r="853" spans="1:16" x14ac:dyDescent="0.3">
      <c r="A853" s="146"/>
      <c r="B853" s="94">
        <v>44256</v>
      </c>
      <c r="C853" s="92">
        <f t="shared" ref="C853" si="122">SUM(D853:P853)</f>
        <v>18434.68</v>
      </c>
      <c r="D853" s="92">
        <f t="shared" ref="D853:N853" si="123">D744+D634</f>
        <v>5762.3899999999994</v>
      </c>
      <c r="E853" s="92">
        <f t="shared" si="123"/>
        <v>3073.9300000000003</v>
      </c>
      <c r="F853" s="92">
        <f t="shared" si="123"/>
        <v>1976.12</v>
      </c>
      <c r="G853" s="92">
        <f t="shared" si="123"/>
        <v>31.68</v>
      </c>
      <c r="H853" s="92">
        <f t="shared" si="123"/>
        <v>288</v>
      </c>
      <c r="I853" s="92">
        <f t="shared" si="123"/>
        <v>332.64</v>
      </c>
      <c r="J853" s="92">
        <f t="shared" si="123"/>
        <v>0</v>
      </c>
      <c r="K853" s="92">
        <f t="shared" si="123"/>
        <v>6969.92</v>
      </c>
      <c r="L853" s="92">
        <f t="shared" si="123"/>
        <v>0</v>
      </c>
      <c r="M853" s="92">
        <f t="shared" si="123"/>
        <v>0</v>
      </c>
      <c r="N853" s="92">
        <f t="shared" si="123"/>
        <v>0</v>
      </c>
      <c r="O853" s="92">
        <f t="shared" si="90"/>
        <v>0</v>
      </c>
      <c r="P853" s="117">
        <f t="shared" si="75"/>
        <v>0</v>
      </c>
    </row>
    <row r="854" spans="1:16" x14ac:dyDescent="0.3">
      <c r="A854" s="146"/>
      <c r="B854" s="94">
        <v>44287</v>
      </c>
      <c r="C854" s="92">
        <f t="shared" ref="C854" si="124">SUM(D854:P854)</f>
        <v>12529.880000000001</v>
      </c>
      <c r="D854" s="92">
        <f t="shared" ref="D854:N854" si="125">D745+D635</f>
        <v>3798.6</v>
      </c>
      <c r="E854" s="92">
        <f t="shared" si="125"/>
        <v>1910.18</v>
      </c>
      <c r="F854" s="92">
        <f t="shared" si="125"/>
        <v>0</v>
      </c>
      <c r="G854" s="92">
        <f t="shared" si="125"/>
        <v>0</v>
      </c>
      <c r="H854" s="92">
        <f t="shared" si="125"/>
        <v>0</v>
      </c>
      <c r="I854" s="92">
        <f t="shared" si="125"/>
        <v>0</v>
      </c>
      <c r="J854" s="92">
        <f t="shared" si="125"/>
        <v>0</v>
      </c>
      <c r="K854" s="92">
        <f t="shared" si="125"/>
        <v>6806.1</v>
      </c>
      <c r="L854" s="92">
        <f t="shared" si="125"/>
        <v>15</v>
      </c>
      <c r="M854" s="92">
        <f t="shared" si="125"/>
        <v>0</v>
      </c>
      <c r="N854" s="92">
        <f t="shared" si="125"/>
        <v>0</v>
      </c>
      <c r="O854" s="92">
        <f t="shared" si="90"/>
        <v>0</v>
      </c>
      <c r="P854" s="117">
        <f t="shared" si="75"/>
        <v>0</v>
      </c>
    </row>
    <row r="855" spans="1:16" x14ac:dyDescent="0.3">
      <c r="A855" s="146"/>
      <c r="B855" s="94">
        <v>44317</v>
      </c>
      <c r="C855" s="92">
        <f t="shared" ref="C855:C856" si="126">SUM(D855:P855)</f>
        <v>11325.060000000001</v>
      </c>
      <c r="D855" s="92">
        <f t="shared" ref="D855:N855" si="127">D746+D636</f>
        <v>983.94</v>
      </c>
      <c r="E855" s="92">
        <f t="shared" si="127"/>
        <v>1331.0500000000002</v>
      </c>
      <c r="F855" s="92">
        <f t="shared" si="127"/>
        <v>144</v>
      </c>
      <c r="G855" s="92">
        <f t="shared" si="127"/>
        <v>5.04</v>
      </c>
      <c r="H855" s="92">
        <f t="shared" si="127"/>
        <v>544.70000000000005</v>
      </c>
      <c r="I855" s="92">
        <f t="shared" si="127"/>
        <v>0</v>
      </c>
      <c r="J855" s="92">
        <f t="shared" si="127"/>
        <v>0</v>
      </c>
      <c r="K855" s="92">
        <f t="shared" si="127"/>
        <v>8316.33</v>
      </c>
      <c r="L855" s="92">
        <f t="shared" si="127"/>
        <v>0</v>
      </c>
      <c r="M855" s="92">
        <f t="shared" si="127"/>
        <v>0</v>
      </c>
      <c r="N855" s="92">
        <f t="shared" si="127"/>
        <v>0</v>
      </c>
      <c r="O855" s="92">
        <f t="shared" si="90"/>
        <v>0</v>
      </c>
      <c r="P855" s="117">
        <f t="shared" si="75"/>
        <v>0</v>
      </c>
    </row>
    <row r="856" spans="1:16" x14ac:dyDescent="0.3">
      <c r="A856" s="146"/>
      <c r="B856" s="94">
        <v>44348</v>
      </c>
      <c r="C856" s="92">
        <f t="shared" si="126"/>
        <v>10648.02</v>
      </c>
      <c r="D856" s="92">
        <f t="shared" ref="D856:N856" si="128">D747+D637</f>
        <v>2477.58</v>
      </c>
      <c r="E856" s="92">
        <f t="shared" si="128"/>
        <v>1561.62</v>
      </c>
      <c r="F856" s="92">
        <f t="shared" si="128"/>
        <v>278.08</v>
      </c>
      <c r="G856" s="92">
        <f t="shared" si="128"/>
        <v>121.41</v>
      </c>
      <c r="H856" s="92">
        <f t="shared" si="128"/>
        <v>0</v>
      </c>
      <c r="I856" s="92">
        <f t="shared" si="128"/>
        <v>26.11</v>
      </c>
      <c r="J856" s="92">
        <f t="shared" si="128"/>
        <v>0</v>
      </c>
      <c r="K856" s="92">
        <f t="shared" si="128"/>
        <v>6183.22</v>
      </c>
      <c r="L856" s="92">
        <f t="shared" si="128"/>
        <v>0</v>
      </c>
      <c r="M856" s="92">
        <f t="shared" si="128"/>
        <v>0</v>
      </c>
      <c r="N856" s="92">
        <f t="shared" si="128"/>
        <v>0</v>
      </c>
      <c r="O856" s="92">
        <f t="shared" si="90"/>
        <v>0</v>
      </c>
      <c r="P856" s="117">
        <f t="shared" si="75"/>
        <v>0</v>
      </c>
    </row>
    <row r="857" spans="1:16" x14ac:dyDescent="0.3">
      <c r="A857" s="146"/>
      <c r="B857" s="94">
        <v>44378</v>
      </c>
      <c r="C857" s="92">
        <f t="shared" ref="C857" si="129">SUM(D857:P857)</f>
        <v>23215.73</v>
      </c>
      <c r="D857" s="92">
        <f t="shared" ref="D857:N857" si="130">D748+D638</f>
        <v>7297.78</v>
      </c>
      <c r="E857" s="92">
        <f t="shared" si="130"/>
        <v>543.69000000000005</v>
      </c>
      <c r="F857" s="92">
        <f t="shared" si="130"/>
        <v>7623.49</v>
      </c>
      <c r="G857" s="92">
        <f t="shared" si="130"/>
        <v>4.5199999999999996</v>
      </c>
      <c r="H857" s="92">
        <f t="shared" si="130"/>
        <v>0</v>
      </c>
      <c r="I857" s="92">
        <f t="shared" si="130"/>
        <v>4.54</v>
      </c>
      <c r="J857" s="92">
        <f t="shared" si="130"/>
        <v>0</v>
      </c>
      <c r="K857" s="92">
        <f t="shared" si="130"/>
        <v>7741.71</v>
      </c>
      <c r="L857" s="92">
        <f t="shared" si="130"/>
        <v>0</v>
      </c>
      <c r="M857" s="92">
        <f t="shared" si="130"/>
        <v>0</v>
      </c>
      <c r="N857" s="92">
        <f t="shared" si="130"/>
        <v>0</v>
      </c>
      <c r="O857" s="92">
        <f t="shared" si="90"/>
        <v>0</v>
      </c>
      <c r="P857" s="117">
        <f t="shared" si="75"/>
        <v>0</v>
      </c>
    </row>
    <row r="858" spans="1:16" x14ac:dyDescent="0.3">
      <c r="A858" s="146"/>
      <c r="B858" s="94">
        <v>44409</v>
      </c>
      <c r="C858" s="92">
        <f t="shared" ref="C858:C868" si="131">SUM(D858:P858)</f>
        <v>11115.320000000002</v>
      </c>
      <c r="D858" s="92">
        <f t="shared" ref="D858:N859" si="132">D749+D639</f>
        <v>1699.34</v>
      </c>
      <c r="E858" s="92">
        <f t="shared" si="132"/>
        <v>3893.17</v>
      </c>
      <c r="F858" s="92">
        <f t="shared" si="132"/>
        <v>0</v>
      </c>
      <c r="G858" s="92">
        <f t="shared" si="132"/>
        <v>13.8</v>
      </c>
      <c r="H858" s="92">
        <f t="shared" si="132"/>
        <v>0</v>
      </c>
      <c r="I858" s="92">
        <f t="shared" si="132"/>
        <v>242.02</v>
      </c>
      <c r="J858" s="92">
        <f t="shared" si="132"/>
        <v>0</v>
      </c>
      <c r="K858" s="92">
        <f t="shared" si="132"/>
        <v>5264.34</v>
      </c>
      <c r="L858" s="92">
        <f t="shared" si="132"/>
        <v>0</v>
      </c>
      <c r="M858" s="92">
        <f t="shared" si="132"/>
        <v>2.65</v>
      </c>
      <c r="N858" s="92">
        <f t="shared" si="132"/>
        <v>0</v>
      </c>
      <c r="O858" s="92">
        <f t="shared" si="90"/>
        <v>0</v>
      </c>
      <c r="P858" s="117">
        <f t="shared" si="75"/>
        <v>0</v>
      </c>
    </row>
    <row r="859" spans="1:16" x14ac:dyDescent="0.3">
      <c r="A859" s="146"/>
      <c r="B859" s="94">
        <v>44440</v>
      </c>
      <c r="C859" s="92">
        <f t="shared" si="131"/>
        <v>30147.940000000002</v>
      </c>
      <c r="D859" s="92">
        <f t="shared" si="132"/>
        <v>7950.41</v>
      </c>
      <c r="E859" s="92">
        <f t="shared" si="132"/>
        <v>12050.480000000001</v>
      </c>
      <c r="F859" s="92">
        <f t="shared" si="132"/>
        <v>33</v>
      </c>
      <c r="G859" s="92">
        <f t="shared" si="132"/>
        <v>18.34</v>
      </c>
      <c r="H859" s="92">
        <f t="shared" si="132"/>
        <v>540.38</v>
      </c>
      <c r="I859" s="92">
        <f t="shared" si="132"/>
        <v>116.47</v>
      </c>
      <c r="J859" s="92">
        <f t="shared" si="132"/>
        <v>0</v>
      </c>
      <c r="K859" s="92">
        <f t="shared" si="132"/>
        <v>9438.86</v>
      </c>
      <c r="L859" s="92">
        <f t="shared" si="132"/>
        <v>0</v>
      </c>
      <c r="M859" s="92">
        <f t="shared" si="132"/>
        <v>0</v>
      </c>
      <c r="N859" s="92">
        <f t="shared" si="132"/>
        <v>0</v>
      </c>
      <c r="O859" s="92">
        <f t="shared" si="90"/>
        <v>0</v>
      </c>
      <c r="P859" s="117">
        <f t="shared" si="75"/>
        <v>0</v>
      </c>
    </row>
    <row r="860" spans="1:16" x14ac:dyDescent="0.3">
      <c r="A860" s="146"/>
      <c r="B860" s="94">
        <v>44470</v>
      </c>
      <c r="C860" s="92">
        <f t="shared" si="131"/>
        <v>30449.96</v>
      </c>
      <c r="D860" s="92">
        <f t="shared" ref="D860:N860" si="133">D751+D641</f>
        <v>10078.57</v>
      </c>
      <c r="E860" s="92">
        <f t="shared" si="133"/>
        <v>4178.9800000000005</v>
      </c>
      <c r="F860" s="92">
        <f t="shared" si="133"/>
        <v>423.21</v>
      </c>
      <c r="G860" s="92">
        <f t="shared" si="133"/>
        <v>0</v>
      </c>
      <c r="H860" s="92">
        <f t="shared" si="133"/>
        <v>344.41</v>
      </c>
      <c r="I860" s="92">
        <f t="shared" si="133"/>
        <v>0</v>
      </c>
      <c r="J860" s="92">
        <f t="shared" si="133"/>
        <v>0</v>
      </c>
      <c r="K860" s="92">
        <f t="shared" si="133"/>
        <v>15424.79</v>
      </c>
      <c r="L860" s="92">
        <f t="shared" si="133"/>
        <v>0</v>
      </c>
      <c r="M860" s="92">
        <f t="shared" si="133"/>
        <v>0</v>
      </c>
      <c r="N860" s="92">
        <f t="shared" si="133"/>
        <v>0</v>
      </c>
      <c r="O860" s="92">
        <f t="shared" si="90"/>
        <v>0</v>
      </c>
      <c r="P860" s="117">
        <f t="shared" si="75"/>
        <v>0</v>
      </c>
    </row>
    <row r="861" spans="1:16" x14ac:dyDescent="0.3">
      <c r="A861" s="146"/>
      <c r="B861" s="94">
        <v>44501</v>
      </c>
      <c r="C861" s="92">
        <f t="shared" si="131"/>
        <v>21297.91</v>
      </c>
      <c r="D861" s="92">
        <f t="shared" ref="D861:N861" si="134">D752+D642</f>
        <v>7482.3899999999994</v>
      </c>
      <c r="E861" s="92">
        <f t="shared" si="134"/>
        <v>3089.29</v>
      </c>
      <c r="F861" s="92">
        <f t="shared" si="134"/>
        <v>588.04</v>
      </c>
      <c r="G861" s="92">
        <f t="shared" si="134"/>
        <v>2.0499999999999998</v>
      </c>
      <c r="H861" s="92">
        <f t="shared" si="134"/>
        <v>746.74</v>
      </c>
      <c r="I861" s="92">
        <f t="shared" si="134"/>
        <v>12</v>
      </c>
      <c r="J861" s="92">
        <f t="shared" si="134"/>
        <v>0</v>
      </c>
      <c r="K861" s="92">
        <f t="shared" si="134"/>
        <v>9377.4</v>
      </c>
      <c r="L861" s="92">
        <f t="shared" si="134"/>
        <v>0</v>
      </c>
      <c r="M861" s="92">
        <f t="shared" si="134"/>
        <v>0</v>
      </c>
      <c r="N861" s="92">
        <f t="shared" si="134"/>
        <v>0</v>
      </c>
      <c r="O861" s="92">
        <f t="shared" si="90"/>
        <v>0</v>
      </c>
      <c r="P861" s="117">
        <f t="shared" si="75"/>
        <v>0</v>
      </c>
    </row>
    <row r="862" spans="1:16" x14ac:dyDescent="0.3">
      <c r="A862" s="146"/>
      <c r="B862" s="94">
        <v>44531</v>
      </c>
      <c r="C862" s="92">
        <f t="shared" si="131"/>
        <v>18690.189999999999</v>
      </c>
      <c r="D862" s="92">
        <f t="shared" ref="D862:N862" si="135">D753+D643</f>
        <v>5347.8099999999995</v>
      </c>
      <c r="E862" s="92">
        <f t="shared" si="135"/>
        <v>7770.1100000000006</v>
      </c>
      <c r="F862" s="92">
        <f t="shared" si="135"/>
        <v>424.88</v>
      </c>
      <c r="G862" s="92">
        <f t="shared" si="135"/>
        <v>567.27</v>
      </c>
      <c r="H862" s="92">
        <f t="shared" si="135"/>
        <v>417.6</v>
      </c>
      <c r="I862" s="92">
        <f t="shared" si="135"/>
        <v>0</v>
      </c>
      <c r="J862" s="92">
        <f t="shared" si="135"/>
        <v>0</v>
      </c>
      <c r="K862" s="92">
        <f t="shared" si="135"/>
        <v>4132.5199999999995</v>
      </c>
      <c r="L862" s="92">
        <f t="shared" si="135"/>
        <v>30</v>
      </c>
      <c r="M862" s="92">
        <f t="shared" si="135"/>
        <v>0</v>
      </c>
      <c r="N862" s="92">
        <f t="shared" si="135"/>
        <v>0</v>
      </c>
      <c r="O862" s="92">
        <f t="shared" si="90"/>
        <v>0</v>
      </c>
      <c r="P862" s="117">
        <f t="shared" si="75"/>
        <v>0</v>
      </c>
    </row>
    <row r="863" spans="1:16" x14ac:dyDescent="0.3">
      <c r="A863" s="146"/>
      <c r="B863" s="94">
        <v>44562</v>
      </c>
      <c r="C863" s="92">
        <f t="shared" si="131"/>
        <v>22639.67</v>
      </c>
      <c r="D863" s="92">
        <f t="shared" ref="D863:N863" si="136">D754+D644</f>
        <v>4183.7299999999996</v>
      </c>
      <c r="E863" s="92">
        <f t="shared" si="136"/>
        <v>8285.31</v>
      </c>
      <c r="F863" s="92">
        <f t="shared" si="136"/>
        <v>62.7</v>
      </c>
      <c r="G863" s="92">
        <f t="shared" si="136"/>
        <v>0.72</v>
      </c>
      <c r="H863" s="92">
        <f t="shared" si="136"/>
        <v>555.28</v>
      </c>
      <c r="I863" s="92">
        <f t="shared" si="136"/>
        <v>0</v>
      </c>
      <c r="J863" s="92">
        <f t="shared" si="136"/>
        <v>0</v>
      </c>
      <c r="K863" s="92">
        <f t="shared" si="136"/>
        <v>9551.9299999999985</v>
      </c>
      <c r="L863" s="92">
        <f t="shared" si="136"/>
        <v>0</v>
      </c>
      <c r="M863" s="92">
        <f t="shared" si="136"/>
        <v>0</v>
      </c>
      <c r="N863" s="92">
        <f t="shared" si="136"/>
        <v>0</v>
      </c>
      <c r="O863" s="92">
        <f t="shared" si="90"/>
        <v>0</v>
      </c>
      <c r="P863" s="117">
        <f t="shared" si="75"/>
        <v>0</v>
      </c>
    </row>
    <row r="864" spans="1:16" x14ac:dyDescent="0.3">
      <c r="A864" s="146"/>
      <c r="B864" s="94">
        <v>44593</v>
      </c>
      <c r="C864" s="92">
        <f t="shared" si="131"/>
        <v>21797.360000000001</v>
      </c>
      <c r="D864" s="92">
        <f t="shared" ref="D864:N864" si="137">D755+D645</f>
        <v>7795.23</v>
      </c>
      <c r="E864" s="92">
        <f t="shared" si="137"/>
        <v>2867.16</v>
      </c>
      <c r="F864" s="92">
        <f t="shared" si="137"/>
        <v>28.45</v>
      </c>
      <c r="G864" s="92">
        <f t="shared" si="137"/>
        <v>0</v>
      </c>
      <c r="H864" s="92">
        <f t="shared" si="137"/>
        <v>754.14</v>
      </c>
      <c r="I864" s="92">
        <f t="shared" si="137"/>
        <v>517.58000000000004</v>
      </c>
      <c r="J864" s="92">
        <f t="shared" si="137"/>
        <v>0</v>
      </c>
      <c r="K864" s="92">
        <f t="shared" si="137"/>
        <v>9834.7999999999993</v>
      </c>
      <c r="L864" s="92">
        <f t="shared" si="137"/>
        <v>0</v>
      </c>
      <c r="M864" s="92">
        <f t="shared" si="137"/>
        <v>0</v>
      </c>
      <c r="N864" s="92">
        <f t="shared" si="137"/>
        <v>0</v>
      </c>
      <c r="O864" s="92">
        <f t="shared" si="90"/>
        <v>0</v>
      </c>
      <c r="P864" s="117">
        <f t="shared" si="75"/>
        <v>0</v>
      </c>
    </row>
    <row r="865" spans="1:16" x14ac:dyDescent="0.3">
      <c r="A865" s="146"/>
      <c r="B865" s="94">
        <v>44621</v>
      </c>
      <c r="C865" s="92">
        <f t="shared" si="131"/>
        <v>25116.43</v>
      </c>
      <c r="D865" s="92">
        <f t="shared" ref="D865:N865" si="138">D756+D646</f>
        <v>5468.27</v>
      </c>
      <c r="E865" s="92">
        <f t="shared" si="138"/>
        <v>2727.88</v>
      </c>
      <c r="F865" s="92">
        <f t="shared" si="138"/>
        <v>209.78</v>
      </c>
      <c r="G865" s="92">
        <f t="shared" si="138"/>
        <v>4.32</v>
      </c>
      <c r="H865" s="92">
        <f t="shared" si="138"/>
        <v>440.18</v>
      </c>
      <c r="I865" s="92">
        <f t="shared" si="138"/>
        <v>69.53</v>
      </c>
      <c r="J865" s="92">
        <f t="shared" si="138"/>
        <v>0</v>
      </c>
      <c r="K865" s="92">
        <f t="shared" si="138"/>
        <v>16168.47</v>
      </c>
      <c r="L865" s="92">
        <f t="shared" si="138"/>
        <v>0</v>
      </c>
      <c r="M865" s="92">
        <f t="shared" si="138"/>
        <v>22</v>
      </c>
      <c r="N865" s="92">
        <f t="shared" si="138"/>
        <v>0</v>
      </c>
      <c r="O865" s="92">
        <f t="shared" si="90"/>
        <v>0</v>
      </c>
      <c r="P865" s="117">
        <f t="shared" si="75"/>
        <v>6</v>
      </c>
    </row>
    <row r="866" spans="1:16" x14ac:dyDescent="0.3">
      <c r="A866" s="146"/>
      <c r="B866" s="94">
        <v>44652</v>
      </c>
      <c r="C866" s="92">
        <f t="shared" si="131"/>
        <v>24508.880000000001</v>
      </c>
      <c r="D866" s="92">
        <f t="shared" ref="D866:N866" si="139">D757+D647</f>
        <v>8976.4600000000009</v>
      </c>
      <c r="E866" s="92">
        <f t="shared" si="139"/>
        <v>2984.37</v>
      </c>
      <c r="F866" s="92">
        <f t="shared" si="139"/>
        <v>41.32</v>
      </c>
      <c r="G866" s="92">
        <f t="shared" si="139"/>
        <v>1.89</v>
      </c>
      <c r="H866" s="92">
        <f t="shared" si="139"/>
        <v>46.33</v>
      </c>
      <c r="I866" s="92">
        <f t="shared" si="139"/>
        <v>84.69</v>
      </c>
      <c r="J866" s="92">
        <f t="shared" si="139"/>
        <v>0</v>
      </c>
      <c r="K866" s="92">
        <f t="shared" si="139"/>
        <v>12312.82</v>
      </c>
      <c r="L866" s="92">
        <f t="shared" si="139"/>
        <v>0</v>
      </c>
      <c r="M866" s="92">
        <f t="shared" si="139"/>
        <v>61</v>
      </c>
      <c r="N866" s="92">
        <f t="shared" si="139"/>
        <v>0</v>
      </c>
      <c r="O866" s="92">
        <f t="shared" si="90"/>
        <v>0</v>
      </c>
      <c r="P866" s="117">
        <f t="shared" si="75"/>
        <v>0</v>
      </c>
    </row>
    <row r="867" spans="1:16" x14ac:dyDescent="0.3">
      <c r="A867" s="146"/>
      <c r="B867" s="94">
        <v>44682</v>
      </c>
      <c r="C867" s="92">
        <f t="shared" si="131"/>
        <v>15576.550000000001</v>
      </c>
      <c r="D867" s="92">
        <f t="shared" ref="D867:N867" si="140">D758+D648</f>
        <v>2665.5600000000004</v>
      </c>
      <c r="E867" s="92">
        <f t="shared" si="140"/>
        <v>924.9</v>
      </c>
      <c r="F867" s="92">
        <f t="shared" si="140"/>
        <v>513.18000000000006</v>
      </c>
      <c r="G867" s="92">
        <f t="shared" si="140"/>
        <v>1.51</v>
      </c>
      <c r="H867" s="92">
        <f t="shared" si="140"/>
        <v>577.03</v>
      </c>
      <c r="I867" s="92">
        <f t="shared" si="140"/>
        <v>7.54</v>
      </c>
      <c r="J867" s="92">
        <f t="shared" si="140"/>
        <v>0</v>
      </c>
      <c r="K867" s="92">
        <f t="shared" si="140"/>
        <v>10844.550000000001</v>
      </c>
      <c r="L867" s="92">
        <f t="shared" si="140"/>
        <v>35.28</v>
      </c>
      <c r="M867" s="92">
        <f t="shared" si="140"/>
        <v>7</v>
      </c>
      <c r="N867" s="92">
        <f t="shared" si="140"/>
        <v>0</v>
      </c>
      <c r="O867" s="92">
        <f t="shared" si="90"/>
        <v>0</v>
      </c>
      <c r="P867" s="117">
        <f t="shared" si="75"/>
        <v>0</v>
      </c>
    </row>
    <row r="868" spans="1:16" x14ac:dyDescent="0.3">
      <c r="A868" s="146"/>
      <c r="B868" s="94">
        <v>44713</v>
      </c>
      <c r="C868" s="92">
        <f t="shared" si="131"/>
        <v>17193.399999999998</v>
      </c>
      <c r="D868" s="92">
        <f t="shared" ref="D868:N868" si="141">D759+D649</f>
        <v>5066.43</v>
      </c>
      <c r="E868" s="92">
        <f t="shared" si="141"/>
        <v>2371.04</v>
      </c>
      <c r="F868" s="92">
        <f t="shared" si="141"/>
        <v>1080.21</v>
      </c>
      <c r="G868" s="92">
        <f t="shared" si="141"/>
        <v>0.38</v>
      </c>
      <c r="H868" s="92">
        <f t="shared" si="141"/>
        <v>447.49</v>
      </c>
      <c r="I868" s="92">
        <f t="shared" si="141"/>
        <v>5.64</v>
      </c>
      <c r="J868" s="92">
        <f t="shared" si="141"/>
        <v>0</v>
      </c>
      <c r="K868" s="92">
        <f t="shared" si="141"/>
        <v>8222.2099999999991</v>
      </c>
      <c r="L868" s="92">
        <f t="shared" si="141"/>
        <v>0</v>
      </c>
      <c r="M868" s="92">
        <f t="shared" si="141"/>
        <v>0</v>
      </c>
      <c r="N868" s="92">
        <f t="shared" si="141"/>
        <v>0</v>
      </c>
      <c r="O868" s="92">
        <f t="shared" si="90"/>
        <v>0</v>
      </c>
      <c r="P868" s="117">
        <f t="shared" si="75"/>
        <v>0</v>
      </c>
    </row>
    <row r="869" spans="1:16" x14ac:dyDescent="0.3">
      <c r="A869" s="146"/>
      <c r="B869" s="94">
        <v>44743</v>
      </c>
    </row>
    <row r="870" spans="1:16" x14ac:dyDescent="0.3">
      <c r="A870" s="146"/>
      <c r="B870" s="94">
        <v>44774</v>
      </c>
    </row>
    <row r="871" spans="1:16" x14ac:dyDescent="0.3">
      <c r="A871" s="146"/>
      <c r="B871" s="94">
        <v>44805</v>
      </c>
    </row>
    <row r="872" spans="1:16" x14ac:dyDescent="0.3">
      <c r="A872" s="146"/>
      <c r="B872" s="94">
        <v>44835</v>
      </c>
    </row>
    <row r="873" spans="1:16" x14ac:dyDescent="0.3">
      <c r="A873" s="146"/>
      <c r="B873" s="94">
        <v>44866</v>
      </c>
    </row>
    <row r="874" spans="1:16" x14ac:dyDescent="0.3">
      <c r="A874" s="146"/>
      <c r="B874" s="94">
        <v>44896</v>
      </c>
    </row>
    <row r="875" spans="1:16" ht="13.2" customHeight="1" thickBot="1" x14ac:dyDescent="0.35">
      <c r="A875" s="146"/>
      <c r="B875" s="94"/>
    </row>
    <row r="876" spans="1:16" s="124" customFormat="1" ht="14.7" customHeight="1" x14ac:dyDescent="0.3">
      <c r="A876" s="146" t="s">
        <v>2</v>
      </c>
      <c r="B876" s="96">
        <v>41640</v>
      </c>
      <c r="C876" s="95">
        <f t="shared" ref="C876:N876" si="142">C4+C113+C222+C307+C439+C767</f>
        <v>501893.38</v>
      </c>
      <c r="D876" s="95">
        <f t="shared" si="142"/>
        <v>190236.14000000004</v>
      </c>
      <c r="E876" s="95">
        <f t="shared" si="142"/>
        <v>57861.910000000025</v>
      </c>
      <c r="F876" s="95">
        <f t="shared" si="142"/>
        <v>55295.539999999986</v>
      </c>
      <c r="G876" s="95">
        <f t="shared" si="142"/>
        <v>15396.58</v>
      </c>
      <c r="H876" s="95">
        <f t="shared" si="142"/>
        <v>9596.4100000000017</v>
      </c>
      <c r="I876" s="95">
        <f t="shared" si="142"/>
        <v>10797.15</v>
      </c>
      <c r="J876" s="95">
        <f t="shared" si="142"/>
        <v>25139.26</v>
      </c>
      <c r="K876" s="95">
        <f t="shared" si="142"/>
        <v>86236.099999999977</v>
      </c>
      <c r="L876" s="95">
        <f t="shared" si="142"/>
        <v>21412.57</v>
      </c>
      <c r="M876" s="95">
        <f t="shared" si="142"/>
        <v>28249.389999999996</v>
      </c>
      <c r="N876" s="95">
        <f t="shared" si="142"/>
        <v>0</v>
      </c>
      <c r="O876" s="95"/>
      <c r="P876" s="116"/>
    </row>
    <row r="877" spans="1:16" x14ac:dyDescent="0.3">
      <c r="A877" s="146"/>
      <c r="B877" s="94">
        <v>41671</v>
      </c>
      <c r="C877" s="92">
        <f t="shared" ref="C877:N877" si="143">C5+C114+C223+C331+C440+C768</f>
        <v>637795.43999999994</v>
      </c>
      <c r="D877" s="92">
        <f t="shared" si="143"/>
        <v>200318.73999999996</v>
      </c>
      <c r="E877" s="92">
        <f t="shared" si="143"/>
        <v>68696.629999999976</v>
      </c>
      <c r="F877" s="92">
        <f t="shared" si="143"/>
        <v>82091.959999999992</v>
      </c>
      <c r="G877" s="92">
        <f t="shared" si="143"/>
        <v>21725.189999999995</v>
      </c>
      <c r="H877" s="92">
        <f t="shared" si="143"/>
        <v>14221.96</v>
      </c>
      <c r="I877" s="92">
        <f t="shared" si="143"/>
        <v>19408.030000000002</v>
      </c>
      <c r="J877" s="92">
        <f t="shared" si="143"/>
        <v>75731.91</v>
      </c>
      <c r="K877" s="92">
        <f t="shared" si="143"/>
        <v>113781.23999999999</v>
      </c>
      <c r="L877" s="92">
        <f t="shared" si="143"/>
        <v>20126.010000000002</v>
      </c>
      <c r="M877" s="92">
        <f t="shared" si="143"/>
        <v>21693.77</v>
      </c>
      <c r="N877" s="92">
        <f t="shared" si="143"/>
        <v>0</v>
      </c>
    </row>
    <row r="878" spans="1:16" x14ac:dyDescent="0.3">
      <c r="A878" s="146"/>
      <c r="B878" s="94">
        <v>41699</v>
      </c>
      <c r="C878" s="92">
        <f t="shared" ref="C878:N878" si="144">C6+C115+C224+C332+C441+C769</f>
        <v>714218.49000000011</v>
      </c>
      <c r="D878" s="92">
        <f t="shared" si="144"/>
        <v>253422.84000000008</v>
      </c>
      <c r="E878" s="92">
        <f t="shared" si="144"/>
        <v>67115.48</v>
      </c>
      <c r="F878" s="92">
        <f t="shared" si="144"/>
        <v>74982.180000000008</v>
      </c>
      <c r="G878" s="92">
        <f t="shared" si="144"/>
        <v>24001.509999999991</v>
      </c>
      <c r="H878" s="92">
        <f t="shared" si="144"/>
        <v>20042.109999999997</v>
      </c>
      <c r="I878" s="92">
        <f t="shared" si="144"/>
        <v>18503.629999999997</v>
      </c>
      <c r="J878" s="92">
        <f t="shared" si="144"/>
        <v>64960.049999999996</v>
      </c>
      <c r="K878" s="92">
        <f t="shared" si="144"/>
        <v>127923.29999999996</v>
      </c>
      <c r="L878" s="92">
        <f t="shared" si="144"/>
        <v>22403.130000000026</v>
      </c>
      <c r="M878" s="92">
        <f t="shared" si="144"/>
        <v>40864.26</v>
      </c>
      <c r="N878" s="92">
        <f t="shared" si="144"/>
        <v>0</v>
      </c>
    </row>
    <row r="879" spans="1:16" x14ac:dyDescent="0.3">
      <c r="A879" s="146"/>
      <c r="B879" s="94">
        <v>41730</v>
      </c>
      <c r="C879" s="92">
        <f t="shared" ref="C879:N879" si="145">C7+C116+C225+C333+C442+C770</f>
        <v>599896.43000000005</v>
      </c>
      <c r="D879" s="92">
        <f t="shared" si="145"/>
        <v>212297.71</v>
      </c>
      <c r="E879" s="92">
        <f t="shared" si="145"/>
        <v>55650.640000000014</v>
      </c>
      <c r="F879" s="92">
        <f t="shared" si="145"/>
        <v>76491.150000000009</v>
      </c>
      <c r="G879" s="92">
        <f t="shared" si="145"/>
        <v>20494.689999999999</v>
      </c>
      <c r="H879" s="92">
        <f t="shared" si="145"/>
        <v>17323.999999999996</v>
      </c>
      <c r="I879" s="92">
        <f t="shared" si="145"/>
        <v>25637.030000000006</v>
      </c>
      <c r="J879" s="92">
        <f t="shared" si="145"/>
        <v>69988.66</v>
      </c>
      <c r="K879" s="92">
        <f t="shared" si="145"/>
        <v>84522.86</v>
      </c>
      <c r="L879" s="92">
        <f t="shared" si="145"/>
        <v>19775.760000000009</v>
      </c>
      <c r="M879" s="92">
        <f t="shared" si="145"/>
        <v>17713.93</v>
      </c>
      <c r="N879" s="92">
        <f t="shared" si="145"/>
        <v>0</v>
      </c>
    </row>
    <row r="880" spans="1:16" x14ac:dyDescent="0.3">
      <c r="A880" s="146"/>
      <c r="B880" s="94">
        <v>41760</v>
      </c>
      <c r="C880" s="92">
        <f t="shared" ref="C880:N880" si="146">C8+C117+C226+C334+C443+C771</f>
        <v>539771.55000000005</v>
      </c>
      <c r="D880" s="92">
        <f t="shared" si="146"/>
        <v>189557.82</v>
      </c>
      <c r="E880" s="92">
        <f t="shared" si="146"/>
        <v>54413.26999999999</v>
      </c>
      <c r="F880" s="92">
        <f t="shared" si="146"/>
        <v>66635.310000000012</v>
      </c>
      <c r="G880" s="92">
        <f t="shared" si="146"/>
        <v>17677.399999999998</v>
      </c>
      <c r="H880" s="92">
        <f t="shared" si="146"/>
        <v>12176.56</v>
      </c>
      <c r="I880" s="92">
        <f t="shared" si="146"/>
        <v>28778.240000000013</v>
      </c>
      <c r="J880" s="92">
        <f t="shared" si="146"/>
        <v>35908.959999999999</v>
      </c>
      <c r="K880" s="92">
        <f t="shared" si="146"/>
        <v>105508.68999999996</v>
      </c>
      <c r="L880" s="92">
        <f t="shared" si="146"/>
        <v>15731.970000000008</v>
      </c>
      <c r="M880" s="92">
        <f t="shared" si="146"/>
        <v>13383.329999999998</v>
      </c>
      <c r="N880" s="92">
        <f t="shared" si="146"/>
        <v>0</v>
      </c>
    </row>
    <row r="881" spans="1:14" x14ac:dyDescent="0.3">
      <c r="A881" s="146"/>
      <c r="B881" s="94">
        <v>41791</v>
      </c>
      <c r="C881" s="92">
        <f t="shared" ref="C881:N881" si="147">C9+C118+C227+C335+C444+C772</f>
        <v>613918.63</v>
      </c>
      <c r="D881" s="92">
        <f t="shared" si="147"/>
        <v>212844.68000000002</v>
      </c>
      <c r="E881" s="92">
        <f t="shared" si="147"/>
        <v>93747.569999999992</v>
      </c>
      <c r="F881" s="92">
        <f t="shared" si="147"/>
        <v>63300.950000000004</v>
      </c>
      <c r="G881" s="92">
        <f t="shared" si="147"/>
        <v>21942.429999999986</v>
      </c>
      <c r="H881" s="92">
        <f t="shared" si="147"/>
        <v>29585.899999999998</v>
      </c>
      <c r="I881" s="92">
        <f t="shared" si="147"/>
        <v>20676.110000000004</v>
      </c>
      <c r="J881" s="92">
        <f t="shared" si="147"/>
        <v>46153.17</v>
      </c>
      <c r="K881" s="92">
        <f t="shared" si="147"/>
        <v>93173.470000000016</v>
      </c>
      <c r="L881" s="92">
        <f t="shared" si="147"/>
        <v>13104.440000000002</v>
      </c>
      <c r="M881" s="92">
        <f t="shared" si="147"/>
        <v>19389.909999999996</v>
      </c>
      <c r="N881" s="92">
        <f t="shared" si="147"/>
        <v>0</v>
      </c>
    </row>
    <row r="882" spans="1:14" x14ac:dyDescent="0.3">
      <c r="A882" s="146"/>
      <c r="B882" s="94">
        <v>41821</v>
      </c>
      <c r="C882" s="92">
        <f t="shared" ref="C882:N882" si="148">C10+C119+C228+C336+C445+C773</f>
        <v>558297.67000000016</v>
      </c>
      <c r="D882" s="92">
        <f t="shared" si="148"/>
        <v>172403.74000000008</v>
      </c>
      <c r="E882" s="92">
        <f t="shared" si="148"/>
        <v>54385.61</v>
      </c>
      <c r="F882" s="92">
        <f t="shared" si="148"/>
        <v>73652.380000000034</v>
      </c>
      <c r="G882" s="92">
        <f t="shared" si="148"/>
        <v>24821.219999999998</v>
      </c>
      <c r="H882" s="92">
        <f t="shared" si="148"/>
        <v>7675.45</v>
      </c>
      <c r="I882" s="92">
        <f t="shared" si="148"/>
        <v>12979.62</v>
      </c>
      <c r="J882" s="92">
        <f t="shared" si="148"/>
        <v>68644.36</v>
      </c>
      <c r="K882" s="92">
        <f t="shared" si="148"/>
        <v>107537.50000000001</v>
      </c>
      <c r="L882" s="92">
        <f t="shared" si="148"/>
        <v>19712.930000000004</v>
      </c>
      <c r="M882" s="92">
        <f t="shared" si="148"/>
        <v>16484.859999999997</v>
      </c>
      <c r="N882" s="92">
        <f t="shared" si="148"/>
        <v>0</v>
      </c>
    </row>
    <row r="883" spans="1:14" x14ac:dyDescent="0.3">
      <c r="A883" s="146"/>
      <c r="B883" s="94">
        <v>41852</v>
      </c>
      <c r="C883" s="92">
        <f t="shared" ref="C883:N883" si="149">C11+C120+C229+C337+C446+C774</f>
        <v>358556.27</v>
      </c>
      <c r="D883" s="92">
        <f t="shared" si="149"/>
        <v>98744.049999999974</v>
      </c>
      <c r="E883" s="92">
        <f t="shared" si="149"/>
        <v>31129.120000000006</v>
      </c>
      <c r="F883" s="92">
        <f t="shared" si="149"/>
        <v>46966.929999999993</v>
      </c>
      <c r="G883" s="92">
        <f t="shared" si="149"/>
        <v>15985.479999999996</v>
      </c>
      <c r="H883" s="92">
        <f t="shared" si="149"/>
        <v>10095.93</v>
      </c>
      <c r="I883" s="92">
        <f t="shared" si="149"/>
        <v>5965.0699999999979</v>
      </c>
      <c r="J883" s="92">
        <f t="shared" si="149"/>
        <v>68413.509999999995</v>
      </c>
      <c r="K883" s="92">
        <f t="shared" si="149"/>
        <v>67446.01999999999</v>
      </c>
      <c r="L883" s="92">
        <f t="shared" si="149"/>
        <v>8451.8700000000026</v>
      </c>
      <c r="M883" s="92">
        <f t="shared" si="149"/>
        <v>5358.29</v>
      </c>
      <c r="N883" s="92">
        <f t="shared" si="149"/>
        <v>0</v>
      </c>
    </row>
    <row r="884" spans="1:14" x14ac:dyDescent="0.3">
      <c r="A884" s="146"/>
      <c r="B884" s="94">
        <v>41883</v>
      </c>
      <c r="C884" s="92">
        <f t="shared" ref="C884:N884" si="150">C12+C121+C230+C338+C447+C775</f>
        <v>671970.65000000014</v>
      </c>
      <c r="D884" s="92">
        <f t="shared" si="150"/>
        <v>235220.22000000012</v>
      </c>
      <c r="E884" s="92">
        <f t="shared" si="150"/>
        <v>67946.62000000001</v>
      </c>
      <c r="F884" s="92">
        <f t="shared" si="150"/>
        <v>64651.939999999995</v>
      </c>
      <c r="G884" s="92">
        <f t="shared" si="150"/>
        <v>20630.810000000001</v>
      </c>
      <c r="H884" s="92">
        <f t="shared" si="150"/>
        <v>16902.690000000002</v>
      </c>
      <c r="I884" s="92">
        <f t="shared" si="150"/>
        <v>14132.51</v>
      </c>
      <c r="J884" s="92">
        <f t="shared" si="150"/>
        <v>107084.61000000002</v>
      </c>
      <c r="K884" s="92">
        <f t="shared" si="150"/>
        <v>104954.48</v>
      </c>
      <c r="L884" s="92">
        <f t="shared" si="150"/>
        <v>21942.149999999994</v>
      </c>
      <c r="M884" s="92">
        <f t="shared" si="150"/>
        <v>18504.62</v>
      </c>
      <c r="N884" s="92">
        <f t="shared" si="150"/>
        <v>0</v>
      </c>
    </row>
    <row r="885" spans="1:14" x14ac:dyDescent="0.3">
      <c r="A885" s="146"/>
      <c r="B885" s="94">
        <v>41913</v>
      </c>
      <c r="C885" s="92">
        <f t="shared" ref="C885:N885" si="151">C13+C122+C231+C339+C448+C776</f>
        <v>692106.01999999979</v>
      </c>
      <c r="D885" s="92">
        <f t="shared" si="151"/>
        <v>252031.39999999991</v>
      </c>
      <c r="E885" s="92">
        <f t="shared" si="151"/>
        <v>74071.040000000008</v>
      </c>
      <c r="F885" s="92">
        <f t="shared" si="151"/>
        <v>79101.780000000013</v>
      </c>
      <c r="G885" s="92">
        <f t="shared" si="151"/>
        <v>23404.67</v>
      </c>
      <c r="H885" s="92">
        <f t="shared" si="151"/>
        <v>14946.550000000001</v>
      </c>
      <c r="I885" s="92">
        <f t="shared" si="151"/>
        <v>14024.470000000001</v>
      </c>
      <c r="J885" s="92">
        <f t="shared" si="151"/>
        <v>106163.98000000001</v>
      </c>
      <c r="K885" s="92">
        <f t="shared" si="151"/>
        <v>91946.799999999945</v>
      </c>
      <c r="L885" s="92">
        <f t="shared" si="151"/>
        <v>20815.510000000002</v>
      </c>
      <c r="M885" s="92">
        <f t="shared" si="151"/>
        <v>15599.820000000002</v>
      </c>
      <c r="N885" s="92">
        <f t="shared" si="151"/>
        <v>0</v>
      </c>
    </row>
    <row r="886" spans="1:14" x14ac:dyDescent="0.3">
      <c r="A886" s="146"/>
      <c r="B886" s="94">
        <v>41944</v>
      </c>
      <c r="C886" s="92">
        <f t="shared" ref="C886:N886" si="152">C14+C123+C232+C340+C449+C777</f>
        <v>603431.00000000012</v>
      </c>
      <c r="D886" s="92">
        <f t="shared" si="152"/>
        <v>197768.0400000001</v>
      </c>
      <c r="E886" s="92">
        <f t="shared" si="152"/>
        <v>57216.700000000004</v>
      </c>
      <c r="F886" s="92">
        <f t="shared" si="152"/>
        <v>67042.92</v>
      </c>
      <c r="G886" s="92">
        <f t="shared" si="152"/>
        <v>16279.58</v>
      </c>
      <c r="H886" s="92">
        <f t="shared" si="152"/>
        <v>13269.58</v>
      </c>
      <c r="I886" s="92">
        <f t="shared" si="152"/>
        <v>6443.5000000000009</v>
      </c>
      <c r="J886" s="92">
        <f t="shared" si="152"/>
        <v>80497.22</v>
      </c>
      <c r="K886" s="92">
        <f t="shared" si="152"/>
        <v>131529.32</v>
      </c>
      <c r="L886" s="92">
        <f t="shared" si="152"/>
        <v>21475.720000000008</v>
      </c>
      <c r="M886" s="92">
        <f t="shared" si="152"/>
        <v>11908.42</v>
      </c>
      <c r="N886" s="92">
        <f t="shared" si="152"/>
        <v>0</v>
      </c>
    </row>
    <row r="887" spans="1:14" x14ac:dyDescent="0.3">
      <c r="A887" s="146"/>
      <c r="B887" s="94">
        <v>41974</v>
      </c>
      <c r="C887" s="92">
        <f t="shared" ref="C887:N887" si="153">C15+C124+C233+C341+C450+C778</f>
        <v>691743.63000000024</v>
      </c>
      <c r="D887" s="92">
        <f t="shared" si="153"/>
        <v>228594.40000000017</v>
      </c>
      <c r="E887" s="92">
        <f t="shared" si="153"/>
        <v>57764.409999999996</v>
      </c>
      <c r="F887" s="92">
        <f t="shared" si="153"/>
        <v>70090.309999999983</v>
      </c>
      <c r="G887" s="92">
        <f t="shared" si="153"/>
        <v>16970.54</v>
      </c>
      <c r="H887" s="92">
        <f t="shared" si="153"/>
        <v>10205.440000000002</v>
      </c>
      <c r="I887" s="92">
        <f t="shared" si="153"/>
        <v>16341.410000000002</v>
      </c>
      <c r="J887" s="92">
        <f t="shared" si="153"/>
        <v>109360.06</v>
      </c>
      <c r="K887" s="92">
        <f t="shared" si="153"/>
        <v>140755.04000000004</v>
      </c>
      <c r="L887" s="92">
        <f t="shared" si="153"/>
        <v>22062.380000000016</v>
      </c>
      <c r="M887" s="92">
        <f t="shared" si="153"/>
        <v>19599.64</v>
      </c>
      <c r="N887" s="92">
        <f t="shared" si="153"/>
        <v>0</v>
      </c>
    </row>
    <row r="888" spans="1:14" x14ac:dyDescent="0.3">
      <c r="A888" s="146"/>
      <c r="B888" s="94">
        <v>42005</v>
      </c>
      <c r="C888" s="92">
        <f t="shared" ref="C888:N888" si="154">C16+C125+C234+C342+C451+C779</f>
        <v>527546.05999999994</v>
      </c>
      <c r="D888" s="92">
        <f t="shared" si="154"/>
        <v>186247.03999999992</v>
      </c>
      <c r="E888" s="92">
        <f t="shared" si="154"/>
        <v>73727.459999999992</v>
      </c>
      <c r="F888" s="92">
        <f t="shared" si="154"/>
        <v>55277.62999999999</v>
      </c>
      <c r="G888" s="92">
        <f t="shared" si="154"/>
        <v>18099.739999999998</v>
      </c>
      <c r="H888" s="92">
        <f t="shared" si="154"/>
        <v>9450.3900000000012</v>
      </c>
      <c r="I888" s="92">
        <f t="shared" si="154"/>
        <v>9021.44</v>
      </c>
      <c r="J888" s="92">
        <f t="shared" si="154"/>
        <v>70030.12</v>
      </c>
      <c r="K888" s="92">
        <f t="shared" si="154"/>
        <v>71651.81</v>
      </c>
      <c r="L888" s="92">
        <f t="shared" si="154"/>
        <v>21169.080000000005</v>
      </c>
      <c r="M888" s="92">
        <f t="shared" si="154"/>
        <v>12871.35</v>
      </c>
      <c r="N888" s="92">
        <f t="shared" si="154"/>
        <v>0</v>
      </c>
    </row>
    <row r="889" spans="1:14" x14ac:dyDescent="0.3">
      <c r="A889" s="146"/>
      <c r="B889" s="94">
        <v>42036</v>
      </c>
      <c r="C889" s="92">
        <f t="shared" ref="C889:N889" si="155">C17+C126+C235+C343+C452+C780</f>
        <v>621800.37999999989</v>
      </c>
      <c r="D889" s="92">
        <f t="shared" si="155"/>
        <v>228552.29000000004</v>
      </c>
      <c r="E889" s="92">
        <f t="shared" si="155"/>
        <v>51605.179999999993</v>
      </c>
      <c r="F889" s="92">
        <f t="shared" si="155"/>
        <v>71478.13</v>
      </c>
      <c r="G889" s="92">
        <f t="shared" si="155"/>
        <v>24047.580000000005</v>
      </c>
      <c r="H889" s="92">
        <f t="shared" si="155"/>
        <v>18404.480000000003</v>
      </c>
      <c r="I889" s="92">
        <f t="shared" si="155"/>
        <v>16081.850000000002</v>
      </c>
      <c r="J889" s="92">
        <f t="shared" si="155"/>
        <v>83313.110000000015</v>
      </c>
      <c r="K889" s="92">
        <f t="shared" si="155"/>
        <v>91950.290000000008</v>
      </c>
      <c r="L889" s="92">
        <f t="shared" si="155"/>
        <v>15147.01</v>
      </c>
      <c r="M889" s="92">
        <f t="shared" si="155"/>
        <v>21220.46</v>
      </c>
      <c r="N889" s="92">
        <f t="shared" si="155"/>
        <v>0</v>
      </c>
    </row>
    <row r="890" spans="1:14" x14ac:dyDescent="0.3">
      <c r="A890" s="146"/>
      <c r="B890" s="94">
        <v>42064</v>
      </c>
      <c r="C890" s="92">
        <f t="shared" ref="C890:N890" si="156">C18+C127+C236+C344+C453+C781</f>
        <v>670319.47999999986</v>
      </c>
      <c r="D890" s="92">
        <f t="shared" si="156"/>
        <v>235877.2399999999</v>
      </c>
      <c r="E890" s="92">
        <f t="shared" si="156"/>
        <v>68080.900000000009</v>
      </c>
      <c r="F890" s="92">
        <f t="shared" si="156"/>
        <v>67570.28</v>
      </c>
      <c r="G890" s="92">
        <f t="shared" si="156"/>
        <v>28673.139999999996</v>
      </c>
      <c r="H890" s="92">
        <f t="shared" si="156"/>
        <v>24108.249999999996</v>
      </c>
      <c r="I890" s="92">
        <f t="shared" si="156"/>
        <v>25276.210000000003</v>
      </c>
      <c r="J890" s="92">
        <f t="shared" si="156"/>
        <v>79017.13</v>
      </c>
      <c r="K890" s="92">
        <f t="shared" si="156"/>
        <v>101141.23999999996</v>
      </c>
      <c r="L890" s="92">
        <f t="shared" si="156"/>
        <v>25988.990000000005</v>
      </c>
      <c r="M890" s="92">
        <f t="shared" si="156"/>
        <v>14586.099999999999</v>
      </c>
      <c r="N890" s="92">
        <f t="shared" si="156"/>
        <v>0</v>
      </c>
    </row>
    <row r="891" spans="1:14" x14ac:dyDescent="0.3">
      <c r="A891" s="146"/>
      <c r="B891" s="94">
        <v>42095</v>
      </c>
      <c r="C891" s="92">
        <f t="shared" ref="C891:N891" si="157">C19+C128+C237+C345+C454+C782</f>
        <v>641952.92000000016</v>
      </c>
      <c r="D891" s="92">
        <f t="shared" si="157"/>
        <v>225765.0800000001</v>
      </c>
      <c r="E891" s="92">
        <f t="shared" si="157"/>
        <v>80054.220000000016</v>
      </c>
      <c r="F891" s="92">
        <f t="shared" si="157"/>
        <v>64393.95</v>
      </c>
      <c r="G891" s="92">
        <f t="shared" si="157"/>
        <v>20574.780000000002</v>
      </c>
      <c r="H891" s="92">
        <f t="shared" si="157"/>
        <v>21043.270000000004</v>
      </c>
      <c r="I891" s="92">
        <f t="shared" si="157"/>
        <v>12302.59</v>
      </c>
      <c r="J891" s="92">
        <f t="shared" si="157"/>
        <v>77315.09</v>
      </c>
      <c r="K891" s="92">
        <f t="shared" si="157"/>
        <v>110843.53000000001</v>
      </c>
      <c r="L891" s="92">
        <f t="shared" si="157"/>
        <v>13875.959999999995</v>
      </c>
      <c r="M891" s="92">
        <f t="shared" si="157"/>
        <v>15784.449999999999</v>
      </c>
      <c r="N891" s="92">
        <f t="shared" si="157"/>
        <v>0</v>
      </c>
    </row>
    <row r="892" spans="1:14" x14ac:dyDescent="0.3">
      <c r="A892" s="146"/>
      <c r="B892" s="94">
        <v>42125</v>
      </c>
      <c r="C892" s="92">
        <f t="shared" ref="C892:N892" si="158">C20+C129+C238+C346+C455+C783</f>
        <v>468875.06999999995</v>
      </c>
      <c r="D892" s="92">
        <f t="shared" si="158"/>
        <v>186730.94999999998</v>
      </c>
      <c r="E892" s="92">
        <f t="shared" si="158"/>
        <v>37958.960000000006</v>
      </c>
      <c r="F892" s="92">
        <f t="shared" si="158"/>
        <v>52778.200000000004</v>
      </c>
      <c r="G892" s="92">
        <f t="shared" si="158"/>
        <v>11751.2</v>
      </c>
      <c r="H892" s="92">
        <f t="shared" si="158"/>
        <v>14520.710000000001</v>
      </c>
      <c r="I892" s="92">
        <f t="shared" si="158"/>
        <v>8340.3000000000011</v>
      </c>
      <c r="J892" s="92">
        <f t="shared" si="158"/>
        <v>50039.229999999996</v>
      </c>
      <c r="K892" s="92">
        <f t="shared" si="158"/>
        <v>81703.37999999999</v>
      </c>
      <c r="L892" s="92">
        <f t="shared" si="158"/>
        <v>18344.720000000008</v>
      </c>
      <c r="M892" s="92">
        <f t="shared" si="158"/>
        <v>6707.4199999999992</v>
      </c>
      <c r="N892" s="92">
        <f t="shared" si="158"/>
        <v>0</v>
      </c>
    </row>
    <row r="893" spans="1:14" x14ac:dyDescent="0.3">
      <c r="A893" s="146"/>
      <c r="B893" s="94">
        <v>42156</v>
      </c>
      <c r="C893" s="92">
        <f t="shared" ref="C893:N893" si="159">C21+C130+C239+C347+C456+C784</f>
        <v>812073.43000000017</v>
      </c>
      <c r="D893" s="92">
        <f t="shared" si="159"/>
        <v>290848.62000000017</v>
      </c>
      <c r="E893" s="92">
        <f t="shared" si="159"/>
        <v>101272.50999999998</v>
      </c>
      <c r="F893" s="92">
        <f t="shared" si="159"/>
        <v>90768.560000000012</v>
      </c>
      <c r="G893" s="92">
        <f t="shared" si="159"/>
        <v>22591.030000000006</v>
      </c>
      <c r="H893" s="92">
        <f t="shared" si="159"/>
        <v>19115.88</v>
      </c>
      <c r="I893" s="92">
        <f t="shared" si="159"/>
        <v>14279.21</v>
      </c>
      <c r="J893" s="92">
        <f t="shared" si="159"/>
        <v>108069.44999999998</v>
      </c>
      <c r="K893" s="92">
        <f t="shared" si="159"/>
        <v>118100.64999999998</v>
      </c>
      <c r="L893" s="92">
        <f t="shared" si="159"/>
        <v>29139.210000000006</v>
      </c>
      <c r="M893" s="92">
        <f t="shared" si="159"/>
        <v>17888.309999999998</v>
      </c>
      <c r="N893" s="92">
        <f t="shared" si="159"/>
        <v>0</v>
      </c>
    </row>
    <row r="894" spans="1:14" x14ac:dyDescent="0.3">
      <c r="A894" s="146"/>
      <c r="B894" s="94">
        <v>42186</v>
      </c>
      <c r="C894" s="92">
        <f t="shared" ref="C894:N894" si="160">C22+C131+C240+C348+C457+C785</f>
        <v>585428.55999999982</v>
      </c>
      <c r="D894" s="92">
        <f t="shared" si="160"/>
        <v>216736.13999999996</v>
      </c>
      <c r="E894" s="92">
        <f t="shared" si="160"/>
        <v>53479.539999999994</v>
      </c>
      <c r="F894" s="92">
        <f t="shared" si="160"/>
        <v>79235.339999999982</v>
      </c>
      <c r="G894" s="92">
        <f t="shared" si="160"/>
        <v>16151.72</v>
      </c>
      <c r="H894" s="92">
        <f t="shared" si="160"/>
        <v>13662.84</v>
      </c>
      <c r="I894" s="92">
        <f t="shared" si="160"/>
        <v>15158.92</v>
      </c>
      <c r="J894" s="92">
        <f t="shared" si="160"/>
        <v>72117.450000000012</v>
      </c>
      <c r="K894" s="92">
        <f t="shared" si="160"/>
        <v>83357.749999999971</v>
      </c>
      <c r="L894" s="92">
        <f t="shared" si="160"/>
        <v>21149.48</v>
      </c>
      <c r="M894" s="92">
        <f t="shared" si="160"/>
        <v>14379.380000000003</v>
      </c>
      <c r="N894" s="92">
        <f t="shared" si="160"/>
        <v>0</v>
      </c>
    </row>
    <row r="895" spans="1:14" x14ac:dyDescent="0.3">
      <c r="A895" s="146"/>
      <c r="B895" s="94">
        <v>42217</v>
      </c>
      <c r="C895" s="92">
        <f t="shared" ref="C895:N895" si="161">C23+C132+C241+C349+C458+C786</f>
        <v>381269.77999999997</v>
      </c>
      <c r="D895" s="92">
        <f t="shared" si="161"/>
        <v>127155.76999999996</v>
      </c>
      <c r="E895" s="92">
        <f t="shared" si="161"/>
        <v>42251.220000000016</v>
      </c>
      <c r="F895" s="92">
        <f t="shared" si="161"/>
        <v>65513.420000000013</v>
      </c>
      <c r="G895" s="92">
        <f t="shared" si="161"/>
        <v>7485.2600000000011</v>
      </c>
      <c r="H895" s="92">
        <f t="shared" si="161"/>
        <v>15972.24</v>
      </c>
      <c r="I895" s="92">
        <f t="shared" si="161"/>
        <v>15169.969999999998</v>
      </c>
      <c r="J895" s="92">
        <f t="shared" si="161"/>
        <v>48263.909999999996</v>
      </c>
      <c r="K895" s="92">
        <f t="shared" si="161"/>
        <v>42349.139999999985</v>
      </c>
      <c r="L895" s="92">
        <f t="shared" si="161"/>
        <v>8767.6200000000008</v>
      </c>
      <c r="M895" s="92">
        <f t="shared" si="161"/>
        <v>8341.2299999999977</v>
      </c>
      <c r="N895" s="92">
        <f t="shared" si="161"/>
        <v>0</v>
      </c>
    </row>
    <row r="896" spans="1:14" x14ac:dyDescent="0.3">
      <c r="A896" s="146"/>
      <c r="B896" s="94">
        <v>42248</v>
      </c>
      <c r="C896" s="92">
        <f t="shared" ref="C896:N896" si="162">C24+C133+C242+C350+C459+C787</f>
        <v>740366.05</v>
      </c>
      <c r="D896" s="92">
        <f t="shared" si="162"/>
        <v>250718.56000000008</v>
      </c>
      <c r="E896" s="92">
        <f t="shared" si="162"/>
        <v>103128.64999999998</v>
      </c>
      <c r="F896" s="92">
        <f t="shared" si="162"/>
        <v>77717.87999999999</v>
      </c>
      <c r="G896" s="92">
        <f t="shared" si="162"/>
        <v>12230.250000000004</v>
      </c>
      <c r="H896" s="92">
        <f t="shared" si="162"/>
        <v>25246.02</v>
      </c>
      <c r="I896" s="92">
        <f t="shared" si="162"/>
        <v>12841.009999999998</v>
      </c>
      <c r="J896" s="92">
        <f t="shared" si="162"/>
        <v>119034</v>
      </c>
      <c r="K896" s="92">
        <f t="shared" si="162"/>
        <v>99816.210000000065</v>
      </c>
      <c r="L896" s="92">
        <f t="shared" si="162"/>
        <v>25756.939999999995</v>
      </c>
      <c r="M896" s="92">
        <f t="shared" si="162"/>
        <v>13876.529999999999</v>
      </c>
      <c r="N896" s="92">
        <f t="shared" si="162"/>
        <v>0</v>
      </c>
    </row>
    <row r="897" spans="1:14" x14ac:dyDescent="0.3">
      <c r="A897" s="146"/>
      <c r="B897" s="94">
        <v>42278</v>
      </c>
      <c r="C897" s="92">
        <f t="shared" ref="C897:N897" si="163">C25+C134+C243+C351+C460+C788</f>
        <v>690847.83000000007</v>
      </c>
      <c r="D897" s="92">
        <f t="shared" si="163"/>
        <v>274112.3899999999</v>
      </c>
      <c r="E897" s="92">
        <f t="shared" si="163"/>
        <v>72050.039999999994</v>
      </c>
      <c r="F897" s="92">
        <f t="shared" si="163"/>
        <v>63502.850000000006</v>
      </c>
      <c r="G897" s="92">
        <f t="shared" si="163"/>
        <v>20413.170000000002</v>
      </c>
      <c r="H897" s="92">
        <f t="shared" si="163"/>
        <v>27101.739999999998</v>
      </c>
      <c r="I897" s="92">
        <f t="shared" si="163"/>
        <v>18114.32</v>
      </c>
      <c r="J897" s="92">
        <f t="shared" si="163"/>
        <v>67924.839999999982</v>
      </c>
      <c r="K897" s="92">
        <f t="shared" si="163"/>
        <v>105366.26000000011</v>
      </c>
      <c r="L897" s="92">
        <f t="shared" si="163"/>
        <v>29778.589999999997</v>
      </c>
      <c r="M897" s="92">
        <f t="shared" si="163"/>
        <v>12483.630000000006</v>
      </c>
      <c r="N897" s="92">
        <f t="shared" si="163"/>
        <v>0</v>
      </c>
    </row>
    <row r="898" spans="1:14" x14ac:dyDescent="0.3">
      <c r="A898" s="146"/>
      <c r="B898" s="94">
        <v>42309</v>
      </c>
      <c r="C898" s="92">
        <f t="shared" ref="C898:N898" si="164">C26+C135+C244+C352+C461+C789</f>
        <v>706780.35000000009</v>
      </c>
      <c r="D898" s="92">
        <f t="shared" si="164"/>
        <v>285937.1100000001</v>
      </c>
      <c r="E898" s="92">
        <f t="shared" si="164"/>
        <v>73481.45</v>
      </c>
      <c r="F898" s="92">
        <f t="shared" si="164"/>
        <v>90896.030000000013</v>
      </c>
      <c r="G898" s="92">
        <f t="shared" si="164"/>
        <v>18061.600000000002</v>
      </c>
      <c r="H898" s="92">
        <f t="shared" si="164"/>
        <v>19883.920000000002</v>
      </c>
      <c r="I898" s="92">
        <f t="shared" si="164"/>
        <v>11788.840000000002</v>
      </c>
      <c r="J898" s="92">
        <f t="shared" si="164"/>
        <v>57598.680000000008</v>
      </c>
      <c r="K898" s="92">
        <f t="shared" si="164"/>
        <v>116625.6400000001</v>
      </c>
      <c r="L898" s="92">
        <f t="shared" si="164"/>
        <v>20964.090000000004</v>
      </c>
      <c r="M898" s="92">
        <f t="shared" si="164"/>
        <v>11071.299999999997</v>
      </c>
      <c r="N898" s="92">
        <f t="shared" si="164"/>
        <v>471.69000000000005</v>
      </c>
    </row>
    <row r="899" spans="1:14" x14ac:dyDescent="0.3">
      <c r="A899" s="146"/>
      <c r="B899" s="94">
        <v>42339</v>
      </c>
      <c r="C899" s="92">
        <f t="shared" ref="C899:N899" si="165">C27+C136+C245+C353+C462+C790</f>
        <v>630348</v>
      </c>
      <c r="D899" s="92">
        <f t="shared" si="165"/>
        <v>229111.17999999993</v>
      </c>
      <c r="E899" s="92">
        <f t="shared" si="165"/>
        <v>45472.52</v>
      </c>
      <c r="F899" s="92">
        <f t="shared" si="165"/>
        <v>93802.43</v>
      </c>
      <c r="G899" s="92">
        <f t="shared" si="165"/>
        <v>14432.1</v>
      </c>
      <c r="H899" s="92">
        <f t="shared" si="165"/>
        <v>9968.5400000000009</v>
      </c>
      <c r="I899" s="92">
        <f t="shared" si="165"/>
        <v>8602.5600000000013</v>
      </c>
      <c r="J899" s="92">
        <f t="shared" si="165"/>
        <v>107645.97999999998</v>
      </c>
      <c r="K899" s="92">
        <f t="shared" si="165"/>
        <v>88778.500000000073</v>
      </c>
      <c r="L899" s="92">
        <f t="shared" si="165"/>
        <v>26253.07</v>
      </c>
      <c r="M899" s="92">
        <f t="shared" si="165"/>
        <v>6035.4500000000016</v>
      </c>
      <c r="N899" s="92">
        <f t="shared" si="165"/>
        <v>245.67000000000002</v>
      </c>
    </row>
    <row r="900" spans="1:14" x14ac:dyDescent="0.3">
      <c r="A900" s="146"/>
      <c r="B900" s="94">
        <v>42370</v>
      </c>
      <c r="C900" s="92">
        <f t="shared" ref="C900:N900" si="166">C28+C137+C246+C354+C463+C791</f>
        <v>583358.23999999987</v>
      </c>
      <c r="D900" s="92">
        <f t="shared" si="166"/>
        <v>217585.74999999994</v>
      </c>
      <c r="E900" s="92">
        <f t="shared" si="166"/>
        <v>59776.909999999996</v>
      </c>
      <c r="F900" s="92">
        <f t="shared" si="166"/>
        <v>52030.549999999988</v>
      </c>
      <c r="G900" s="92">
        <f t="shared" si="166"/>
        <v>10905.73</v>
      </c>
      <c r="H900" s="92">
        <f t="shared" si="166"/>
        <v>13107.239999999994</v>
      </c>
      <c r="I900" s="92">
        <f t="shared" si="166"/>
        <v>11915.4</v>
      </c>
      <c r="J900" s="92">
        <f t="shared" si="166"/>
        <v>90631.87000000001</v>
      </c>
      <c r="K900" s="92">
        <f t="shared" si="166"/>
        <v>95876.530000000028</v>
      </c>
      <c r="L900" s="92">
        <f t="shared" si="166"/>
        <v>16244.300000000003</v>
      </c>
      <c r="M900" s="92">
        <f t="shared" si="166"/>
        <v>14911.030000000004</v>
      </c>
      <c r="N900" s="92">
        <f t="shared" si="166"/>
        <v>372.93</v>
      </c>
    </row>
    <row r="901" spans="1:14" x14ac:dyDescent="0.3">
      <c r="A901" s="146"/>
      <c r="B901" s="94">
        <v>42401</v>
      </c>
      <c r="C901" s="92">
        <f t="shared" ref="C901:N901" si="167">C29+C138+C247+C355+C464+C792</f>
        <v>602743.99</v>
      </c>
      <c r="D901" s="92">
        <f t="shared" si="167"/>
        <v>222815</v>
      </c>
      <c r="E901" s="92">
        <f t="shared" si="167"/>
        <v>62878.11000000003</v>
      </c>
      <c r="F901" s="92">
        <f t="shared" si="167"/>
        <v>74040.12999999999</v>
      </c>
      <c r="G901" s="92">
        <f t="shared" si="167"/>
        <v>12098.6</v>
      </c>
      <c r="H901" s="92">
        <f t="shared" si="167"/>
        <v>18739.95</v>
      </c>
      <c r="I901" s="92">
        <f t="shared" si="167"/>
        <v>11526.27</v>
      </c>
      <c r="J901" s="92">
        <f t="shared" si="167"/>
        <v>53803.08</v>
      </c>
      <c r="K901" s="92">
        <f t="shared" si="167"/>
        <v>100991.78000000003</v>
      </c>
      <c r="L901" s="92">
        <f t="shared" si="167"/>
        <v>21640.550000000003</v>
      </c>
      <c r="M901" s="92">
        <f t="shared" si="167"/>
        <v>19029.719999999998</v>
      </c>
      <c r="N901" s="92">
        <f t="shared" si="167"/>
        <v>5180.7999999999993</v>
      </c>
    </row>
    <row r="902" spans="1:14" x14ac:dyDescent="0.3">
      <c r="A902" s="146"/>
      <c r="B902" s="94">
        <v>42430</v>
      </c>
      <c r="C902" s="92">
        <f t="shared" ref="C902:N902" si="168">C30+C139+C248+C356+C465+C793</f>
        <v>759679.64999999991</v>
      </c>
      <c r="D902" s="92">
        <f t="shared" si="168"/>
        <v>268849.69000000006</v>
      </c>
      <c r="E902" s="92">
        <f t="shared" si="168"/>
        <v>75002.38999999997</v>
      </c>
      <c r="F902" s="92">
        <f t="shared" si="168"/>
        <v>60402.709999999977</v>
      </c>
      <c r="G902" s="92">
        <f t="shared" si="168"/>
        <v>27306.63</v>
      </c>
      <c r="H902" s="92">
        <f t="shared" si="168"/>
        <v>17199.239999999998</v>
      </c>
      <c r="I902" s="92">
        <f t="shared" si="168"/>
        <v>23639.690000000006</v>
      </c>
      <c r="J902" s="92">
        <f t="shared" si="168"/>
        <v>130726.69</v>
      </c>
      <c r="K902" s="92">
        <f t="shared" si="168"/>
        <v>104477.57999999996</v>
      </c>
      <c r="L902" s="92">
        <f t="shared" si="168"/>
        <v>27005.450000000004</v>
      </c>
      <c r="M902" s="92">
        <f t="shared" si="168"/>
        <v>23023.610000000008</v>
      </c>
      <c r="N902" s="92">
        <f t="shared" si="168"/>
        <v>2045.9699999999998</v>
      </c>
    </row>
    <row r="903" spans="1:14" x14ac:dyDescent="0.3">
      <c r="A903" s="146"/>
      <c r="B903" s="94">
        <v>42461</v>
      </c>
      <c r="C903" s="92">
        <f t="shared" ref="C903:N903" si="169">C31+C140+C249+C357+C466+C794</f>
        <v>585698.57999999996</v>
      </c>
      <c r="D903" s="92">
        <f t="shared" si="169"/>
        <v>204367.49999999991</v>
      </c>
      <c r="E903" s="92">
        <f t="shared" si="169"/>
        <v>60947.840000000004</v>
      </c>
      <c r="F903" s="92">
        <f t="shared" si="169"/>
        <v>66251.569999999992</v>
      </c>
      <c r="G903" s="92">
        <f t="shared" si="169"/>
        <v>24348.969999999998</v>
      </c>
      <c r="H903" s="92">
        <f t="shared" si="169"/>
        <v>11747.57</v>
      </c>
      <c r="I903" s="92">
        <f t="shared" si="169"/>
        <v>6534.28</v>
      </c>
      <c r="J903" s="92">
        <f t="shared" si="169"/>
        <v>70794.13</v>
      </c>
      <c r="K903" s="92">
        <f t="shared" si="169"/>
        <v>87436.490000000107</v>
      </c>
      <c r="L903" s="92">
        <f t="shared" si="169"/>
        <v>27131.169999999991</v>
      </c>
      <c r="M903" s="92">
        <f t="shared" si="169"/>
        <v>19638.679999999997</v>
      </c>
      <c r="N903" s="92">
        <f t="shared" si="169"/>
        <v>6500.3799999999983</v>
      </c>
    </row>
    <row r="904" spans="1:14" x14ac:dyDescent="0.3">
      <c r="A904" s="146"/>
      <c r="B904" s="94">
        <v>42491</v>
      </c>
      <c r="C904" s="92">
        <f t="shared" ref="C904:N904" si="170">C32+C141+C250+C358+C467+C795</f>
        <v>610877.5</v>
      </c>
      <c r="D904" s="92">
        <f t="shared" si="170"/>
        <v>242184.19000000006</v>
      </c>
      <c r="E904" s="92">
        <f t="shared" si="170"/>
        <v>49308.830000000009</v>
      </c>
      <c r="F904" s="92">
        <f t="shared" si="170"/>
        <v>86231.8</v>
      </c>
      <c r="G904" s="92">
        <f t="shared" si="170"/>
        <v>25548.7</v>
      </c>
      <c r="H904" s="92">
        <f t="shared" si="170"/>
        <v>12089.820000000002</v>
      </c>
      <c r="I904" s="92">
        <f t="shared" si="170"/>
        <v>13728.68</v>
      </c>
      <c r="J904" s="92">
        <f t="shared" si="170"/>
        <v>46650.27</v>
      </c>
      <c r="K904" s="92">
        <f t="shared" si="170"/>
        <v>89283.559999999969</v>
      </c>
      <c r="L904" s="92">
        <f t="shared" si="170"/>
        <v>21533.99</v>
      </c>
      <c r="M904" s="92">
        <f t="shared" si="170"/>
        <v>20222.329999999987</v>
      </c>
      <c r="N904" s="92">
        <f t="shared" si="170"/>
        <v>4095.33</v>
      </c>
    </row>
    <row r="905" spans="1:14" x14ac:dyDescent="0.3">
      <c r="A905" s="146"/>
      <c r="B905" s="94">
        <v>42522</v>
      </c>
      <c r="C905" s="92">
        <f t="shared" ref="C905:N905" si="171">C33+C142+C251+C359+C468+C796</f>
        <v>757321.37000000046</v>
      </c>
      <c r="D905" s="92">
        <f t="shared" si="171"/>
        <v>273290.80000000016</v>
      </c>
      <c r="E905" s="92">
        <f t="shared" si="171"/>
        <v>71819.749999999985</v>
      </c>
      <c r="F905" s="92">
        <f t="shared" si="171"/>
        <v>91960.6</v>
      </c>
      <c r="G905" s="92">
        <f t="shared" si="171"/>
        <v>24598.520000000008</v>
      </c>
      <c r="H905" s="92">
        <f t="shared" si="171"/>
        <v>36146.75</v>
      </c>
      <c r="I905" s="92">
        <f t="shared" si="171"/>
        <v>12946.230000000001</v>
      </c>
      <c r="J905" s="92">
        <f t="shared" si="171"/>
        <v>94818.52</v>
      </c>
      <c r="K905" s="92">
        <f t="shared" si="171"/>
        <v>100585.23000000005</v>
      </c>
      <c r="L905" s="92">
        <f t="shared" si="171"/>
        <v>25897.110000000004</v>
      </c>
      <c r="M905" s="92">
        <f t="shared" si="171"/>
        <v>21439.600000000006</v>
      </c>
      <c r="N905" s="92">
        <f t="shared" si="171"/>
        <v>3818.2599999999998</v>
      </c>
    </row>
    <row r="906" spans="1:14" x14ac:dyDescent="0.3">
      <c r="A906" s="146"/>
      <c r="B906" s="94">
        <v>42552</v>
      </c>
      <c r="C906" s="92">
        <f t="shared" ref="C906:N906" si="172">C34+C143+C252+C360+C469+C797</f>
        <v>572051.73</v>
      </c>
      <c r="D906" s="92">
        <f t="shared" si="172"/>
        <v>196350.54000000004</v>
      </c>
      <c r="E906" s="92">
        <f t="shared" si="172"/>
        <v>68008.780000000028</v>
      </c>
      <c r="F906" s="92">
        <f t="shared" si="172"/>
        <v>86174.670000000013</v>
      </c>
      <c r="G906" s="92">
        <f t="shared" si="172"/>
        <v>16365.139999999998</v>
      </c>
      <c r="H906" s="92">
        <f t="shared" si="172"/>
        <v>11190.97</v>
      </c>
      <c r="I906" s="92">
        <f t="shared" si="172"/>
        <v>15435.830000000002</v>
      </c>
      <c r="J906" s="92">
        <f t="shared" si="172"/>
        <v>72811.88</v>
      </c>
      <c r="K906" s="92">
        <f t="shared" si="172"/>
        <v>68440.129999999946</v>
      </c>
      <c r="L906" s="92">
        <f t="shared" si="172"/>
        <v>15614.829999999998</v>
      </c>
      <c r="M906" s="92">
        <f t="shared" si="172"/>
        <v>21658.960000000003</v>
      </c>
      <c r="N906" s="92">
        <f t="shared" si="172"/>
        <v>0</v>
      </c>
    </row>
    <row r="907" spans="1:14" x14ac:dyDescent="0.3">
      <c r="A907" s="146"/>
      <c r="B907" s="94">
        <v>42583</v>
      </c>
      <c r="C907" s="92">
        <f t="shared" ref="C907:N907" si="173">C35+C144+C253+C361+C470+C798</f>
        <v>457272.07999999996</v>
      </c>
      <c r="D907" s="92">
        <f t="shared" si="173"/>
        <v>141622.83000000002</v>
      </c>
      <c r="E907" s="92">
        <f t="shared" si="173"/>
        <v>48196.030000000006</v>
      </c>
      <c r="F907" s="92">
        <f t="shared" si="173"/>
        <v>53853.709999999992</v>
      </c>
      <c r="G907" s="92">
        <f t="shared" si="173"/>
        <v>8116.9</v>
      </c>
      <c r="H907" s="92">
        <f t="shared" si="173"/>
        <v>9075.83</v>
      </c>
      <c r="I907" s="92">
        <f t="shared" si="173"/>
        <v>2697.9799999999996</v>
      </c>
      <c r="J907" s="92">
        <f t="shared" si="173"/>
        <v>113329.19</v>
      </c>
      <c r="K907" s="92">
        <f t="shared" si="173"/>
        <v>49688.209999999992</v>
      </c>
      <c r="L907" s="92">
        <f t="shared" si="173"/>
        <v>18771.310000000001</v>
      </c>
      <c r="M907" s="92">
        <f t="shared" si="173"/>
        <v>11920.09</v>
      </c>
      <c r="N907" s="92">
        <f t="shared" si="173"/>
        <v>0</v>
      </c>
    </row>
    <row r="908" spans="1:14" x14ac:dyDescent="0.3">
      <c r="A908" s="146"/>
      <c r="B908" s="94">
        <v>42614</v>
      </c>
      <c r="C908" s="92">
        <f t="shared" ref="C908:N908" si="174">C36+C145+C254+C362+C471+C799</f>
        <v>682529.35000000009</v>
      </c>
      <c r="D908" s="92">
        <f t="shared" si="174"/>
        <v>286370.68</v>
      </c>
      <c r="E908" s="92">
        <f t="shared" si="174"/>
        <v>81380.010000000009</v>
      </c>
      <c r="F908" s="92">
        <f t="shared" si="174"/>
        <v>56803.130000000012</v>
      </c>
      <c r="G908" s="92">
        <f t="shared" si="174"/>
        <v>11702.739999999998</v>
      </c>
      <c r="H908" s="92">
        <f t="shared" si="174"/>
        <v>9273.76</v>
      </c>
      <c r="I908" s="92">
        <f t="shared" si="174"/>
        <v>12480.810000000003</v>
      </c>
      <c r="J908" s="92">
        <f t="shared" si="174"/>
        <v>94086.97</v>
      </c>
      <c r="K908" s="92">
        <f t="shared" si="174"/>
        <v>78844.089999999967</v>
      </c>
      <c r="L908" s="92">
        <f t="shared" si="174"/>
        <v>31219.599999999999</v>
      </c>
      <c r="M908" s="92">
        <f t="shared" si="174"/>
        <v>18436.02</v>
      </c>
      <c r="N908" s="92">
        <f t="shared" si="174"/>
        <v>1931.54</v>
      </c>
    </row>
    <row r="909" spans="1:14" x14ac:dyDescent="0.3">
      <c r="A909" s="146"/>
      <c r="B909" s="94">
        <v>42644</v>
      </c>
      <c r="C909" s="92">
        <f t="shared" ref="C909:N909" si="175">C37+C146+C255+C363+C472+C800</f>
        <v>616271.18000000005</v>
      </c>
      <c r="D909" s="92">
        <f t="shared" si="175"/>
        <v>283004.94</v>
      </c>
      <c r="E909" s="92">
        <f t="shared" si="175"/>
        <v>42748.920000000006</v>
      </c>
      <c r="F909" s="92">
        <f t="shared" si="175"/>
        <v>75262.390000000014</v>
      </c>
      <c r="G909" s="92">
        <f t="shared" si="175"/>
        <v>9866.2500000000018</v>
      </c>
      <c r="H909" s="92">
        <f t="shared" si="175"/>
        <v>16545.610000000004</v>
      </c>
      <c r="I909" s="92">
        <f t="shared" si="175"/>
        <v>6076.5899999999992</v>
      </c>
      <c r="J909" s="92">
        <f t="shared" si="175"/>
        <v>54646.32</v>
      </c>
      <c r="K909" s="92">
        <f t="shared" si="175"/>
        <v>91756.390000000043</v>
      </c>
      <c r="L909" s="92">
        <f t="shared" si="175"/>
        <v>12348.24</v>
      </c>
      <c r="M909" s="92">
        <f t="shared" si="175"/>
        <v>19228.37</v>
      </c>
      <c r="N909" s="92">
        <f t="shared" si="175"/>
        <v>4787.1600000000008</v>
      </c>
    </row>
    <row r="910" spans="1:14" x14ac:dyDescent="0.3">
      <c r="A910" s="146"/>
      <c r="B910" s="94">
        <v>42675</v>
      </c>
      <c r="C910" s="92">
        <f t="shared" ref="C910:N910" si="176">C38+C147+C256+C364+C473+C801</f>
        <v>702342.3</v>
      </c>
      <c r="D910" s="92">
        <f t="shared" si="176"/>
        <v>311739.99999999994</v>
      </c>
      <c r="E910" s="92">
        <f t="shared" si="176"/>
        <v>52414.389999999992</v>
      </c>
      <c r="F910" s="92">
        <f t="shared" si="176"/>
        <v>79397.240000000005</v>
      </c>
      <c r="G910" s="92">
        <f t="shared" si="176"/>
        <v>23388.959999999999</v>
      </c>
      <c r="H910" s="92">
        <f t="shared" si="176"/>
        <v>26668</v>
      </c>
      <c r="I910" s="92">
        <f t="shared" si="176"/>
        <v>7885.84</v>
      </c>
      <c r="J910" s="92">
        <f t="shared" si="176"/>
        <v>65363.42</v>
      </c>
      <c r="K910" s="92">
        <f t="shared" si="176"/>
        <v>84285.170000000115</v>
      </c>
      <c r="L910" s="92">
        <f t="shared" si="176"/>
        <v>27139.21</v>
      </c>
      <c r="M910" s="92">
        <f t="shared" si="176"/>
        <v>19593.84</v>
      </c>
      <c r="N910" s="92">
        <f t="shared" si="176"/>
        <v>4466.2299999999996</v>
      </c>
    </row>
    <row r="911" spans="1:14" x14ac:dyDescent="0.3">
      <c r="A911" s="146"/>
      <c r="B911" s="94">
        <v>42705</v>
      </c>
      <c r="C911" s="92">
        <f t="shared" ref="C911:N911" si="177">C39+C148+C257+C365+C474+C802</f>
        <v>536215.38</v>
      </c>
      <c r="D911" s="92">
        <f t="shared" si="177"/>
        <v>196172.96</v>
      </c>
      <c r="E911" s="92">
        <f t="shared" si="177"/>
        <v>47780.56</v>
      </c>
      <c r="F911" s="92">
        <f t="shared" si="177"/>
        <v>72280.099999999991</v>
      </c>
      <c r="G911" s="92">
        <f t="shared" si="177"/>
        <v>9158.91</v>
      </c>
      <c r="H911" s="92">
        <f t="shared" si="177"/>
        <v>19352.41</v>
      </c>
      <c r="I911" s="92">
        <f t="shared" si="177"/>
        <v>13007.96</v>
      </c>
      <c r="J911" s="92">
        <f t="shared" si="177"/>
        <v>52321.8</v>
      </c>
      <c r="K911" s="92">
        <f t="shared" si="177"/>
        <v>81264.88</v>
      </c>
      <c r="L911" s="92">
        <f t="shared" si="177"/>
        <v>13412.7</v>
      </c>
      <c r="M911" s="92">
        <f t="shared" si="177"/>
        <v>26259.73</v>
      </c>
      <c r="N911" s="92">
        <f t="shared" si="177"/>
        <v>5203.37</v>
      </c>
    </row>
    <row r="912" spans="1:14" x14ac:dyDescent="0.3">
      <c r="A912" s="146"/>
      <c r="B912" s="94">
        <v>42736</v>
      </c>
      <c r="C912" s="92">
        <f t="shared" ref="C912:N912" si="178">C40+C149+C258+C366+C475+C803</f>
        <v>557663.70000000007</v>
      </c>
      <c r="D912" s="92">
        <f t="shared" si="178"/>
        <v>229525.02</v>
      </c>
      <c r="E912" s="92">
        <f t="shared" si="178"/>
        <v>56776.210000000006</v>
      </c>
      <c r="F912" s="92">
        <f t="shared" si="178"/>
        <v>71976.91</v>
      </c>
      <c r="G912" s="92">
        <f t="shared" si="178"/>
        <v>8649.44</v>
      </c>
      <c r="H912" s="92">
        <f t="shared" si="178"/>
        <v>20685.560000000001</v>
      </c>
      <c r="I912" s="92">
        <f t="shared" si="178"/>
        <v>8544.6400000000012</v>
      </c>
      <c r="J912" s="92">
        <f t="shared" si="178"/>
        <v>26510.260000000002</v>
      </c>
      <c r="K912" s="92">
        <f t="shared" si="178"/>
        <v>85593.88</v>
      </c>
      <c r="L912" s="92">
        <f t="shared" si="178"/>
        <v>11127.870000000003</v>
      </c>
      <c r="M912" s="92">
        <f t="shared" si="178"/>
        <v>25921.67</v>
      </c>
      <c r="N912" s="92">
        <f t="shared" si="178"/>
        <v>12352.24</v>
      </c>
    </row>
    <row r="913" spans="1:16" x14ac:dyDescent="0.3">
      <c r="A913" s="146"/>
      <c r="B913" s="94">
        <v>42767</v>
      </c>
      <c r="C913" s="92">
        <f t="shared" ref="C913:N913" si="179">C41+C150+C259+C367+C476+C804</f>
        <v>585690.94999999995</v>
      </c>
      <c r="D913" s="92">
        <f t="shared" si="179"/>
        <v>218952.33999999997</v>
      </c>
      <c r="E913" s="92">
        <f t="shared" si="179"/>
        <v>60295.09</v>
      </c>
      <c r="F913" s="92">
        <f t="shared" si="179"/>
        <v>58258.71</v>
      </c>
      <c r="G913" s="92">
        <f t="shared" si="179"/>
        <v>10338.930000000002</v>
      </c>
      <c r="H913" s="92">
        <f t="shared" si="179"/>
        <v>16321.34</v>
      </c>
      <c r="I913" s="92">
        <f t="shared" si="179"/>
        <v>10550.84</v>
      </c>
      <c r="J913" s="92">
        <f t="shared" si="179"/>
        <v>98316.19</v>
      </c>
      <c r="K913" s="92">
        <f t="shared" si="179"/>
        <v>70469.06</v>
      </c>
      <c r="L913" s="92">
        <f t="shared" si="179"/>
        <v>19796.770000000004</v>
      </c>
      <c r="M913" s="92">
        <f t="shared" si="179"/>
        <v>22154.850000000002</v>
      </c>
      <c r="N913" s="92">
        <f t="shared" si="179"/>
        <v>236.83</v>
      </c>
    </row>
    <row r="914" spans="1:16" x14ac:dyDescent="0.3">
      <c r="A914" s="146"/>
      <c r="B914" s="94">
        <v>42795</v>
      </c>
      <c r="C914" s="92">
        <f t="shared" ref="C914:N914" si="180">C42+C151+C260+C368+C477+C805</f>
        <v>715342.53</v>
      </c>
      <c r="D914" s="92">
        <f t="shared" si="180"/>
        <v>320249.56</v>
      </c>
      <c r="E914" s="92">
        <f t="shared" si="180"/>
        <v>56389.079999999994</v>
      </c>
      <c r="F914" s="92">
        <f t="shared" si="180"/>
        <v>92495.55</v>
      </c>
      <c r="G914" s="92">
        <f t="shared" si="180"/>
        <v>17213.349999999999</v>
      </c>
      <c r="H914" s="92">
        <f t="shared" si="180"/>
        <v>25862.799999999999</v>
      </c>
      <c r="I914" s="92">
        <f t="shared" si="180"/>
        <v>26893.090000000004</v>
      </c>
      <c r="J914" s="92">
        <f t="shared" si="180"/>
        <v>34025.740000000005</v>
      </c>
      <c r="K914" s="92">
        <f t="shared" si="180"/>
        <v>98259.43</v>
      </c>
      <c r="L914" s="92">
        <f t="shared" si="180"/>
        <v>20187.86</v>
      </c>
      <c r="M914" s="92">
        <f t="shared" si="180"/>
        <v>19748.739999999998</v>
      </c>
      <c r="N914" s="92">
        <f t="shared" si="180"/>
        <v>4017.33</v>
      </c>
    </row>
    <row r="915" spans="1:16" x14ac:dyDescent="0.3">
      <c r="A915" s="146"/>
      <c r="B915" s="94">
        <v>42826</v>
      </c>
      <c r="C915" s="92">
        <f t="shared" ref="C915:N915" si="181">C43+C152+C261+C369+C478+C806</f>
        <v>495062.09</v>
      </c>
      <c r="D915" s="92">
        <f t="shared" si="181"/>
        <v>193763.02999999997</v>
      </c>
      <c r="E915" s="92">
        <f t="shared" si="181"/>
        <v>43760.11</v>
      </c>
      <c r="F915" s="92">
        <f t="shared" si="181"/>
        <v>56568.54</v>
      </c>
      <c r="G915" s="92">
        <f t="shared" si="181"/>
        <v>9166.0299999999988</v>
      </c>
      <c r="H915" s="92">
        <f t="shared" si="181"/>
        <v>14319.290000000003</v>
      </c>
      <c r="I915" s="92">
        <f t="shared" si="181"/>
        <v>10581.49</v>
      </c>
      <c r="J915" s="92">
        <f t="shared" si="181"/>
        <v>57196.760000000009</v>
      </c>
      <c r="K915" s="92">
        <f t="shared" si="181"/>
        <v>73435.75</v>
      </c>
      <c r="L915" s="92">
        <f t="shared" si="181"/>
        <v>12068.51</v>
      </c>
      <c r="M915" s="92">
        <f t="shared" si="181"/>
        <v>19731.730000000003</v>
      </c>
      <c r="N915" s="92">
        <f t="shared" si="181"/>
        <v>4470.8500000000004</v>
      </c>
    </row>
    <row r="916" spans="1:16" x14ac:dyDescent="0.3">
      <c r="A916" s="146"/>
      <c r="B916" s="94">
        <v>42856</v>
      </c>
      <c r="C916" s="92">
        <f t="shared" ref="C916:N916" si="182">C44+C153+C262+C370+C479+C807</f>
        <v>614751.57999999996</v>
      </c>
      <c r="D916" s="92">
        <f t="shared" si="182"/>
        <v>259876.77999999997</v>
      </c>
      <c r="E916" s="92">
        <f t="shared" si="182"/>
        <v>39577.050000000003</v>
      </c>
      <c r="F916" s="92">
        <f t="shared" si="182"/>
        <v>70581.600000000006</v>
      </c>
      <c r="G916" s="92">
        <f t="shared" si="182"/>
        <v>11412.320000000002</v>
      </c>
      <c r="H916" s="92">
        <f t="shared" si="182"/>
        <v>36090.539999999994</v>
      </c>
      <c r="I916" s="92">
        <f t="shared" si="182"/>
        <v>8923.08</v>
      </c>
      <c r="J916" s="92">
        <f t="shared" si="182"/>
        <v>40769.53</v>
      </c>
      <c r="K916" s="92">
        <f t="shared" si="182"/>
        <v>100376.87</v>
      </c>
      <c r="L916" s="92">
        <f t="shared" si="182"/>
        <v>19868.910000000003</v>
      </c>
      <c r="M916" s="92">
        <f t="shared" si="182"/>
        <v>19043.22</v>
      </c>
      <c r="N916" s="92">
        <f t="shared" si="182"/>
        <v>8231.68</v>
      </c>
    </row>
    <row r="917" spans="1:16" x14ac:dyDescent="0.3">
      <c r="A917" s="146"/>
      <c r="B917" s="94">
        <v>42887</v>
      </c>
      <c r="C917" s="92">
        <f t="shared" ref="C917:N917" si="183">C45+C154+C263+C371+C480+C808</f>
        <v>702645.78</v>
      </c>
      <c r="D917" s="92">
        <f t="shared" si="183"/>
        <v>281872.01</v>
      </c>
      <c r="E917" s="92">
        <f t="shared" si="183"/>
        <v>47833.33</v>
      </c>
      <c r="F917" s="92">
        <f t="shared" si="183"/>
        <v>65299.79</v>
      </c>
      <c r="G917" s="92">
        <f t="shared" si="183"/>
        <v>14392.920000000002</v>
      </c>
      <c r="H917" s="92">
        <f t="shared" si="183"/>
        <v>30170.99</v>
      </c>
      <c r="I917" s="92">
        <f t="shared" si="183"/>
        <v>15371.830000000002</v>
      </c>
      <c r="J917" s="92">
        <f t="shared" si="183"/>
        <v>102292.93000000001</v>
      </c>
      <c r="K917" s="92">
        <f t="shared" si="183"/>
        <v>104632.19</v>
      </c>
      <c r="L917" s="92">
        <f t="shared" si="183"/>
        <v>19358.09</v>
      </c>
      <c r="M917" s="92">
        <f t="shared" si="183"/>
        <v>16965.02</v>
      </c>
      <c r="N917" s="92">
        <f t="shared" si="183"/>
        <v>4456.68</v>
      </c>
    </row>
    <row r="918" spans="1:16" x14ac:dyDescent="0.3">
      <c r="A918" s="146"/>
      <c r="B918" s="94">
        <v>42917</v>
      </c>
      <c r="C918" s="92">
        <f t="shared" ref="C918:N918" si="184">C46+C155+C264+C372+C481+C809</f>
        <v>548977.73</v>
      </c>
      <c r="D918" s="92">
        <f t="shared" si="184"/>
        <v>221675.69</v>
      </c>
      <c r="E918" s="92">
        <f t="shared" si="184"/>
        <v>62565.919999999998</v>
      </c>
      <c r="F918" s="92">
        <f t="shared" si="184"/>
        <v>88275.11</v>
      </c>
      <c r="G918" s="92">
        <f t="shared" si="184"/>
        <v>11317.34</v>
      </c>
      <c r="H918" s="92">
        <f t="shared" si="184"/>
        <v>10070.320000000002</v>
      </c>
      <c r="I918" s="92">
        <f t="shared" si="184"/>
        <v>8369.98</v>
      </c>
      <c r="J918" s="92">
        <f t="shared" si="184"/>
        <v>23273.1</v>
      </c>
      <c r="K918" s="92">
        <f t="shared" si="184"/>
        <v>86117.659999999989</v>
      </c>
      <c r="L918" s="92">
        <f t="shared" si="184"/>
        <v>17998.27</v>
      </c>
      <c r="M918" s="92">
        <f t="shared" si="184"/>
        <v>18714.97</v>
      </c>
      <c r="N918" s="92">
        <f t="shared" si="184"/>
        <v>599.37</v>
      </c>
    </row>
    <row r="919" spans="1:16" x14ac:dyDescent="0.3">
      <c r="A919" s="146"/>
      <c r="B919" s="94">
        <v>42948</v>
      </c>
      <c r="C919" s="92">
        <f t="shared" ref="C919:N919" si="185">C47+C156+C265+C373+C482+C810</f>
        <v>398704.19</v>
      </c>
      <c r="D919" s="92">
        <f t="shared" si="185"/>
        <v>194836.36000000002</v>
      </c>
      <c r="E919" s="92">
        <f t="shared" si="185"/>
        <v>20925.600000000002</v>
      </c>
      <c r="F919" s="92">
        <f t="shared" si="185"/>
        <v>40594.03</v>
      </c>
      <c r="G919" s="92">
        <f t="shared" si="185"/>
        <v>7442.13</v>
      </c>
      <c r="H919" s="92">
        <f t="shared" si="185"/>
        <v>9524.619999999999</v>
      </c>
      <c r="I919" s="92">
        <f t="shared" si="185"/>
        <v>12946.81</v>
      </c>
      <c r="J919" s="92">
        <f t="shared" si="185"/>
        <v>31401.34</v>
      </c>
      <c r="K919" s="92">
        <f t="shared" si="185"/>
        <v>52777.530000000006</v>
      </c>
      <c r="L919" s="92">
        <f t="shared" si="185"/>
        <v>17297.240000000002</v>
      </c>
      <c r="M919" s="92">
        <f t="shared" si="185"/>
        <v>10522.390000000001</v>
      </c>
      <c r="N919" s="92">
        <f t="shared" si="185"/>
        <v>436.14</v>
      </c>
    </row>
    <row r="920" spans="1:16" x14ac:dyDescent="0.3">
      <c r="A920" s="146"/>
      <c r="B920" s="94">
        <v>42979</v>
      </c>
      <c r="C920" s="92">
        <f t="shared" ref="C920:N920" si="186">C48+C157+C266+C374+C483+C811</f>
        <v>672639.97999999986</v>
      </c>
      <c r="D920" s="92">
        <f t="shared" si="186"/>
        <v>326867.23000000004</v>
      </c>
      <c r="E920" s="92">
        <f t="shared" si="186"/>
        <v>57792.44</v>
      </c>
      <c r="F920" s="92">
        <f t="shared" si="186"/>
        <v>38557.480000000003</v>
      </c>
      <c r="G920" s="92">
        <f t="shared" si="186"/>
        <v>7779.7600000000011</v>
      </c>
      <c r="H920" s="92">
        <f t="shared" si="186"/>
        <v>16993.899999999998</v>
      </c>
      <c r="I920" s="92">
        <f t="shared" si="186"/>
        <v>12880.88</v>
      </c>
      <c r="J920" s="92">
        <f t="shared" si="186"/>
        <v>65483.26</v>
      </c>
      <c r="K920" s="92">
        <f t="shared" si="186"/>
        <v>86875.02</v>
      </c>
      <c r="L920" s="92">
        <f t="shared" si="186"/>
        <v>28018.530000000002</v>
      </c>
      <c r="M920" s="92">
        <f t="shared" si="186"/>
        <v>27904.940000000002</v>
      </c>
      <c r="N920" s="92">
        <f t="shared" si="186"/>
        <v>3486.54</v>
      </c>
    </row>
    <row r="921" spans="1:16" x14ac:dyDescent="0.3">
      <c r="A921" s="146"/>
      <c r="B921" s="94">
        <v>43009</v>
      </c>
      <c r="C921" s="92">
        <f t="shared" ref="C921:N921" si="187">C49+C158+C267+C375+C484+C812</f>
        <v>731532.11999999988</v>
      </c>
      <c r="D921" s="92">
        <f t="shared" si="187"/>
        <v>322102.23</v>
      </c>
      <c r="E921" s="92">
        <f t="shared" si="187"/>
        <v>51130.369999999995</v>
      </c>
      <c r="F921" s="92">
        <f t="shared" si="187"/>
        <v>80031.78</v>
      </c>
      <c r="G921" s="92">
        <f t="shared" si="187"/>
        <v>13645.800000000001</v>
      </c>
      <c r="H921" s="92">
        <f t="shared" si="187"/>
        <v>7660.26</v>
      </c>
      <c r="I921" s="92">
        <f t="shared" si="187"/>
        <v>24887.97</v>
      </c>
      <c r="J921" s="92">
        <f t="shared" si="187"/>
        <v>86683.3</v>
      </c>
      <c r="K921" s="92">
        <f t="shared" si="187"/>
        <v>102609.70999999999</v>
      </c>
      <c r="L921" s="92">
        <f t="shared" si="187"/>
        <v>18900.900000000001</v>
      </c>
      <c r="M921" s="92">
        <f t="shared" si="187"/>
        <v>20383.43</v>
      </c>
      <c r="N921" s="92">
        <f t="shared" si="187"/>
        <v>3496.37</v>
      </c>
    </row>
    <row r="922" spans="1:16" x14ac:dyDescent="0.3">
      <c r="A922" s="146"/>
      <c r="B922" s="94">
        <v>43040</v>
      </c>
      <c r="C922" s="92">
        <f t="shared" ref="C922:N922" si="188">C50+C159+C268+C376+C485+C813</f>
        <v>836468.91</v>
      </c>
      <c r="D922" s="92">
        <f t="shared" si="188"/>
        <v>331165.67000000004</v>
      </c>
      <c r="E922" s="92">
        <f t="shared" si="188"/>
        <v>42656.76</v>
      </c>
      <c r="F922" s="92">
        <f t="shared" si="188"/>
        <v>69089.289999999994</v>
      </c>
      <c r="G922" s="92">
        <f t="shared" si="188"/>
        <v>29791.360000000001</v>
      </c>
      <c r="H922" s="92">
        <f t="shared" si="188"/>
        <v>17911.830000000005</v>
      </c>
      <c r="I922" s="92">
        <f t="shared" si="188"/>
        <v>12139.37</v>
      </c>
      <c r="J922" s="92">
        <f t="shared" si="188"/>
        <v>202003.97</v>
      </c>
      <c r="K922" s="92">
        <f t="shared" si="188"/>
        <v>89599.790000000008</v>
      </c>
      <c r="L922" s="92">
        <f t="shared" si="188"/>
        <v>17895.86</v>
      </c>
      <c r="M922" s="92">
        <f t="shared" si="188"/>
        <v>18225.039999999997</v>
      </c>
      <c r="N922" s="92">
        <f t="shared" si="188"/>
        <v>5989.97</v>
      </c>
    </row>
    <row r="923" spans="1:16" x14ac:dyDescent="0.3">
      <c r="A923" s="146"/>
      <c r="B923" s="94">
        <v>43070</v>
      </c>
      <c r="C923" s="92">
        <f t="shared" ref="C923:N923" si="189">C51+C160+C269+C377+C486+C814</f>
        <v>521063.74000000005</v>
      </c>
      <c r="D923" s="92">
        <f t="shared" si="189"/>
        <v>170237.29</v>
      </c>
      <c r="E923" s="92">
        <f t="shared" si="189"/>
        <v>33824.14</v>
      </c>
      <c r="F923" s="92">
        <f t="shared" si="189"/>
        <v>97959.75</v>
      </c>
      <c r="G923" s="92">
        <f t="shared" si="189"/>
        <v>9692.0700000000015</v>
      </c>
      <c r="H923" s="92">
        <f t="shared" si="189"/>
        <v>24721.41</v>
      </c>
      <c r="I923" s="92">
        <f t="shared" si="189"/>
        <v>20973.180000000004</v>
      </c>
      <c r="J923" s="92">
        <f t="shared" si="189"/>
        <v>45077.270000000004</v>
      </c>
      <c r="K923" s="92">
        <f t="shared" si="189"/>
        <v>75668.41</v>
      </c>
      <c r="L923" s="92">
        <f t="shared" si="189"/>
        <v>16777.920000000002</v>
      </c>
      <c r="M923" s="92">
        <f t="shared" si="189"/>
        <v>20631.88</v>
      </c>
      <c r="N923" s="92">
        <f t="shared" si="189"/>
        <v>5500.42</v>
      </c>
    </row>
    <row r="924" spans="1:16" x14ac:dyDescent="0.3">
      <c r="A924" s="146"/>
      <c r="B924" s="94">
        <v>43101</v>
      </c>
      <c r="C924" s="92">
        <f t="shared" ref="C924:N924" si="190">C52+C161+C270+C378+C487+C815</f>
        <v>584694.38000000012</v>
      </c>
      <c r="D924" s="92">
        <f t="shared" si="190"/>
        <v>244038.24000000002</v>
      </c>
      <c r="E924" s="92">
        <f t="shared" si="190"/>
        <v>55470.340000000004</v>
      </c>
      <c r="F924" s="92">
        <f t="shared" si="190"/>
        <v>57681.3</v>
      </c>
      <c r="G924" s="92">
        <f t="shared" si="190"/>
        <v>8703.02</v>
      </c>
      <c r="H924" s="92">
        <f t="shared" si="190"/>
        <v>30155.33</v>
      </c>
      <c r="I924" s="92">
        <f t="shared" si="190"/>
        <v>12799.26</v>
      </c>
      <c r="J924" s="92">
        <f t="shared" si="190"/>
        <v>20081.54</v>
      </c>
      <c r="K924" s="92">
        <f t="shared" si="190"/>
        <v>114410.98</v>
      </c>
      <c r="L924" s="92">
        <f t="shared" si="190"/>
        <v>17964.39</v>
      </c>
      <c r="M924" s="92">
        <f t="shared" si="190"/>
        <v>16941.009999999998</v>
      </c>
      <c r="N924" s="92">
        <f t="shared" si="190"/>
        <v>3846.4399999999996</v>
      </c>
    </row>
    <row r="925" spans="1:16" x14ac:dyDescent="0.3">
      <c r="A925" s="146"/>
      <c r="B925" s="94">
        <v>43132</v>
      </c>
      <c r="C925" s="92">
        <f t="shared" ref="C925:N925" si="191">C53+C162+C271+C379+C488+C816</f>
        <v>545375.16999999993</v>
      </c>
      <c r="D925" s="92">
        <f t="shared" si="191"/>
        <v>231577.52</v>
      </c>
      <c r="E925" s="92">
        <f t="shared" si="191"/>
        <v>33577.78</v>
      </c>
      <c r="F925" s="92">
        <f t="shared" si="191"/>
        <v>65802.37</v>
      </c>
      <c r="G925" s="92">
        <f t="shared" si="191"/>
        <v>14371.560000000001</v>
      </c>
      <c r="H925" s="92">
        <f t="shared" si="191"/>
        <v>34839.42</v>
      </c>
      <c r="I925" s="92">
        <f t="shared" si="191"/>
        <v>12714.179999999998</v>
      </c>
      <c r="J925" s="92">
        <f t="shared" si="191"/>
        <v>40224.33</v>
      </c>
      <c r="K925" s="92">
        <f t="shared" si="191"/>
        <v>74299.680000000008</v>
      </c>
      <c r="L925" s="92">
        <f t="shared" si="191"/>
        <v>16568.66</v>
      </c>
      <c r="M925" s="92">
        <f t="shared" si="191"/>
        <v>14068.289999999999</v>
      </c>
      <c r="N925" s="92">
        <f t="shared" si="191"/>
        <v>2442.94</v>
      </c>
    </row>
    <row r="926" spans="1:16" x14ac:dyDescent="0.3">
      <c r="A926" s="146"/>
      <c r="B926" s="94">
        <v>43160</v>
      </c>
      <c r="C926" s="92">
        <f t="shared" ref="C926:N926" si="192">C54+C163+C272+C380+C489+C817</f>
        <v>768598.88</v>
      </c>
      <c r="D926" s="92">
        <f t="shared" si="192"/>
        <v>307526.14</v>
      </c>
      <c r="E926" s="92">
        <f t="shared" si="192"/>
        <v>50682.67</v>
      </c>
      <c r="F926" s="92">
        <f t="shared" si="192"/>
        <v>70024.61</v>
      </c>
      <c r="G926" s="92">
        <f t="shared" si="192"/>
        <v>16274.43</v>
      </c>
      <c r="H926" s="92">
        <f t="shared" si="192"/>
        <v>42602.51</v>
      </c>
      <c r="I926" s="92">
        <f t="shared" si="192"/>
        <v>17373.46</v>
      </c>
      <c r="J926" s="92">
        <f t="shared" si="192"/>
        <v>96865.39</v>
      </c>
      <c r="K926" s="92">
        <f t="shared" si="192"/>
        <v>105783.84000000001</v>
      </c>
      <c r="L926" s="92">
        <f t="shared" si="192"/>
        <v>27458.58</v>
      </c>
      <c r="M926" s="92">
        <f t="shared" si="192"/>
        <v>17080.37</v>
      </c>
      <c r="N926" s="92">
        <f t="shared" si="192"/>
        <v>9034.41</v>
      </c>
      <c r="P926" s="117">
        <f t="shared" ref="P926:P977" si="193">P54+P163+P272+P380+P489+P817</f>
        <v>7892.47</v>
      </c>
    </row>
    <row r="927" spans="1:16" x14ac:dyDescent="0.3">
      <c r="A927" s="146"/>
      <c r="B927" s="94">
        <v>43191</v>
      </c>
      <c r="C927" s="92">
        <f t="shared" ref="C927:N927" si="194">C55+C164+C273+C381+C490+C818</f>
        <v>586091.77</v>
      </c>
      <c r="D927" s="92">
        <f t="shared" si="194"/>
        <v>251869.7</v>
      </c>
      <c r="E927" s="92">
        <f t="shared" si="194"/>
        <v>31506.510000000002</v>
      </c>
      <c r="F927" s="92">
        <f t="shared" si="194"/>
        <v>72860.429999999993</v>
      </c>
      <c r="G927" s="92">
        <f t="shared" si="194"/>
        <v>19208.55</v>
      </c>
      <c r="H927" s="92">
        <f t="shared" si="194"/>
        <v>18612.390000000003</v>
      </c>
      <c r="I927" s="92">
        <f t="shared" si="194"/>
        <v>11467.439999999999</v>
      </c>
      <c r="J927" s="92">
        <f t="shared" si="194"/>
        <v>40184.759999999995</v>
      </c>
      <c r="K927" s="92">
        <f t="shared" si="194"/>
        <v>77597.83</v>
      </c>
      <c r="L927" s="92">
        <f t="shared" si="194"/>
        <v>33967.630000000005</v>
      </c>
      <c r="M927" s="92">
        <f t="shared" si="194"/>
        <v>18398.269999999997</v>
      </c>
      <c r="N927" s="92">
        <f t="shared" si="194"/>
        <v>4515.04</v>
      </c>
      <c r="P927" s="117">
        <f t="shared" si="193"/>
        <v>5903.22</v>
      </c>
    </row>
    <row r="928" spans="1:16" x14ac:dyDescent="0.3">
      <c r="A928" s="146"/>
      <c r="B928" s="94">
        <v>43221</v>
      </c>
      <c r="C928" s="92">
        <f t="shared" ref="C928:N928" si="195">C56+C165+C274+C382+C491+C819</f>
        <v>568510.14999999991</v>
      </c>
      <c r="D928" s="92">
        <f t="shared" si="195"/>
        <v>206572.12</v>
      </c>
      <c r="E928" s="92">
        <f t="shared" si="195"/>
        <v>47565.380000000005</v>
      </c>
      <c r="F928" s="92">
        <f t="shared" si="195"/>
        <v>67969.26999999999</v>
      </c>
      <c r="G928" s="92">
        <f t="shared" si="195"/>
        <v>12949.56</v>
      </c>
      <c r="H928" s="92">
        <f t="shared" si="195"/>
        <v>28757.32</v>
      </c>
      <c r="I928" s="92">
        <f t="shared" si="195"/>
        <v>3004.2599999999998</v>
      </c>
      <c r="J928" s="92">
        <f t="shared" si="195"/>
        <v>67515.26999999999</v>
      </c>
      <c r="K928" s="92">
        <f t="shared" si="195"/>
        <v>79399.12</v>
      </c>
      <c r="L928" s="92">
        <f t="shared" si="195"/>
        <v>29901.97</v>
      </c>
      <c r="M928" s="92">
        <f t="shared" si="195"/>
        <v>12975.91</v>
      </c>
      <c r="N928" s="92">
        <f t="shared" si="195"/>
        <v>5992.8</v>
      </c>
      <c r="P928" s="117">
        <f t="shared" si="193"/>
        <v>5907.17</v>
      </c>
    </row>
    <row r="929" spans="1:16" x14ac:dyDescent="0.3">
      <c r="A929" s="146"/>
      <c r="B929" s="94">
        <v>43252</v>
      </c>
      <c r="C929" s="92">
        <f t="shared" ref="C929:N929" si="196">C57+C166+C275+C383+C492+C820</f>
        <v>765088.02399999998</v>
      </c>
      <c r="D929" s="92">
        <f t="shared" si="196"/>
        <v>313698.51999999996</v>
      </c>
      <c r="E929" s="92">
        <f t="shared" si="196"/>
        <v>74603.199999999997</v>
      </c>
      <c r="F929" s="92">
        <f t="shared" si="196"/>
        <v>65899.644</v>
      </c>
      <c r="G929" s="92">
        <f t="shared" si="196"/>
        <v>25511.86</v>
      </c>
      <c r="H929" s="92">
        <f t="shared" si="196"/>
        <v>50325.219999999994</v>
      </c>
      <c r="I929" s="92">
        <f t="shared" si="196"/>
        <v>21965.820000000003</v>
      </c>
      <c r="J929" s="92">
        <f t="shared" si="196"/>
        <v>54331</v>
      </c>
      <c r="K929" s="92">
        <f t="shared" si="196"/>
        <v>101947.85</v>
      </c>
      <c r="L929" s="92">
        <f t="shared" si="196"/>
        <v>26677.17</v>
      </c>
      <c r="M929" s="92">
        <f t="shared" si="196"/>
        <v>13821.669999999998</v>
      </c>
      <c r="N929" s="92">
        <f t="shared" si="196"/>
        <v>9392.35</v>
      </c>
      <c r="P929" s="117">
        <f t="shared" si="193"/>
        <v>6913.7199999999993</v>
      </c>
    </row>
    <row r="930" spans="1:16" x14ac:dyDescent="0.3">
      <c r="A930" s="146"/>
      <c r="B930" s="94">
        <v>43282</v>
      </c>
      <c r="C930" s="92">
        <f t="shared" ref="C930:N930" si="197">C58+C167+C276+C384+C493+C821</f>
        <v>645719.28</v>
      </c>
      <c r="D930" s="92">
        <f t="shared" si="197"/>
        <v>236017.2</v>
      </c>
      <c r="E930" s="92">
        <f t="shared" si="197"/>
        <v>39758.819999999992</v>
      </c>
      <c r="F930" s="92">
        <f t="shared" si="197"/>
        <v>85458.97</v>
      </c>
      <c r="G930" s="92">
        <f t="shared" si="197"/>
        <v>19616.920000000002</v>
      </c>
      <c r="H930" s="92">
        <f t="shared" si="197"/>
        <v>48797.23</v>
      </c>
      <c r="I930" s="92">
        <f t="shared" si="197"/>
        <v>10977.380000000001</v>
      </c>
      <c r="J930" s="92">
        <f t="shared" si="197"/>
        <v>45269.619999999995</v>
      </c>
      <c r="K930" s="92">
        <f t="shared" si="197"/>
        <v>96240.29</v>
      </c>
      <c r="L930" s="92">
        <f t="shared" si="197"/>
        <v>28818.82</v>
      </c>
      <c r="M930" s="92">
        <f t="shared" si="197"/>
        <v>11903.62</v>
      </c>
      <c r="N930" s="92">
        <f t="shared" si="197"/>
        <v>11397.22</v>
      </c>
      <c r="P930" s="117">
        <f t="shared" si="193"/>
        <v>11463.189999999999</v>
      </c>
    </row>
    <row r="931" spans="1:16" x14ac:dyDescent="0.3">
      <c r="A931" s="146"/>
      <c r="B931" s="94">
        <v>43313</v>
      </c>
      <c r="C931" s="92">
        <f t="shared" ref="C931:N931" si="198">C59+C168+C277+C385+C494+C822</f>
        <v>442413.75999999995</v>
      </c>
      <c r="D931" s="92">
        <f t="shared" si="198"/>
        <v>151462.38</v>
      </c>
      <c r="E931" s="92">
        <f t="shared" si="198"/>
        <v>44500.7</v>
      </c>
      <c r="F931" s="92">
        <f t="shared" si="198"/>
        <v>41628.770000000004</v>
      </c>
      <c r="G931" s="92">
        <f t="shared" si="198"/>
        <v>10563.130000000001</v>
      </c>
      <c r="H931" s="92">
        <f t="shared" si="198"/>
        <v>13949.49</v>
      </c>
      <c r="I931" s="92">
        <f t="shared" si="198"/>
        <v>9612.31</v>
      </c>
      <c r="J931" s="92">
        <f t="shared" si="198"/>
        <v>51154.6</v>
      </c>
      <c r="K931" s="92">
        <f t="shared" si="198"/>
        <v>68787.590000000011</v>
      </c>
      <c r="L931" s="92">
        <f t="shared" si="198"/>
        <v>28548.149999999998</v>
      </c>
      <c r="M931" s="92">
        <f t="shared" si="198"/>
        <v>15688.04</v>
      </c>
      <c r="N931" s="92">
        <f t="shared" si="198"/>
        <v>3915.84</v>
      </c>
      <c r="P931" s="117">
        <f t="shared" si="193"/>
        <v>2602.7600000000002</v>
      </c>
    </row>
    <row r="932" spans="1:16" x14ac:dyDescent="0.3">
      <c r="A932" s="146"/>
      <c r="B932" s="94">
        <v>43344</v>
      </c>
      <c r="C932" s="92">
        <f t="shared" ref="C932:N932" si="199">C60+C169+C278+C386+C495+C823</f>
        <v>599812.76</v>
      </c>
      <c r="D932" s="92">
        <f t="shared" si="199"/>
        <v>245625.97</v>
      </c>
      <c r="E932" s="92">
        <f t="shared" si="199"/>
        <v>56421.120000000003</v>
      </c>
      <c r="F932" s="92">
        <f t="shared" si="199"/>
        <v>53845.3</v>
      </c>
      <c r="G932" s="92">
        <f t="shared" si="199"/>
        <v>11855.04</v>
      </c>
      <c r="H932" s="92">
        <f t="shared" si="199"/>
        <v>26488.289999999997</v>
      </c>
      <c r="I932" s="92">
        <f t="shared" si="199"/>
        <v>9956.11</v>
      </c>
      <c r="J932" s="92">
        <f t="shared" si="199"/>
        <v>53078.43</v>
      </c>
      <c r="K932" s="92">
        <f t="shared" si="199"/>
        <v>88389.489999999991</v>
      </c>
      <c r="L932" s="92">
        <f t="shared" si="199"/>
        <v>27332.659999999996</v>
      </c>
      <c r="M932" s="92">
        <f t="shared" si="199"/>
        <v>16992.269999999997</v>
      </c>
      <c r="N932" s="92">
        <f t="shared" si="199"/>
        <v>5535.88</v>
      </c>
      <c r="P932" s="117">
        <f t="shared" si="193"/>
        <v>4292.2</v>
      </c>
    </row>
    <row r="933" spans="1:16" x14ac:dyDescent="0.3">
      <c r="A933" s="146"/>
      <c r="B933" s="94">
        <v>43374</v>
      </c>
      <c r="C933" s="92">
        <f t="shared" ref="C933:N933" si="200">C61+C170+C279+C387+C496+C824</f>
        <v>714952.88</v>
      </c>
      <c r="D933" s="92">
        <f t="shared" si="200"/>
        <v>240087.75000000003</v>
      </c>
      <c r="E933" s="92">
        <f t="shared" si="200"/>
        <v>40767.19</v>
      </c>
      <c r="F933" s="92">
        <f t="shared" si="200"/>
        <v>65940</v>
      </c>
      <c r="G933" s="92">
        <f t="shared" si="200"/>
        <v>16373.240000000002</v>
      </c>
      <c r="H933" s="92">
        <f t="shared" si="200"/>
        <v>35729.44999999999</v>
      </c>
      <c r="I933" s="92">
        <f t="shared" si="200"/>
        <v>28072.289999999997</v>
      </c>
      <c r="J933" s="92">
        <f t="shared" si="200"/>
        <v>107669.01999999999</v>
      </c>
      <c r="K933" s="92">
        <f t="shared" si="200"/>
        <v>109054.06999999998</v>
      </c>
      <c r="L933" s="92">
        <f t="shared" si="200"/>
        <v>26024.400000000001</v>
      </c>
      <c r="M933" s="92">
        <f t="shared" si="200"/>
        <v>26916.73</v>
      </c>
      <c r="N933" s="92">
        <f t="shared" si="200"/>
        <v>2810.9600000000005</v>
      </c>
      <c r="P933" s="117">
        <f t="shared" si="193"/>
        <v>17365.940000000002</v>
      </c>
    </row>
    <row r="934" spans="1:16" x14ac:dyDescent="0.3">
      <c r="A934" s="146"/>
      <c r="B934" s="94">
        <v>43405</v>
      </c>
      <c r="C934" s="92">
        <f t="shared" ref="C934:N934" si="201">C62+C171+C280+C388+C497+C825</f>
        <v>741425.31</v>
      </c>
      <c r="D934" s="92">
        <f t="shared" si="201"/>
        <v>264429.69000000006</v>
      </c>
      <c r="E934" s="92">
        <f t="shared" si="201"/>
        <v>55985.439999999995</v>
      </c>
      <c r="F934" s="92">
        <f t="shared" si="201"/>
        <v>54531.960000000006</v>
      </c>
      <c r="G934" s="92">
        <f t="shared" si="201"/>
        <v>10205.4</v>
      </c>
      <c r="H934" s="92">
        <f t="shared" si="201"/>
        <v>21097.870000000003</v>
      </c>
      <c r="I934" s="92">
        <f t="shared" si="201"/>
        <v>83242.37000000001</v>
      </c>
      <c r="J934" s="92">
        <f t="shared" si="201"/>
        <v>51871.5</v>
      </c>
      <c r="K934" s="92">
        <f t="shared" si="201"/>
        <v>116809.11</v>
      </c>
      <c r="L934" s="92">
        <f t="shared" si="201"/>
        <v>44871.73</v>
      </c>
      <c r="M934" s="92">
        <f t="shared" si="201"/>
        <v>22898.649999999998</v>
      </c>
      <c r="N934" s="92">
        <f t="shared" si="201"/>
        <v>6765.14</v>
      </c>
      <c r="P934" s="117">
        <f t="shared" si="193"/>
        <v>8899.2199999999993</v>
      </c>
    </row>
    <row r="935" spans="1:16" x14ac:dyDescent="0.3">
      <c r="A935" s="146"/>
      <c r="B935" s="94">
        <v>43435</v>
      </c>
      <c r="C935" s="92">
        <f t="shared" ref="C935:N935" si="202">C63+C172+C281+C389+C498+C826</f>
        <v>536578.73</v>
      </c>
      <c r="D935" s="92">
        <f t="shared" si="202"/>
        <v>183200.03999999995</v>
      </c>
      <c r="E935" s="92">
        <f t="shared" si="202"/>
        <v>22930.06</v>
      </c>
      <c r="F935" s="92">
        <f t="shared" si="202"/>
        <v>59936.850000000006</v>
      </c>
      <c r="G935" s="92">
        <f t="shared" si="202"/>
        <v>15153.23</v>
      </c>
      <c r="H935" s="92">
        <f t="shared" si="202"/>
        <v>17299.900000000001</v>
      </c>
      <c r="I935" s="92">
        <f t="shared" si="202"/>
        <v>12066.439999999999</v>
      </c>
      <c r="J935" s="92">
        <f t="shared" si="202"/>
        <v>68730.320000000007</v>
      </c>
      <c r="K935" s="92">
        <f t="shared" si="202"/>
        <v>73957.48000000001</v>
      </c>
      <c r="L935" s="92">
        <f t="shared" si="202"/>
        <v>38464.700000000004</v>
      </c>
      <c r="M935" s="92">
        <f t="shared" si="202"/>
        <v>22348.65</v>
      </c>
      <c r="N935" s="92">
        <f t="shared" si="202"/>
        <v>3706.63</v>
      </c>
      <c r="O935" s="92">
        <f t="shared" ref="O935:O977" si="203">O63+O172+O281+O389+O498+O826</f>
        <v>0</v>
      </c>
      <c r="P935" s="117">
        <f t="shared" si="193"/>
        <v>18784.43</v>
      </c>
    </row>
    <row r="936" spans="1:16" x14ac:dyDescent="0.3">
      <c r="A936" s="146"/>
      <c r="B936" s="94">
        <v>43466</v>
      </c>
      <c r="C936" s="92">
        <f t="shared" ref="C936:N936" si="204">C64+C173+C282+C390+C499+C827</f>
        <v>590302.12</v>
      </c>
      <c r="D936" s="92">
        <f t="shared" si="204"/>
        <v>219229.45</v>
      </c>
      <c r="E936" s="92">
        <f t="shared" si="204"/>
        <v>59040.5</v>
      </c>
      <c r="F936" s="92">
        <f t="shared" si="204"/>
        <v>53547.909999999996</v>
      </c>
      <c r="G936" s="92">
        <f t="shared" si="204"/>
        <v>9113.6999999999989</v>
      </c>
      <c r="H936" s="92">
        <f t="shared" si="204"/>
        <v>26997.789999999997</v>
      </c>
      <c r="I936" s="92">
        <f t="shared" si="204"/>
        <v>12585.76</v>
      </c>
      <c r="J936" s="92">
        <f t="shared" si="204"/>
        <v>39266.630000000005</v>
      </c>
      <c r="K936" s="92">
        <f t="shared" si="204"/>
        <v>106591.65</v>
      </c>
      <c r="L936" s="92">
        <f t="shared" si="204"/>
        <v>31325.510000000002</v>
      </c>
      <c r="M936" s="92">
        <f t="shared" si="204"/>
        <v>21851.820000000003</v>
      </c>
      <c r="N936" s="92">
        <f t="shared" si="204"/>
        <v>4982.82</v>
      </c>
      <c r="O936" s="92">
        <f t="shared" si="203"/>
        <v>2129.2799999999997</v>
      </c>
      <c r="P936" s="117">
        <f t="shared" si="193"/>
        <v>3639.3</v>
      </c>
    </row>
    <row r="937" spans="1:16" x14ac:dyDescent="0.3">
      <c r="A937" s="146"/>
      <c r="B937" s="94">
        <v>43497</v>
      </c>
      <c r="C937" s="92">
        <f t="shared" ref="C937:N937" si="205">C65+C174+C283+C391+C500+C828</f>
        <v>603511.74</v>
      </c>
      <c r="D937" s="92">
        <f t="shared" si="205"/>
        <v>264970.53000000003</v>
      </c>
      <c r="E937" s="92">
        <f t="shared" si="205"/>
        <v>31765.31</v>
      </c>
      <c r="F937" s="92">
        <f t="shared" si="205"/>
        <v>65238.950000000004</v>
      </c>
      <c r="G937" s="92">
        <f t="shared" si="205"/>
        <v>7686.01</v>
      </c>
      <c r="H937" s="92">
        <f t="shared" si="205"/>
        <v>25124.16</v>
      </c>
      <c r="I937" s="92">
        <f t="shared" si="205"/>
        <v>14063.200000000003</v>
      </c>
      <c r="J937" s="92">
        <f t="shared" si="205"/>
        <v>33909.65</v>
      </c>
      <c r="K937" s="92">
        <f t="shared" si="205"/>
        <v>98217.739999999991</v>
      </c>
      <c r="L937" s="92">
        <f t="shared" si="205"/>
        <v>28114.980000000003</v>
      </c>
      <c r="M937" s="92">
        <f t="shared" si="205"/>
        <v>26141.440000000002</v>
      </c>
      <c r="N937" s="92">
        <f t="shared" si="205"/>
        <v>1664.6399999999999</v>
      </c>
      <c r="O937" s="92">
        <f t="shared" si="203"/>
        <v>3590.29</v>
      </c>
      <c r="P937" s="117">
        <f t="shared" si="193"/>
        <v>3024.8399999999997</v>
      </c>
    </row>
    <row r="938" spans="1:16" x14ac:dyDescent="0.3">
      <c r="A938" s="146"/>
      <c r="B938" s="94">
        <v>43525</v>
      </c>
      <c r="C938" s="92">
        <f t="shared" ref="C938:N938" si="206">C66+C175+C284+C392+C501+C829</f>
        <v>645900.61999999988</v>
      </c>
      <c r="D938" s="92">
        <f t="shared" si="206"/>
        <v>282897.35000000003</v>
      </c>
      <c r="E938" s="92">
        <f t="shared" si="206"/>
        <v>47793.639999999992</v>
      </c>
      <c r="F938" s="92">
        <f t="shared" si="206"/>
        <v>51579.119999999995</v>
      </c>
      <c r="G938" s="92">
        <f t="shared" si="206"/>
        <v>14608.619999999999</v>
      </c>
      <c r="H938" s="92">
        <f t="shared" si="206"/>
        <v>22533.72</v>
      </c>
      <c r="I938" s="92">
        <f t="shared" si="206"/>
        <v>10836.949999999999</v>
      </c>
      <c r="J938" s="92">
        <f t="shared" si="206"/>
        <v>48773.56</v>
      </c>
      <c r="K938" s="92">
        <f t="shared" si="206"/>
        <v>103182.59</v>
      </c>
      <c r="L938" s="92">
        <f t="shared" si="206"/>
        <v>22164.529999999995</v>
      </c>
      <c r="M938" s="92">
        <f t="shared" si="206"/>
        <v>22866.510000000002</v>
      </c>
      <c r="N938" s="92">
        <f t="shared" si="206"/>
        <v>5098.57</v>
      </c>
      <c r="O938" s="92">
        <f t="shared" si="203"/>
        <v>6471.91</v>
      </c>
      <c r="P938" s="117">
        <f t="shared" si="193"/>
        <v>7093.5499999999993</v>
      </c>
    </row>
    <row r="939" spans="1:16" x14ac:dyDescent="0.3">
      <c r="A939" s="146"/>
      <c r="B939" s="94">
        <v>43556</v>
      </c>
      <c r="C939" s="92">
        <f t="shared" ref="C939:N939" si="207">C67+C176+C285+C393+C502+C830</f>
        <v>532579.86</v>
      </c>
      <c r="D939" s="92">
        <f t="shared" si="207"/>
        <v>198339.58</v>
      </c>
      <c r="E939" s="92">
        <f t="shared" si="207"/>
        <v>50915.299999999996</v>
      </c>
      <c r="F939" s="92">
        <f t="shared" si="207"/>
        <v>53431.579999999994</v>
      </c>
      <c r="G939" s="92">
        <f t="shared" si="207"/>
        <v>9054.8299999999981</v>
      </c>
      <c r="H939" s="92">
        <f t="shared" si="207"/>
        <v>20845.170000000002</v>
      </c>
      <c r="I939" s="92">
        <f t="shared" si="207"/>
        <v>17164.670000000002</v>
      </c>
      <c r="J939" s="92">
        <f t="shared" si="207"/>
        <v>19964.45</v>
      </c>
      <c r="K939" s="92">
        <f t="shared" si="207"/>
        <v>92187.58</v>
      </c>
      <c r="L939" s="92">
        <f t="shared" si="207"/>
        <v>27187.46</v>
      </c>
      <c r="M939" s="92">
        <f t="shared" si="207"/>
        <v>26777.4</v>
      </c>
      <c r="N939" s="92">
        <f t="shared" si="207"/>
        <v>5372.57</v>
      </c>
      <c r="O939" s="92">
        <f t="shared" si="203"/>
        <v>5714.64</v>
      </c>
      <c r="P939" s="117">
        <f t="shared" si="193"/>
        <v>5624.6299999999992</v>
      </c>
    </row>
    <row r="940" spans="1:16" x14ac:dyDescent="0.3">
      <c r="A940" s="146"/>
      <c r="B940" s="94">
        <v>43586</v>
      </c>
      <c r="C940" s="92">
        <f t="shared" ref="C940:N940" si="208">C68+C177+C286+C394+C503+C831</f>
        <v>565691.16999999993</v>
      </c>
      <c r="D940" s="92">
        <f t="shared" si="208"/>
        <v>222197.33000000005</v>
      </c>
      <c r="E940" s="92">
        <f t="shared" si="208"/>
        <v>20909.36</v>
      </c>
      <c r="F940" s="92">
        <f t="shared" si="208"/>
        <v>46431.880000000005</v>
      </c>
      <c r="G940" s="92">
        <f t="shared" si="208"/>
        <v>7032.09</v>
      </c>
      <c r="H940" s="92">
        <f t="shared" si="208"/>
        <v>24655.57</v>
      </c>
      <c r="I940" s="92">
        <f t="shared" si="208"/>
        <v>16767.43</v>
      </c>
      <c r="J940" s="92">
        <f t="shared" si="208"/>
        <v>66583.740000000005</v>
      </c>
      <c r="K940" s="92">
        <f t="shared" si="208"/>
        <v>81739.88</v>
      </c>
      <c r="L940" s="92">
        <f t="shared" si="208"/>
        <v>27436.93</v>
      </c>
      <c r="M940" s="92">
        <f t="shared" si="208"/>
        <v>27031.06</v>
      </c>
      <c r="N940" s="92">
        <f t="shared" si="208"/>
        <v>1303.77</v>
      </c>
      <c r="O940" s="92">
        <f t="shared" si="203"/>
        <v>10773.789999999999</v>
      </c>
      <c r="P940" s="117">
        <f t="shared" si="193"/>
        <v>12828.339999999998</v>
      </c>
    </row>
    <row r="941" spans="1:16" x14ac:dyDescent="0.3">
      <c r="A941" s="146"/>
      <c r="B941" s="94">
        <v>43617</v>
      </c>
      <c r="C941" s="92">
        <f t="shared" ref="C941:N941" si="209">C69+C178+C287+C395+C504+C832</f>
        <v>669906.48999999987</v>
      </c>
      <c r="D941" s="92">
        <f t="shared" si="209"/>
        <v>250230.2</v>
      </c>
      <c r="E941" s="92">
        <f t="shared" si="209"/>
        <v>30075.11</v>
      </c>
      <c r="F941" s="92">
        <f t="shared" si="209"/>
        <v>63487.500000000007</v>
      </c>
      <c r="G941" s="92">
        <f t="shared" si="209"/>
        <v>10143.209999999999</v>
      </c>
      <c r="H941" s="92">
        <f t="shared" si="209"/>
        <v>35905.93</v>
      </c>
      <c r="I941" s="92">
        <f t="shared" si="209"/>
        <v>20593.590000000004</v>
      </c>
      <c r="J941" s="92">
        <f t="shared" si="209"/>
        <v>74748.25</v>
      </c>
      <c r="K941" s="92">
        <f t="shared" si="209"/>
        <v>108785.2</v>
      </c>
      <c r="L941" s="92">
        <f t="shared" si="209"/>
        <v>35924.6</v>
      </c>
      <c r="M941" s="92">
        <f t="shared" si="209"/>
        <v>27014.28</v>
      </c>
      <c r="N941" s="92">
        <f t="shared" si="209"/>
        <v>1481.6</v>
      </c>
      <c r="O941" s="92">
        <f t="shared" si="203"/>
        <v>2544.62</v>
      </c>
      <c r="P941" s="117">
        <f t="shared" si="193"/>
        <v>8972.4</v>
      </c>
    </row>
    <row r="942" spans="1:16" x14ac:dyDescent="0.3">
      <c r="A942" s="146"/>
      <c r="B942" s="94">
        <v>43647</v>
      </c>
      <c r="C942" s="92">
        <f t="shared" ref="C942:N942" si="210">C70+C179+C288+C396+C505+C833</f>
        <v>575649.56999999995</v>
      </c>
      <c r="D942" s="92">
        <f t="shared" si="210"/>
        <v>224237.94999999995</v>
      </c>
      <c r="E942" s="92">
        <f t="shared" si="210"/>
        <v>24484.17</v>
      </c>
      <c r="F942" s="92">
        <f t="shared" si="210"/>
        <v>94439.76999999999</v>
      </c>
      <c r="G942" s="92">
        <f t="shared" si="210"/>
        <v>11142.819999999998</v>
      </c>
      <c r="H942" s="92">
        <f t="shared" si="210"/>
        <v>31899.43</v>
      </c>
      <c r="I942" s="92">
        <f t="shared" si="210"/>
        <v>4938.2000000000007</v>
      </c>
      <c r="J942" s="92">
        <f t="shared" si="210"/>
        <v>42840.28</v>
      </c>
      <c r="K942" s="92">
        <f t="shared" si="210"/>
        <v>88678.2</v>
      </c>
      <c r="L942" s="92">
        <f t="shared" si="210"/>
        <v>22593.32</v>
      </c>
      <c r="M942" s="92">
        <f t="shared" si="210"/>
        <v>21637.000000000004</v>
      </c>
      <c r="N942" s="92">
        <f t="shared" si="210"/>
        <v>2571.85</v>
      </c>
      <c r="O942" s="92">
        <f t="shared" si="203"/>
        <v>3023.05</v>
      </c>
      <c r="P942" s="117">
        <f t="shared" si="193"/>
        <v>3163.5299999999997</v>
      </c>
    </row>
    <row r="943" spans="1:16" x14ac:dyDescent="0.3">
      <c r="A943" s="146"/>
      <c r="B943" s="94">
        <v>43678</v>
      </c>
      <c r="C943" s="92">
        <f t="shared" ref="C943:N943" si="211">C71+C180+C289+C397+C506+C834</f>
        <v>454930.19999999995</v>
      </c>
      <c r="D943" s="92">
        <f t="shared" si="211"/>
        <v>166304.1</v>
      </c>
      <c r="E943" s="92">
        <f t="shared" si="211"/>
        <v>23157.55</v>
      </c>
      <c r="F943" s="92">
        <f t="shared" si="211"/>
        <v>41189.51</v>
      </c>
      <c r="G943" s="92">
        <f t="shared" si="211"/>
        <v>3564.03</v>
      </c>
      <c r="H943" s="92">
        <f t="shared" si="211"/>
        <v>27421.09</v>
      </c>
      <c r="I943" s="92">
        <f t="shared" si="211"/>
        <v>18037.810000000001</v>
      </c>
      <c r="J943" s="92">
        <f t="shared" si="211"/>
        <v>46297.619999999995</v>
      </c>
      <c r="K943" s="92">
        <f t="shared" si="211"/>
        <v>56387.95</v>
      </c>
      <c r="L943" s="92">
        <f t="shared" si="211"/>
        <v>46584.029999999992</v>
      </c>
      <c r="M943" s="92">
        <f t="shared" si="211"/>
        <v>13718.3</v>
      </c>
      <c r="N943" s="92">
        <f t="shared" si="211"/>
        <v>770</v>
      </c>
      <c r="O943" s="92">
        <f t="shared" si="203"/>
        <v>8396.32</v>
      </c>
      <c r="P943" s="117">
        <f t="shared" si="193"/>
        <v>3101.89</v>
      </c>
    </row>
    <row r="944" spans="1:16" x14ac:dyDescent="0.3">
      <c r="A944" s="146"/>
      <c r="B944" s="94">
        <v>43709</v>
      </c>
      <c r="C944" s="92">
        <f t="shared" ref="C944:N944" si="212">C72+C181+C290+C398+C507+C835</f>
        <v>693717.38000000012</v>
      </c>
      <c r="D944" s="92">
        <f t="shared" si="212"/>
        <v>272738.93999999994</v>
      </c>
      <c r="E944" s="92">
        <f t="shared" si="212"/>
        <v>53068.259999999995</v>
      </c>
      <c r="F944" s="92">
        <f t="shared" si="212"/>
        <v>61409.590000000004</v>
      </c>
      <c r="G944" s="92">
        <f t="shared" si="212"/>
        <v>2020.59</v>
      </c>
      <c r="H944" s="92">
        <f t="shared" si="212"/>
        <v>35770.01</v>
      </c>
      <c r="I944" s="92">
        <f t="shared" si="212"/>
        <v>13837.919999999998</v>
      </c>
      <c r="J944" s="92">
        <f t="shared" si="212"/>
        <v>62376.079999999994</v>
      </c>
      <c r="K944" s="92">
        <f t="shared" si="212"/>
        <v>106619.34</v>
      </c>
      <c r="L944" s="92">
        <f t="shared" si="212"/>
        <v>51903.760000000009</v>
      </c>
      <c r="M944" s="92">
        <f t="shared" si="212"/>
        <v>21216.29</v>
      </c>
      <c r="N944" s="92">
        <f t="shared" si="212"/>
        <v>1340</v>
      </c>
      <c r="O944" s="92">
        <f t="shared" si="203"/>
        <v>5589.0700000000006</v>
      </c>
      <c r="P944" s="117">
        <f t="shared" si="193"/>
        <v>5827.53</v>
      </c>
    </row>
    <row r="945" spans="1:16" x14ac:dyDescent="0.3">
      <c r="A945" s="146"/>
      <c r="B945" s="94">
        <v>43739</v>
      </c>
      <c r="C945" s="92">
        <f t="shared" ref="C945:N945" si="213">C73+C182+C291+C399+C508+C836</f>
        <v>646101.69999999995</v>
      </c>
      <c r="D945" s="92">
        <f t="shared" si="213"/>
        <v>264910.76999999996</v>
      </c>
      <c r="E945" s="92">
        <f t="shared" si="213"/>
        <v>60895.19</v>
      </c>
      <c r="F945" s="92">
        <f t="shared" si="213"/>
        <v>63978.32</v>
      </c>
      <c r="G945" s="92">
        <f t="shared" si="213"/>
        <v>8013.1399999999994</v>
      </c>
      <c r="H945" s="92">
        <f t="shared" si="213"/>
        <v>38057.629999999997</v>
      </c>
      <c r="I945" s="92">
        <f t="shared" si="213"/>
        <v>6936.91</v>
      </c>
      <c r="J945" s="92">
        <f t="shared" si="213"/>
        <v>65513.67</v>
      </c>
      <c r="K945" s="92">
        <f t="shared" si="213"/>
        <v>84083.67</v>
      </c>
      <c r="L945" s="92">
        <f t="shared" si="213"/>
        <v>25838.449999999997</v>
      </c>
      <c r="M945" s="92">
        <f t="shared" si="213"/>
        <v>18064.82</v>
      </c>
      <c r="N945" s="92">
        <f t="shared" si="213"/>
        <v>390</v>
      </c>
      <c r="O945" s="92">
        <f t="shared" si="203"/>
        <v>2966.13</v>
      </c>
      <c r="P945" s="117">
        <f t="shared" si="193"/>
        <v>6453</v>
      </c>
    </row>
    <row r="946" spans="1:16" x14ac:dyDescent="0.3">
      <c r="A946" s="146"/>
      <c r="B946" s="94">
        <v>43770</v>
      </c>
      <c r="C946" s="92">
        <f t="shared" ref="C946:N946" si="214">C74+C183+C292+C400+C509+C837</f>
        <v>605168.16999999993</v>
      </c>
      <c r="D946" s="92">
        <f t="shared" si="214"/>
        <v>242622.8</v>
      </c>
      <c r="E946" s="92">
        <f t="shared" si="214"/>
        <v>29722.870000000003</v>
      </c>
      <c r="F946" s="92">
        <f t="shared" si="214"/>
        <v>49905</v>
      </c>
      <c r="G946" s="92">
        <f t="shared" si="214"/>
        <v>11397.910000000002</v>
      </c>
      <c r="H946" s="92">
        <f t="shared" si="214"/>
        <v>33786.880000000005</v>
      </c>
      <c r="I946" s="92">
        <f t="shared" si="214"/>
        <v>13930.9</v>
      </c>
      <c r="J946" s="92">
        <f t="shared" si="214"/>
        <v>37975.81</v>
      </c>
      <c r="K946" s="92">
        <f t="shared" si="214"/>
        <v>92120.320000000007</v>
      </c>
      <c r="L946" s="92">
        <f t="shared" si="214"/>
        <v>43104.85</v>
      </c>
      <c r="M946" s="92">
        <f t="shared" si="214"/>
        <v>18735.37</v>
      </c>
      <c r="N946" s="92">
        <f t="shared" si="214"/>
        <v>690</v>
      </c>
      <c r="O946" s="92">
        <f t="shared" si="203"/>
        <v>23506.16</v>
      </c>
      <c r="P946" s="117">
        <f t="shared" si="193"/>
        <v>7669.3</v>
      </c>
    </row>
    <row r="947" spans="1:16" x14ac:dyDescent="0.3">
      <c r="A947" s="146"/>
      <c r="B947" s="94">
        <v>43800</v>
      </c>
      <c r="C947" s="92">
        <f t="shared" ref="C947:N947" si="215">C75+C184+C293+C401+C510+C838</f>
        <v>516246.45</v>
      </c>
      <c r="D947" s="92">
        <f t="shared" si="215"/>
        <v>187775.88999999998</v>
      </c>
      <c r="E947" s="92">
        <f t="shared" si="215"/>
        <v>63106.979999999996</v>
      </c>
      <c r="F947" s="92">
        <f t="shared" si="215"/>
        <v>62716.479999999996</v>
      </c>
      <c r="G947" s="92">
        <f t="shared" si="215"/>
        <v>5978.09</v>
      </c>
      <c r="H947" s="92">
        <f t="shared" si="215"/>
        <v>26567.500000000004</v>
      </c>
      <c r="I947" s="92">
        <f t="shared" si="215"/>
        <v>13332.439999999999</v>
      </c>
      <c r="J947" s="92">
        <f t="shared" si="215"/>
        <v>18739.379999999997</v>
      </c>
      <c r="K947" s="92">
        <f t="shared" si="215"/>
        <v>75786.81</v>
      </c>
      <c r="L947" s="92">
        <f t="shared" si="215"/>
        <v>22529.51</v>
      </c>
      <c r="M947" s="92">
        <f t="shared" si="215"/>
        <v>12669.449999999999</v>
      </c>
      <c r="N947" s="92">
        <f t="shared" si="215"/>
        <v>2090.27</v>
      </c>
      <c r="O947" s="92">
        <f t="shared" si="203"/>
        <v>13736.91</v>
      </c>
      <c r="P947" s="117">
        <f t="shared" si="193"/>
        <v>11216.74</v>
      </c>
    </row>
    <row r="948" spans="1:16" ht="15.75" customHeight="1" x14ac:dyDescent="0.3">
      <c r="A948" s="146"/>
      <c r="B948" s="94">
        <v>43831</v>
      </c>
      <c r="C948" s="92">
        <f t="shared" ref="C948:N948" si="216">C76+C185+C294+C402+C511+C839</f>
        <v>549631.87</v>
      </c>
      <c r="D948" s="92">
        <f t="shared" si="216"/>
        <v>241039.17000000004</v>
      </c>
      <c r="E948" s="92">
        <f t="shared" si="216"/>
        <v>31495.32</v>
      </c>
      <c r="F948" s="92">
        <f t="shared" si="216"/>
        <v>31253.910000000003</v>
      </c>
      <c r="G948" s="92">
        <f t="shared" si="216"/>
        <v>4575.18</v>
      </c>
      <c r="H948" s="92">
        <f t="shared" si="216"/>
        <v>31597.260000000002</v>
      </c>
      <c r="I948" s="92">
        <f t="shared" si="216"/>
        <v>9852.2599999999984</v>
      </c>
      <c r="J948" s="92">
        <f t="shared" si="216"/>
        <v>38961.22</v>
      </c>
      <c r="K948" s="92">
        <f t="shared" si="216"/>
        <v>76359.459999999992</v>
      </c>
      <c r="L948" s="92">
        <f t="shared" si="216"/>
        <v>54223.41</v>
      </c>
      <c r="M948" s="92">
        <f t="shared" si="216"/>
        <v>14711.560000000001</v>
      </c>
      <c r="N948" s="92">
        <f t="shared" si="216"/>
        <v>735</v>
      </c>
      <c r="O948" s="92">
        <f t="shared" si="203"/>
        <v>9097.98</v>
      </c>
      <c r="P948" s="117">
        <f t="shared" si="193"/>
        <v>5730.1399999999994</v>
      </c>
    </row>
    <row r="949" spans="1:16" x14ac:dyDescent="0.3">
      <c r="A949" s="146"/>
      <c r="B949" s="94">
        <v>43862</v>
      </c>
      <c r="C949" s="92">
        <f t="shared" ref="C949:N949" si="217">C77+C186+C295+C403+C512+C840</f>
        <v>596757.68000000005</v>
      </c>
      <c r="D949" s="92">
        <f t="shared" si="217"/>
        <v>224440.14</v>
      </c>
      <c r="E949" s="92">
        <f t="shared" si="217"/>
        <v>22931.910000000003</v>
      </c>
      <c r="F949" s="92">
        <f t="shared" si="217"/>
        <v>77112.48000000001</v>
      </c>
      <c r="G949" s="92">
        <f t="shared" si="217"/>
        <v>4127.1099999999997</v>
      </c>
      <c r="H949" s="92">
        <f t="shared" si="217"/>
        <v>22581.23</v>
      </c>
      <c r="I949" s="92">
        <f t="shared" si="217"/>
        <v>9362.9399999999987</v>
      </c>
      <c r="J949" s="92">
        <f t="shared" si="217"/>
        <v>53995.8</v>
      </c>
      <c r="K949" s="92">
        <f t="shared" si="217"/>
        <v>94473.38</v>
      </c>
      <c r="L949" s="92">
        <f t="shared" si="217"/>
        <v>21596.83</v>
      </c>
      <c r="M949" s="92">
        <f t="shared" si="217"/>
        <v>10314.36</v>
      </c>
      <c r="N949" s="92">
        <f t="shared" si="217"/>
        <v>355</v>
      </c>
      <c r="O949" s="92">
        <f t="shared" si="203"/>
        <v>50002.85</v>
      </c>
      <c r="P949" s="117">
        <f t="shared" si="193"/>
        <v>5463.65</v>
      </c>
    </row>
    <row r="950" spans="1:16" x14ac:dyDescent="0.3">
      <c r="A950" s="146"/>
      <c r="B950" s="94">
        <v>43891</v>
      </c>
      <c r="C950" s="92">
        <f t="shared" ref="C950:N950" si="218">C78+C187+C296+C404+C513+C841</f>
        <v>360854.69</v>
      </c>
      <c r="D950" s="92">
        <f t="shared" si="218"/>
        <v>204744.93000000002</v>
      </c>
      <c r="E950" s="92">
        <f t="shared" si="218"/>
        <v>7808.0499999999993</v>
      </c>
      <c r="F950" s="92">
        <f t="shared" si="218"/>
        <v>38012.960000000006</v>
      </c>
      <c r="G950" s="92">
        <f t="shared" si="218"/>
        <v>2166.7399999999998</v>
      </c>
      <c r="H950" s="92">
        <f t="shared" si="218"/>
        <v>10061.629999999997</v>
      </c>
      <c r="I950" s="92">
        <f t="shared" si="218"/>
        <v>23525.809999999998</v>
      </c>
      <c r="J950" s="92">
        <f t="shared" si="218"/>
        <v>4470.5</v>
      </c>
      <c r="K950" s="92">
        <f t="shared" si="218"/>
        <v>37203.879999999997</v>
      </c>
      <c r="L950" s="92">
        <f t="shared" si="218"/>
        <v>14442.36</v>
      </c>
      <c r="M950" s="92">
        <f t="shared" si="218"/>
        <v>4718.76</v>
      </c>
      <c r="N950" s="92">
        <f t="shared" si="218"/>
        <v>0</v>
      </c>
      <c r="O950" s="92">
        <f t="shared" si="203"/>
        <v>12325.32</v>
      </c>
      <c r="P950" s="117">
        <f t="shared" si="193"/>
        <v>1373.75</v>
      </c>
    </row>
    <row r="951" spans="1:16" x14ac:dyDescent="0.3">
      <c r="A951" s="146"/>
      <c r="B951" s="94">
        <v>43922</v>
      </c>
      <c r="C951" s="92">
        <f t="shared" ref="C951:N951" si="219">C79+C188+C297+C405+C514+C842</f>
        <v>121465.31</v>
      </c>
      <c r="D951" s="92">
        <f t="shared" si="219"/>
        <v>76369.409999999989</v>
      </c>
      <c r="E951" s="92">
        <f t="shared" si="219"/>
        <v>127.19999999999999</v>
      </c>
      <c r="F951" s="92">
        <f t="shared" si="219"/>
        <v>3201.8599999999997</v>
      </c>
      <c r="G951" s="92">
        <f t="shared" si="219"/>
        <v>376.08000000000004</v>
      </c>
      <c r="H951" s="92">
        <f t="shared" si="219"/>
        <v>3731.13</v>
      </c>
      <c r="I951" s="92">
        <f t="shared" si="219"/>
        <v>22032.5</v>
      </c>
      <c r="J951" s="92">
        <f t="shared" si="219"/>
        <v>10359.799999999999</v>
      </c>
      <c r="K951" s="92">
        <f t="shared" si="219"/>
        <v>2802.1</v>
      </c>
      <c r="L951" s="92">
        <f t="shared" si="219"/>
        <v>2635.83</v>
      </c>
      <c r="M951" s="92">
        <f t="shared" si="219"/>
        <v>-1080.5</v>
      </c>
      <c r="N951" s="92">
        <f t="shared" si="219"/>
        <v>219.75</v>
      </c>
      <c r="O951" s="92">
        <f t="shared" si="203"/>
        <v>600.15</v>
      </c>
      <c r="P951" s="117">
        <f t="shared" si="193"/>
        <v>90</v>
      </c>
    </row>
    <row r="952" spans="1:16" x14ac:dyDescent="0.3">
      <c r="A952" s="146"/>
      <c r="B952" s="94">
        <v>43952</v>
      </c>
      <c r="C952" s="92">
        <f t="shared" ref="C952:N952" si="220">C80+C189+C298+C406+C515+C843</f>
        <v>242785.89</v>
      </c>
      <c r="D952" s="92">
        <f t="shared" si="220"/>
        <v>142490.25</v>
      </c>
      <c r="E952" s="92">
        <f t="shared" si="220"/>
        <v>7907.1600000000008</v>
      </c>
      <c r="F952" s="92">
        <f t="shared" si="220"/>
        <v>14937.42</v>
      </c>
      <c r="G952" s="92">
        <f t="shared" si="220"/>
        <v>2807.2699999999995</v>
      </c>
      <c r="H952" s="92">
        <f t="shared" si="220"/>
        <v>10442.619999999999</v>
      </c>
      <c r="I952" s="92">
        <f t="shared" si="220"/>
        <v>11955.42</v>
      </c>
      <c r="J952" s="92">
        <f t="shared" si="220"/>
        <v>6855.4</v>
      </c>
      <c r="K952" s="92">
        <f t="shared" si="220"/>
        <v>31028.670000000002</v>
      </c>
      <c r="L952" s="92">
        <f t="shared" si="220"/>
        <v>8422.6200000000008</v>
      </c>
      <c r="M952" s="92">
        <f t="shared" si="220"/>
        <v>1831.8199999999997</v>
      </c>
      <c r="N952" s="92">
        <f t="shared" si="220"/>
        <v>0</v>
      </c>
      <c r="O952" s="92">
        <f t="shared" si="203"/>
        <v>2309.7399999999998</v>
      </c>
      <c r="P952" s="117">
        <f t="shared" si="193"/>
        <v>1797.5</v>
      </c>
    </row>
    <row r="953" spans="1:16" x14ac:dyDescent="0.3">
      <c r="A953" s="146"/>
      <c r="B953" s="94">
        <v>43983</v>
      </c>
      <c r="C953" s="92">
        <f t="shared" ref="C953:N953" si="221">C81+C190+C299+C407+C516+C844</f>
        <v>451138.46000000008</v>
      </c>
      <c r="D953" s="92">
        <f t="shared" si="221"/>
        <v>243540.93999999997</v>
      </c>
      <c r="E953" s="92">
        <f t="shared" si="221"/>
        <v>4860.9000000000005</v>
      </c>
      <c r="F953" s="92">
        <f t="shared" si="221"/>
        <v>31442.560000000001</v>
      </c>
      <c r="G953" s="92">
        <f t="shared" si="221"/>
        <v>1961.14</v>
      </c>
      <c r="H953" s="92">
        <f t="shared" si="221"/>
        <v>7581.6</v>
      </c>
      <c r="I953" s="92">
        <f t="shared" si="221"/>
        <v>46613.04</v>
      </c>
      <c r="J953" s="92">
        <f t="shared" si="221"/>
        <v>22515.5</v>
      </c>
      <c r="K953" s="92">
        <f t="shared" si="221"/>
        <v>30795.359999999997</v>
      </c>
      <c r="L953" s="92">
        <f t="shared" si="221"/>
        <v>7987.7300000000005</v>
      </c>
      <c r="M953" s="92">
        <f t="shared" si="221"/>
        <v>5073.66</v>
      </c>
      <c r="N953" s="92">
        <f t="shared" si="221"/>
        <v>44815.75</v>
      </c>
      <c r="O953" s="92">
        <f t="shared" si="203"/>
        <v>865.28</v>
      </c>
      <c r="P953" s="117">
        <f t="shared" si="193"/>
        <v>3085</v>
      </c>
    </row>
    <row r="954" spans="1:16" x14ac:dyDescent="0.3">
      <c r="A954" s="146"/>
      <c r="B954" s="94">
        <v>44013</v>
      </c>
      <c r="C954" s="92">
        <f t="shared" ref="C954:N954" si="222">C82+C191+C300+C408+C517+C845</f>
        <v>467748.98999999993</v>
      </c>
      <c r="D954" s="92">
        <f t="shared" si="222"/>
        <v>238227.36999999994</v>
      </c>
      <c r="E954" s="92">
        <f t="shared" si="222"/>
        <v>12577.06</v>
      </c>
      <c r="F954" s="92">
        <f t="shared" si="222"/>
        <v>43899.390000000007</v>
      </c>
      <c r="G954" s="92">
        <f t="shared" si="222"/>
        <v>4851.42</v>
      </c>
      <c r="H954" s="92">
        <f t="shared" si="222"/>
        <v>20806.54</v>
      </c>
      <c r="I954" s="92">
        <f t="shared" si="222"/>
        <v>32551.67</v>
      </c>
      <c r="J954" s="92">
        <f t="shared" si="222"/>
        <v>17468.04</v>
      </c>
      <c r="K954" s="92">
        <f t="shared" si="222"/>
        <v>42199.8</v>
      </c>
      <c r="L954" s="92">
        <f t="shared" si="222"/>
        <v>24050.36</v>
      </c>
      <c r="M954" s="92">
        <f t="shared" si="222"/>
        <v>12169.050000000001</v>
      </c>
      <c r="N954" s="92">
        <f t="shared" si="222"/>
        <v>5897.9</v>
      </c>
      <c r="O954" s="92">
        <f t="shared" si="203"/>
        <v>5665.3899999999994</v>
      </c>
      <c r="P954" s="117">
        <f t="shared" si="193"/>
        <v>7385</v>
      </c>
    </row>
    <row r="955" spans="1:16" x14ac:dyDescent="0.3">
      <c r="A955" s="146"/>
      <c r="B955" s="94">
        <v>44044</v>
      </c>
      <c r="C955" s="92">
        <f t="shared" ref="C955:N955" si="223">C83+C192+C301+C409+C518+C846</f>
        <v>332702.68</v>
      </c>
      <c r="D955" s="92">
        <f t="shared" si="223"/>
        <v>165220.07999999999</v>
      </c>
      <c r="E955" s="92">
        <f t="shared" si="223"/>
        <v>10884.09</v>
      </c>
      <c r="F955" s="92">
        <f t="shared" si="223"/>
        <v>21688.460000000003</v>
      </c>
      <c r="G955" s="92">
        <f t="shared" si="223"/>
        <v>1395.97</v>
      </c>
      <c r="H955" s="92">
        <f t="shared" si="223"/>
        <v>10803.47</v>
      </c>
      <c r="I955" s="92">
        <f t="shared" si="223"/>
        <v>19667.620000000003</v>
      </c>
      <c r="J955" s="92">
        <f t="shared" si="223"/>
        <v>29996</v>
      </c>
      <c r="K955" s="92">
        <f t="shared" si="223"/>
        <v>28653.5</v>
      </c>
      <c r="L955" s="92">
        <f t="shared" si="223"/>
        <v>14788.619999999999</v>
      </c>
      <c r="M955" s="92">
        <f t="shared" si="223"/>
        <v>17287.68</v>
      </c>
      <c r="N955" s="92">
        <f t="shared" si="223"/>
        <v>0</v>
      </c>
      <c r="O955" s="92">
        <f t="shared" si="203"/>
        <v>7899.6900000000005</v>
      </c>
      <c r="P955" s="117">
        <f t="shared" si="193"/>
        <v>4417.5</v>
      </c>
    </row>
    <row r="956" spans="1:16" x14ac:dyDescent="0.3">
      <c r="A956" s="146"/>
      <c r="B956" s="94">
        <v>44075</v>
      </c>
      <c r="C956" s="92">
        <f t="shared" ref="C956:N956" si="224">C84+C193+C302+C410+C519+C847</f>
        <v>537830.32000000007</v>
      </c>
      <c r="D956" s="92">
        <f t="shared" si="224"/>
        <v>217524.85</v>
      </c>
      <c r="E956" s="92">
        <f t="shared" si="224"/>
        <v>38726.89</v>
      </c>
      <c r="F956" s="92">
        <f t="shared" si="224"/>
        <v>51076.359999999993</v>
      </c>
      <c r="G956" s="92">
        <f t="shared" si="224"/>
        <v>4806.4199999999992</v>
      </c>
      <c r="H956" s="92">
        <f t="shared" si="224"/>
        <v>27253.35</v>
      </c>
      <c r="I956" s="92">
        <f t="shared" si="224"/>
        <v>40766.85</v>
      </c>
      <c r="J956" s="92">
        <f t="shared" si="224"/>
        <v>30261.15</v>
      </c>
      <c r="K956" s="92">
        <f t="shared" si="224"/>
        <v>79246.98</v>
      </c>
      <c r="L956" s="92">
        <f t="shared" si="224"/>
        <v>25106.05</v>
      </c>
      <c r="M956" s="92">
        <f t="shared" si="224"/>
        <v>16234.980000000001</v>
      </c>
      <c r="N956" s="92">
        <f t="shared" si="224"/>
        <v>440</v>
      </c>
      <c r="O956" s="92">
        <f t="shared" si="203"/>
        <v>5131.9399999999996</v>
      </c>
      <c r="P956" s="117">
        <f t="shared" si="193"/>
        <v>1254.5</v>
      </c>
    </row>
    <row r="957" spans="1:16" x14ac:dyDescent="0.3">
      <c r="A957" s="146"/>
      <c r="B957" s="94">
        <v>44105</v>
      </c>
      <c r="C957" s="92">
        <f t="shared" ref="C957:N957" si="225">C85+C194+C303+C411+C520+C848</f>
        <v>436333.54</v>
      </c>
      <c r="D957" s="92">
        <f t="shared" si="225"/>
        <v>176999.31000000003</v>
      </c>
      <c r="E957" s="92">
        <f t="shared" si="225"/>
        <v>24453.200000000004</v>
      </c>
      <c r="F957" s="92">
        <f t="shared" si="225"/>
        <v>46187.41</v>
      </c>
      <c r="G957" s="92">
        <f t="shared" si="225"/>
        <v>4908.62</v>
      </c>
      <c r="H957" s="92">
        <f t="shared" si="225"/>
        <v>16913.309999999998</v>
      </c>
      <c r="I957" s="92">
        <f t="shared" si="225"/>
        <v>29503.33</v>
      </c>
      <c r="J957" s="92">
        <f t="shared" si="225"/>
        <v>19557.96</v>
      </c>
      <c r="K957" s="92">
        <f t="shared" si="225"/>
        <v>65470.209999999992</v>
      </c>
      <c r="L957" s="92">
        <f t="shared" si="225"/>
        <v>24319.46</v>
      </c>
      <c r="M957" s="92">
        <f t="shared" si="225"/>
        <v>12906.06</v>
      </c>
      <c r="N957" s="92">
        <f t="shared" si="225"/>
        <v>3412.36</v>
      </c>
      <c r="O957" s="92">
        <f t="shared" si="203"/>
        <v>9366.31</v>
      </c>
      <c r="P957" s="117">
        <f t="shared" si="193"/>
        <v>2336</v>
      </c>
    </row>
    <row r="958" spans="1:16" x14ac:dyDescent="0.3">
      <c r="A958" s="146"/>
      <c r="B958" s="94">
        <v>44136</v>
      </c>
      <c r="C958" s="92">
        <f t="shared" ref="C958:N958" si="226">C86+C195+C304+C412+C521+C849</f>
        <v>404084.06999999995</v>
      </c>
      <c r="D958" s="92">
        <f t="shared" si="226"/>
        <v>126943.68000000001</v>
      </c>
      <c r="E958" s="92">
        <f t="shared" si="226"/>
        <v>10865.41</v>
      </c>
      <c r="F958" s="92">
        <f t="shared" si="226"/>
        <v>46682.420000000006</v>
      </c>
      <c r="G958" s="92">
        <f t="shared" si="226"/>
        <v>5893.9400000000005</v>
      </c>
      <c r="H958" s="92">
        <f t="shared" si="226"/>
        <v>35030.009999999995</v>
      </c>
      <c r="I958" s="92">
        <f t="shared" si="226"/>
        <v>25919.309999999998</v>
      </c>
      <c r="J958" s="92">
        <f t="shared" si="226"/>
        <v>15026.95</v>
      </c>
      <c r="K958" s="92">
        <f t="shared" si="226"/>
        <v>77201.840000000011</v>
      </c>
      <c r="L958" s="92">
        <f t="shared" si="226"/>
        <v>21332.040000000005</v>
      </c>
      <c r="M958" s="92">
        <f t="shared" si="226"/>
        <v>11347.560000000001</v>
      </c>
      <c r="N958" s="92">
        <f t="shared" si="226"/>
        <v>0</v>
      </c>
      <c r="O958" s="92">
        <f t="shared" si="203"/>
        <v>33041.94</v>
      </c>
      <c r="P958" s="117">
        <f t="shared" si="193"/>
        <v>-5201.03</v>
      </c>
    </row>
    <row r="959" spans="1:16" x14ac:dyDescent="0.3">
      <c r="A959" s="146"/>
      <c r="B959" s="94">
        <v>44166</v>
      </c>
      <c r="C959" s="92">
        <f t="shared" ref="C959:N959" si="227">C87+C196+C305+C413+C522+C850</f>
        <v>427585.97</v>
      </c>
      <c r="D959" s="92">
        <f t="shared" si="227"/>
        <v>138836.66</v>
      </c>
      <c r="E959" s="92">
        <f t="shared" si="227"/>
        <v>15944.009999999998</v>
      </c>
      <c r="F959" s="92">
        <f t="shared" si="227"/>
        <v>52132.22</v>
      </c>
      <c r="G959" s="92">
        <f t="shared" si="227"/>
        <v>4145.4799999999996</v>
      </c>
      <c r="H959" s="92">
        <f t="shared" si="227"/>
        <v>12086.16</v>
      </c>
      <c r="I959" s="92">
        <f t="shared" si="227"/>
        <v>25349.039999999997</v>
      </c>
      <c r="J959" s="92">
        <f t="shared" si="227"/>
        <v>47085.25</v>
      </c>
      <c r="K959" s="92">
        <f t="shared" si="227"/>
        <v>84961.72</v>
      </c>
      <c r="L959" s="92">
        <f t="shared" si="227"/>
        <v>26567.289999999997</v>
      </c>
      <c r="M959" s="92">
        <f t="shared" si="227"/>
        <v>5207.33</v>
      </c>
      <c r="N959" s="92">
        <f t="shared" si="227"/>
        <v>1324.41</v>
      </c>
      <c r="O959" s="92">
        <f t="shared" si="203"/>
        <v>10014.33</v>
      </c>
      <c r="P959" s="117">
        <f t="shared" si="193"/>
        <v>3932.07</v>
      </c>
    </row>
    <row r="960" spans="1:16" x14ac:dyDescent="0.3">
      <c r="A960" s="146"/>
      <c r="B960" s="94">
        <v>44197</v>
      </c>
      <c r="C960" s="92">
        <f t="shared" ref="C960:N960" si="228">C88+C197+C306+C414+C523+C851</f>
        <v>397112.62000000005</v>
      </c>
      <c r="D960" s="92">
        <f t="shared" si="228"/>
        <v>150969.53</v>
      </c>
      <c r="E960" s="92">
        <f t="shared" si="228"/>
        <v>16206.050000000001</v>
      </c>
      <c r="F960" s="92">
        <f t="shared" si="228"/>
        <v>33897.56</v>
      </c>
      <c r="G960" s="92">
        <f t="shared" si="228"/>
        <v>3498.1200000000003</v>
      </c>
      <c r="H960" s="92">
        <f t="shared" si="228"/>
        <v>36915.300000000003</v>
      </c>
      <c r="I960" s="92">
        <f t="shared" si="228"/>
        <v>28607.65</v>
      </c>
      <c r="J960" s="92">
        <f t="shared" si="228"/>
        <v>18566.55</v>
      </c>
      <c r="K960" s="92">
        <f t="shared" si="228"/>
        <v>74535.41</v>
      </c>
      <c r="L960" s="92">
        <f t="shared" si="228"/>
        <v>22613.9</v>
      </c>
      <c r="M960" s="92">
        <f t="shared" si="228"/>
        <v>4524.26</v>
      </c>
      <c r="N960" s="92">
        <f t="shared" si="228"/>
        <v>480.03</v>
      </c>
      <c r="O960" s="92">
        <f t="shared" si="203"/>
        <v>3457.09</v>
      </c>
      <c r="P960" s="117">
        <f t="shared" si="193"/>
        <v>2841.17</v>
      </c>
    </row>
    <row r="961" spans="1:16" x14ac:dyDescent="0.3">
      <c r="A961" s="146"/>
      <c r="B961" s="94">
        <v>44228</v>
      </c>
      <c r="C961" s="92">
        <f t="shared" ref="C961:N961" si="229">C89+C198+C307+C415+C524+C852</f>
        <v>505656.64</v>
      </c>
      <c r="D961" s="92">
        <f t="shared" si="229"/>
        <v>179940.87</v>
      </c>
      <c r="E961" s="92">
        <f t="shared" si="229"/>
        <v>14248.689999999999</v>
      </c>
      <c r="F961" s="92">
        <f t="shared" si="229"/>
        <v>39984.21</v>
      </c>
      <c r="G961" s="92">
        <f t="shared" si="229"/>
        <v>5058.8600000000006</v>
      </c>
      <c r="H961" s="92">
        <f t="shared" si="229"/>
        <v>34853.440000000002</v>
      </c>
      <c r="I961" s="92">
        <f t="shared" si="229"/>
        <v>30341.22</v>
      </c>
      <c r="J961" s="92">
        <f t="shared" si="229"/>
        <v>71081.8</v>
      </c>
      <c r="K961" s="92">
        <f t="shared" si="229"/>
        <v>61968.53</v>
      </c>
      <c r="L961" s="92">
        <f t="shared" si="229"/>
        <v>32532.530000000002</v>
      </c>
      <c r="M961" s="92">
        <f t="shared" si="229"/>
        <v>11156.849999999999</v>
      </c>
      <c r="N961" s="92">
        <f t="shared" si="229"/>
        <v>1578.48</v>
      </c>
      <c r="O961" s="92">
        <f t="shared" si="203"/>
        <v>17412</v>
      </c>
      <c r="P961" s="117">
        <f t="shared" si="193"/>
        <v>5499.16</v>
      </c>
    </row>
    <row r="962" spans="1:16" x14ac:dyDescent="0.3">
      <c r="A962" s="146"/>
      <c r="B962" s="94">
        <v>44256</v>
      </c>
      <c r="C962" s="92">
        <f t="shared" ref="C962:N962" si="230">C90+C199+C308+C416+C525+C853</f>
        <v>515469</v>
      </c>
      <c r="D962" s="92">
        <f t="shared" si="230"/>
        <v>198440.04000000004</v>
      </c>
      <c r="E962" s="92">
        <f t="shared" si="230"/>
        <v>17692.230000000003</v>
      </c>
      <c r="F962" s="92">
        <f t="shared" si="230"/>
        <v>61401.350000000006</v>
      </c>
      <c r="G962" s="92">
        <f t="shared" si="230"/>
        <v>5370.73</v>
      </c>
      <c r="H962" s="92">
        <f t="shared" si="230"/>
        <v>12728.67</v>
      </c>
      <c r="I962" s="92">
        <f t="shared" si="230"/>
        <v>33887.14</v>
      </c>
      <c r="J962" s="92">
        <f t="shared" si="230"/>
        <v>38308</v>
      </c>
      <c r="K962" s="92">
        <f t="shared" si="230"/>
        <v>75044.260000000009</v>
      </c>
      <c r="L962" s="92">
        <f t="shared" si="230"/>
        <v>27560.680000000004</v>
      </c>
      <c r="M962" s="92">
        <f t="shared" si="230"/>
        <v>23444.170000000002</v>
      </c>
      <c r="N962" s="92">
        <f t="shared" si="230"/>
        <v>2600.71</v>
      </c>
      <c r="O962" s="92">
        <f t="shared" si="203"/>
        <v>16895.009999999998</v>
      </c>
      <c r="P962" s="117">
        <f t="shared" si="193"/>
        <v>2096.0099999999998</v>
      </c>
    </row>
    <row r="963" spans="1:16" x14ac:dyDescent="0.3">
      <c r="A963" s="146"/>
      <c r="B963" s="94">
        <v>44287</v>
      </c>
      <c r="C963" s="92">
        <f t="shared" ref="C963:N963" si="231">C91+C200+C309+C417+C526+C854</f>
        <v>419983.88000000012</v>
      </c>
      <c r="D963" s="92">
        <f t="shared" si="231"/>
        <v>113540.21</v>
      </c>
      <c r="E963" s="92">
        <f t="shared" si="231"/>
        <v>19310.400000000001</v>
      </c>
      <c r="F963" s="92">
        <f t="shared" si="231"/>
        <v>37931.14</v>
      </c>
      <c r="G963" s="92">
        <f t="shared" si="231"/>
        <v>5569.2</v>
      </c>
      <c r="H963" s="92">
        <f t="shared" si="231"/>
        <v>12343.749999999998</v>
      </c>
      <c r="I963" s="92">
        <f t="shared" si="231"/>
        <v>50938.399999999994</v>
      </c>
      <c r="J963" s="92">
        <f t="shared" si="231"/>
        <v>19299.8</v>
      </c>
      <c r="K963" s="92">
        <f t="shared" si="231"/>
        <v>76741.050000000017</v>
      </c>
      <c r="L963" s="92">
        <f t="shared" si="231"/>
        <v>20295.71</v>
      </c>
      <c r="M963" s="92">
        <f t="shared" si="231"/>
        <v>40234.61</v>
      </c>
      <c r="N963" s="92">
        <f t="shared" si="231"/>
        <v>775.81999999999994</v>
      </c>
      <c r="O963" s="92">
        <f t="shared" si="203"/>
        <v>21371.800000000003</v>
      </c>
      <c r="P963" s="117">
        <f t="shared" si="193"/>
        <v>1631.99</v>
      </c>
    </row>
    <row r="964" spans="1:16" x14ac:dyDescent="0.3">
      <c r="A964" s="146"/>
      <c r="B964" s="94">
        <v>44317</v>
      </c>
      <c r="C964" s="92">
        <f t="shared" ref="C964:N964" si="232">C92+C201+C310+C418+C527+C855</f>
        <v>369602.93</v>
      </c>
      <c r="D964" s="92">
        <f t="shared" si="232"/>
        <v>114157.99000000002</v>
      </c>
      <c r="E964" s="92">
        <f t="shared" si="232"/>
        <v>22432.25</v>
      </c>
      <c r="F964" s="92">
        <f t="shared" si="232"/>
        <v>26984.829999999998</v>
      </c>
      <c r="G964" s="92">
        <f t="shared" si="232"/>
        <v>4251.42</v>
      </c>
      <c r="H964" s="92">
        <f t="shared" si="232"/>
        <v>35970.519999999997</v>
      </c>
      <c r="I964" s="92">
        <f t="shared" si="232"/>
        <v>25833.29</v>
      </c>
      <c r="J964" s="92">
        <f t="shared" si="232"/>
        <v>25743.71</v>
      </c>
      <c r="K964" s="92">
        <f t="shared" si="232"/>
        <v>55408.69</v>
      </c>
      <c r="L964" s="92">
        <f t="shared" si="232"/>
        <v>20358.28</v>
      </c>
      <c r="M964" s="92">
        <f t="shared" si="232"/>
        <v>9922.73</v>
      </c>
      <c r="N964" s="92">
        <f t="shared" si="232"/>
        <v>3111.74</v>
      </c>
      <c r="O964" s="92">
        <f t="shared" si="203"/>
        <v>17950.57</v>
      </c>
      <c r="P964" s="117">
        <f t="shared" si="193"/>
        <v>7476.91</v>
      </c>
    </row>
    <row r="965" spans="1:16" x14ac:dyDescent="0.3">
      <c r="A965" s="146"/>
      <c r="B965" s="94">
        <v>44348</v>
      </c>
      <c r="C965" s="92">
        <f t="shared" ref="C965:N965" si="233">C93+C202+C311+C419+C528+C856</f>
        <v>515546.83999999997</v>
      </c>
      <c r="D965" s="92">
        <f t="shared" si="233"/>
        <v>165631.99999999997</v>
      </c>
      <c r="E965" s="92">
        <f t="shared" si="233"/>
        <v>20104.41</v>
      </c>
      <c r="F965" s="92">
        <f t="shared" si="233"/>
        <v>43868.94</v>
      </c>
      <c r="G965" s="92">
        <f t="shared" si="233"/>
        <v>6637.21</v>
      </c>
      <c r="H965" s="92">
        <f t="shared" si="233"/>
        <v>30952.960000000003</v>
      </c>
      <c r="I965" s="92">
        <f t="shared" si="233"/>
        <v>41336.980000000003</v>
      </c>
      <c r="J965" s="92">
        <f t="shared" si="233"/>
        <v>56634.81</v>
      </c>
      <c r="K965" s="92">
        <f t="shared" si="233"/>
        <v>85207.1</v>
      </c>
      <c r="L965" s="92">
        <f t="shared" si="233"/>
        <v>22958.489999999998</v>
      </c>
      <c r="M965" s="92">
        <f t="shared" si="233"/>
        <v>15880.539999999997</v>
      </c>
      <c r="N965" s="92">
        <f t="shared" si="233"/>
        <v>1013.27</v>
      </c>
      <c r="O965" s="92">
        <f t="shared" si="203"/>
        <v>23276.74</v>
      </c>
      <c r="P965" s="117">
        <f t="shared" si="193"/>
        <v>2043.3899999999999</v>
      </c>
    </row>
    <row r="966" spans="1:16" x14ac:dyDescent="0.3">
      <c r="A966" s="146"/>
      <c r="B966" s="94">
        <v>44378</v>
      </c>
      <c r="C966" s="92">
        <f t="shared" ref="C966:N968" si="234">C94+C203+C312+C420+C529+C857</f>
        <v>448396.59999999992</v>
      </c>
      <c r="D966" s="92">
        <f t="shared" si="234"/>
        <v>154779.73000000001</v>
      </c>
      <c r="E966" s="92">
        <f t="shared" si="234"/>
        <v>14464.79</v>
      </c>
      <c r="F966" s="92">
        <f t="shared" si="234"/>
        <v>64199.649999999994</v>
      </c>
      <c r="G966" s="92">
        <f t="shared" si="234"/>
        <v>9133.74</v>
      </c>
      <c r="H966" s="92">
        <f t="shared" si="234"/>
        <v>17171.419999999998</v>
      </c>
      <c r="I966" s="92">
        <f t="shared" si="234"/>
        <v>13219.280000000002</v>
      </c>
      <c r="J966" s="92">
        <f t="shared" si="234"/>
        <v>37737.240000000005</v>
      </c>
      <c r="K966" s="92">
        <f t="shared" si="234"/>
        <v>76498.290000000008</v>
      </c>
      <c r="L966" s="92">
        <f t="shared" si="234"/>
        <v>15950.39</v>
      </c>
      <c r="M966" s="92">
        <f t="shared" si="234"/>
        <v>24503.58</v>
      </c>
      <c r="N966" s="92">
        <f t="shared" si="234"/>
        <v>451.71</v>
      </c>
      <c r="O966" s="92">
        <f t="shared" si="203"/>
        <v>17556.37</v>
      </c>
      <c r="P966" s="117">
        <f t="shared" si="193"/>
        <v>2730.41</v>
      </c>
    </row>
    <row r="967" spans="1:16" x14ac:dyDescent="0.3">
      <c r="A967" s="146"/>
      <c r="B967" s="94">
        <v>44409</v>
      </c>
      <c r="C967" s="92">
        <f t="shared" ref="C967:N968" si="235">C95+C204+C313+C421+C530+C858</f>
        <v>322443.59000000003</v>
      </c>
      <c r="D967" s="92">
        <f t="shared" si="234"/>
        <v>112209.95000000001</v>
      </c>
      <c r="E967" s="92">
        <f t="shared" si="234"/>
        <v>13307.25</v>
      </c>
      <c r="F967" s="92">
        <f t="shared" si="235"/>
        <v>12415.78</v>
      </c>
      <c r="G967" s="92">
        <f t="shared" si="235"/>
        <v>25873.280000000002</v>
      </c>
      <c r="H967" s="92">
        <f t="shared" si="235"/>
        <v>29914.07</v>
      </c>
      <c r="I967" s="92">
        <f t="shared" si="235"/>
        <v>28210.250000000004</v>
      </c>
      <c r="J967" s="92">
        <f t="shared" si="235"/>
        <v>9210</v>
      </c>
      <c r="K967" s="92">
        <f t="shared" si="235"/>
        <v>39942.260000000009</v>
      </c>
      <c r="L967" s="92">
        <f t="shared" si="235"/>
        <v>15821.330000000002</v>
      </c>
      <c r="M967" s="92">
        <f t="shared" si="235"/>
        <v>17396.260000000002</v>
      </c>
      <c r="N967" s="92">
        <f t="shared" si="235"/>
        <v>1203</v>
      </c>
      <c r="O967" s="92">
        <f t="shared" si="203"/>
        <v>15651.5</v>
      </c>
      <c r="P967" s="117">
        <f t="shared" si="193"/>
        <v>1288.6600000000001</v>
      </c>
    </row>
    <row r="968" spans="1:16" x14ac:dyDescent="0.3">
      <c r="A968" s="146"/>
      <c r="B968" s="94">
        <v>44440</v>
      </c>
      <c r="C968" s="92">
        <f t="shared" si="235"/>
        <v>530368.03</v>
      </c>
      <c r="D968" s="92">
        <f t="shared" si="234"/>
        <v>179105.08</v>
      </c>
      <c r="E968" s="92">
        <f t="shared" si="234"/>
        <v>47491.590000000004</v>
      </c>
      <c r="F968" s="92">
        <f t="shared" si="235"/>
        <v>37657.649999999994</v>
      </c>
      <c r="G968" s="92">
        <f t="shared" si="235"/>
        <v>9693.6400000000031</v>
      </c>
      <c r="H968" s="92">
        <f t="shared" si="235"/>
        <v>24952.170000000002</v>
      </c>
      <c r="I968" s="92">
        <f t="shared" si="235"/>
        <v>36800.100000000006</v>
      </c>
      <c r="J968" s="92">
        <f t="shared" si="235"/>
        <v>48308.28</v>
      </c>
      <c r="K968" s="92">
        <f t="shared" si="235"/>
        <v>82977.590000000011</v>
      </c>
      <c r="L968" s="92">
        <f t="shared" si="235"/>
        <v>23691.38</v>
      </c>
      <c r="M968" s="92">
        <f t="shared" si="235"/>
        <v>22942.39</v>
      </c>
      <c r="N968" s="92">
        <f t="shared" si="235"/>
        <v>1517.52</v>
      </c>
      <c r="O968" s="92">
        <f t="shared" si="203"/>
        <v>10106.780000000001</v>
      </c>
      <c r="P968" s="117">
        <f t="shared" si="193"/>
        <v>5123.8599999999997</v>
      </c>
    </row>
    <row r="969" spans="1:16" x14ac:dyDescent="0.3">
      <c r="A969" s="146"/>
      <c r="B969" s="94">
        <v>44470</v>
      </c>
      <c r="C969" s="92">
        <f t="shared" ref="C969:N969" si="236">C97+C206+C315+C423+C532+C860</f>
        <v>498933.64</v>
      </c>
      <c r="D969" s="92">
        <f t="shared" si="236"/>
        <v>164460.9</v>
      </c>
      <c r="E969" s="92">
        <f t="shared" si="236"/>
        <v>34271.850000000006</v>
      </c>
      <c r="F969" s="92">
        <f t="shared" si="236"/>
        <v>51029.279999999992</v>
      </c>
      <c r="G969" s="92">
        <f t="shared" si="236"/>
        <v>4654.42</v>
      </c>
      <c r="H969" s="92">
        <f t="shared" si="236"/>
        <v>64788.110000000008</v>
      </c>
      <c r="I969" s="92">
        <f t="shared" si="236"/>
        <v>21462.360000000004</v>
      </c>
      <c r="J969" s="92">
        <f t="shared" si="236"/>
        <v>14511.52</v>
      </c>
      <c r="K969" s="92">
        <f t="shared" si="236"/>
        <v>93454.290000000008</v>
      </c>
      <c r="L969" s="92">
        <f t="shared" si="236"/>
        <v>24205.809999999998</v>
      </c>
      <c r="M969" s="92">
        <f t="shared" si="236"/>
        <v>9415.9599999999991</v>
      </c>
      <c r="N969" s="92">
        <f t="shared" si="236"/>
        <v>2930.24</v>
      </c>
      <c r="O969" s="92">
        <f t="shared" si="203"/>
        <v>8993.91</v>
      </c>
      <c r="P969" s="117">
        <f t="shared" si="193"/>
        <v>4754.99</v>
      </c>
    </row>
    <row r="970" spans="1:16" x14ac:dyDescent="0.3">
      <c r="A970" s="146"/>
      <c r="B970" s="94">
        <v>44501</v>
      </c>
      <c r="C970" s="92">
        <f t="shared" ref="C970:N970" si="237">C98+C207+C316+C424+C533+C861</f>
        <v>426108.49000000005</v>
      </c>
      <c r="D970" s="92">
        <f t="shared" si="237"/>
        <v>169068.3</v>
      </c>
      <c r="E970" s="92">
        <f t="shared" si="237"/>
        <v>29366.76</v>
      </c>
      <c r="F970" s="92">
        <f t="shared" si="237"/>
        <v>39950.970000000008</v>
      </c>
      <c r="G970" s="92">
        <f t="shared" si="237"/>
        <v>3363.92</v>
      </c>
      <c r="H970" s="92">
        <f t="shared" si="237"/>
        <v>28476.670000000002</v>
      </c>
      <c r="I970" s="92">
        <f t="shared" si="237"/>
        <v>23838.26</v>
      </c>
      <c r="J970" s="92">
        <f t="shared" si="237"/>
        <v>18496.16</v>
      </c>
      <c r="K970" s="92">
        <f t="shared" si="237"/>
        <v>75574.91</v>
      </c>
      <c r="L970" s="92">
        <f t="shared" si="237"/>
        <v>17997.949999999997</v>
      </c>
      <c r="M970" s="92">
        <f t="shared" si="237"/>
        <v>11924.85</v>
      </c>
      <c r="N970" s="92">
        <f t="shared" si="237"/>
        <v>1675.21</v>
      </c>
      <c r="O970" s="92">
        <f t="shared" si="203"/>
        <v>3181.95</v>
      </c>
      <c r="P970" s="117">
        <f t="shared" si="193"/>
        <v>3192.58</v>
      </c>
    </row>
    <row r="971" spans="1:16" x14ac:dyDescent="0.3">
      <c r="A971" s="146"/>
      <c r="B971" s="94">
        <v>44531</v>
      </c>
      <c r="C971" s="92">
        <f t="shared" ref="C971:N971" si="238">C99+C208+C317+C425+C534+C862</f>
        <v>474337.61000000004</v>
      </c>
      <c r="D971" s="92">
        <f t="shared" si="238"/>
        <v>160541.89000000001</v>
      </c>
      <c r="E971" s="92">
        <f t="shared" si="238"/>
        <v>23270.65</v>
      </c>
      <c r="F971" s="92">
        <f t="shared" si="238"/>
        <v>42813.07</v>
      </c>
      <c r="G971" s="92">
        <f t="shared" si="238"/>
        <v>4006.31</v>
      </c>
      <c r="H971" s="92">
        <f t="shared" si="238"/>
        <v>17665.939999999999</v>
      </c>
      <c r="I971" s="92">
        <f t="shared" si="238"/>
        <v>44547.51</v>
      </c>
      <c r="J971" s="92">
        <f t="shared" si="238"/>
        <v>42660.570000000007</v>
      </c>
      <c r="K971" s="92">
        <f t="shared" si="238"/>
        <v>71942.25</v>
      </c>
      <c r="L971" s="92">
        <f t="shared" si="238"/>
        <v>25952.350000000002</v>
      </c>
      <c r="M971" s="92">
        <f t="shared" si="238"/>
        <v>20130.95</v>
      </c>
      <c r="N971" s="92">
        <f t="shared" si="238"/>
        <v>387.48</v>
      </c>
      <c r="O971" s="92">
        <f t="shared" si="203"/>
        <v>6185.15</v>
      </c>
      <c r="P971" s="117">
        <f t="shared" si="193"/>
        <v>14233.49</v>
      </c>
    </row>
    <row r="972" spans="1:16" x14ac:dyDescent="0.3">
      <c r="A972" s="146"/>
      <c r="B972" s="94">
        <v>44562</v>
      </c>
      <c r="C972" s="92">
        <f t="shared" ref="C972:N972" si="239">C100+C209+C318+C426+C535+C863</f>
        <v>442621.62999999995</v>
      </c>
      <c r="D972" s="92">
        <f t="shared" si="239"/>
        <v>172059.32000000004</v>
      </c>
      <c r="E972" s="92">
        <f t="shared" si="239"/>
        <v>24559.47</v>
      </c>
      <c r="F972" s="92">
        <f t="shared" si="239"/>
        <v>26477.69</v>
      </c>
      <c r="G972" s="92">
        <f t="shared" si="239"/>
        <v>3210.21</v>
      </c>
      <c r="H972" s="92">
        <f t="shared" si="239"/>
        <v>31276.019999999997</v>
      </c>
      <c r="I972" s="92">
        <f t="shared" si="239"/>
        <v>37648.280000000006</v>
      </c>
      <c r="J972" s="92">
        <f t="shared" si="239"/>
        <v>31871.760000000002</v>
      </c>
      <c r="K972" s="92">
        <f t="shared" si="239"/>
        <v>72505.789999999994</v>
      </c>
      <c r="L972" s="92">
        <f t="shared" si="239"/>
        <v>18262.099999999999</v>
      </c>
      <c r="M972" s="92">
        <f t="shared" si="239"/>
        <v>1567.3899999999992</v>
      </c>
      <c r="N972" s="92">
        <f t="shared" si="239"/>
        <v>249.87</v>
      </c>
      <c r="O972" s="92">
        <f t="shared" si="203"/>
        <v>19636.900000000001</v>
      </c>
      <c r="P972" s="117">
        <f t="shared" si="193"/>
        <v>3296.83</v>
      </c>
    </row>
    <row r="973" spans="1:16" x14ac:dyDescent="0.3">
      <c r="A973" s="146"/>
      <c r="B973" s="94">
        <v>44593</v>
      </c>
      <c r="C973" s="92">
        <f t="shared" ref="C973:N973" si="240">C101+C210+C319+C427+C536+C864</f>
        <v>435296.3</v>
      </c>
      <c r="D973" s="92">
        <f t="shared" si="240"/>
        <v>185357.15000000002</v>
      </c>
      <c r="E973" s="92">
        <f t="shared" si="240"/>
        <v>11816.43</v>
      </c>
      <c r="F973" s="92">
        <f t="shared" si="240"/>
        <v>35661.459999999992</v>
      </c>
      <c r="G973" s="92">
        <f t="shared" si="240"/>
        <v>4282.1099999999997</v>
      </c>
      <c r="H973" s="92">
        <f t="shared" si="240"/>
        <v>12047.87</v>
      </c>
      <c r="I973" s="92">
        <f t="shared" si="240"/>
        <v>37130.329999999994</v>
      </c>
      <c r="J973" s="92">
        <f t="shared" si="240"/>
        <v>37011.26</v>
      </c>
      <c r="K973" s="92">
        <f t="shared" si="240"/>
        <v>73895.91</v>
      </c>
      <c r="L973" s="92">
        <f t="shared" si="240"/>
        <v>17951.23</v>
      </c>
      <c r="M973" s="92">
        <f t="shared" si="240"/>
        <v>7574.42</v>
      </c>
      <c r="N973" s="92">
        <f t="shared" si="240"/>
        <v>605</v>
      </c>
      <c r="O973" s="92">
        <f t="shared" si="203"/>
        <v>5753.0499999999993</v>
      </c>
      <c r="P973" s="117">
        <f t="shared" si="193"/>
        <v>6210.08</v>
      </c>
    </row>
    <row r="974" spans="1:16" x14ac:dyDescent="0.3">
      <c r="A974" s="146"/>
      <c r="B974" s="94">
        <v>44621</v>
      </c>
      <c r="C974" s="92">
        <f t="shared" ref="C974:N974" si="241">C102+C211+C320+C428+C537+C865</f>
        <v>473760.22</v>
      </c>
      <c r="D974" s="92">
        <f t="shared" si="241"/>
        <v>194638.69999999998</v>
      </c>
      <c r="E974" s="92">
        <f t="shared" si="241"/>
        <v>14157.559999999998</v>
      </c>
      <c r="F974" s="92">
        <f t="shared" si="241"/>
        <v>39426.379999999997</v>
      </c>
      <c r="G974" s="92">
        <f t="shared" si="241"/>
        <v>4037.76</v>
      </c>
      <c r="H974" s="92">
        <f t="shared" si="241"/>
        <v>26066.639999999999</v>
      </c>
      <c r="I974" s="92">
        <f t="shared" si="241"/>
        <v>31274.280000000002</v>
      </c>
      <c r="J974" s="92">
        <f t="shared" si="241"/>
        <v>10184.02</v>
      </c>
      <c r="K974" s="92">
        <f t="shared" si="241"/>
        <v>93252.540000000008</v>
      </c>
      <c r="L974" s="92">
        <f t="shared" si="241"/>
        <v>26460.359999999993</v>
      </c>
      <c r="M974" s="92">
        <f t="shared" si="241"/>
        <v>11411.67</v>
      </c>
      <c r="N974" s="92">
        <f t="shared" si="241"/>
        <v>295</v>
      </c>
      <c r="O974" s="92">
        <f t="shared" si="203"/>
        <v>18287.310000000001</v>
      </c>
      <c r="P974" s="117">
        <f t="shared" si="193"/>
        <v>4268</v>
      </c>
    </row>
    <row r="975" spans="1:16" x14ac:dyDescent="0.3">
      <c r="A975" s="146"/>
      <c r="B975" s="94">
        <v>44652</v>
      </c>
      <c r="C975" s="92">
        <f t="shared" ref="C975:N975" si="242">C103+C212+C321+C429+C538+C866</f>
        <v>433340.56000000006</v>
      </c>
      <c r="D975" s="92">
        <f t="shared" si="242"/>
        <v>155149.47</v>
      </c>
      <c r="E975" s="92">
        <f t="shared" si="242"/>
        <v>10049.01</v>
      </c>
      <c r="F975" s="92">
        <f t="shared" si="242"/>
        <v>54975.860000000008</v>
      </c>
      <c r="G975" s="92">
        <f t="shared" si="242"/>
        <v>4041.2200000000003</v>
      </c>
      <c r="H975" s="92">
        <f t="shared" si="242"/>
        <v>16581.980000000003</v>
      </c>
      <c r="I975" s="92">
        <f t="shared" si="242"/>
        <v>40178.710000000006</v>
      </c>
      <c r="J975" s="92">
        <f t="shared" si="242"/>
        <v>33001.68</v>
      </c>
      <c r="K975" s="92">
        <f t="shared" si="242"/>
        <v>72425.87</v>
      </c>
      <c r="L975" s="92">
        <f t="shared" si="242"/>
        <v>20906.59</v>
      </c>
      <c r="M975" s="92">
        <f t="shared" si="242"/>
        <v>11621.460000000001</v>
      </c>
      <c r="N975" s="92">
        <f t="shared" si="242"/>
        <v>0</v>
      </c>
      <c r="O975" s="92">
        <f t="shared" si="203"/>
        <v>9342.16</v>
      </c>
      <c r="P975" s="117">
        <f t="shared" si="193"/>
        <v>5066.5499999999993</v>
      </c>
    </row>
    <row r="976" spans="1:16" x14ac:dyDescent="0.3">
      <c r="A976" s="146"/>
      <c r="B976" s="94">
        <v>44682</v>
      </c>
      <c r="C976" s="92">
        <f t="shared" ref="C976:N976" si="243">C104+C213+C322+C430+C539+C867</f>
        <v>445085.45999999996</v>
      </c>
      <c r="D976" s="92">
        <f t="shared" si="243"/>
        <v>152855.01999999999</v>
      </c>
      <c r="E976" s="92">
        <f t="shared" si="243"/>
        <v>4000.3000000000006</v>
      </c>
      <c r="F976" s="92">
        <f t="shared" si="243"/>
        <v>47703.430000000008</v>
      </c>
      <c r="G976" s="92">
        <f t="shared" si="243"/>
        <v>3730.51</v>
      </c>
      <c r="H976" s="92">
        <f t="shared" si="243"/>
        <v>32921.49</v>
      </c>
      <c r="I976" s="92">
        <f t="shared" si="243"/>
        <v>30418.880000000001</v>
      </c>
      <c r="J976" s="92">
        <f t="shared" si="243"/>
        <v>49369.89</v>
      </c>
      <c r="K976" s="92">
        <f t="shared" si="243"/>
        <v>61898.960000000006</v>
      </c>
      <c r="L976" s="92">
        <f t="shared" si="243"/>
        <v>27445.459999999995</v>
      </c>
      <c r="M976" s="92">
        <f t="shared" si="243"/>
        <v>11776.28</v>
      </c>
      <c r="N976" s="92">
        <f t="shared" si="243"/>
        <v>1116</v>
      </c>
      <c r="O976" s="92">
        <f t="shared" si="203"/>
        <v>18114.490000000002</v>
      </c>
      <c r="P976" s="117">
        <f t="shared" si="193"/>
        <v>3734.75</v>
      </c>
    </row>
    <row r="977" spans="1:16" x14ac:dyDescent="0.3">
      <c r="A977" s="146"/>
      <c r="B977" s="94">
        <v>44713</v>
      </c>
      <c r="C977" s="92">
        <f t="shared" ref="C977:N977" si="244">C105+C214+C323+C431+C540+C868</f>
        <v>472158.76</v>
      </c>
      <c r="D977" s="92">
        <f t="shared" si="244"/>
        <v>187814.55999999997</v>
      </c>
      <c r="E977" s="92">
        <f t="shared" si="244"/>
        <v>17010.48</v>
      </c>
      <c r="F977" s="92">
        <f t="shared" si="244"/>
        <v>35657.599999999999</v>
      </c>
      <c r="G977" s="92">
        <f t="shared" si="244"/>
        <v>3924.29</v>
      </c>
      <c r="H977" s="92">
        <f t="shared" si="244"/>
        <v>40015.24</v>
      </c>
      <c r="I977" s="92">
        <f t="shared" si="244"/>
        <v>11830.239999999998</v>
      </c>
      <c r="J977" s="92">
        <f t="shared" si="244"/>
        <v>25678.050000000003</v>
      </c>
      <c r="K977" s="92">
        <f t="shared" si="244"/>
        <v>80876.140000000014</v>
      </c>
      <c r="L977" s="92">
        <f t="shared" si="244"/>
        <v>20545.699999999997</v>
      </c>
      <c r="M977" s="92">
        <f t="shared" si="244"/>
        <v>15720.94</v>
      </c>
      <c r="N977" s="92">
        <f t="shared" si="244"/>
        <v>2147.9</v>
      </c>
      <c r="O977" s="92">
        <f t="shared" si="203"/>
        <v>19455.890000000003</v>
      </c>
      <c r="P977" s="117">
        <f t="shared" si="193"/>
        <v>11481.73</v>
      </c>
    </row>
    <row r="978" spans="1:16" x14ac:dyDescent="0.3">
      <c r="A978" s="146"/>
      <c r="B978" s="94">
        <v>44743</v>
      </c>
      <c r="P978" s="92"/>
    </row>
    <row r="979" spans="1:16" x14ac:dyDescent="0.3">
      <c r="A979" s="146"/>
      <c r="B979" s="94">
        <v>44774</v>
      </c>
      <c r="P979" s="92"/>
    </row>
    <row r="980" spans="1:16" x14ac:dyDescent="0.3">
      <c r="A980" s="146"/>
      <c r="B980" s="94">
        <v>44805</v>
      </c>
      <c r="P980" s="92"/>
    </row>
    <row r="981" spans="1:16" x14ac:dyDescent="0.3">
      <c r="A981" s="146"/>
      <c r="B981" s="94">
        <v>44835</v>
      </c>
      <c r="P981" s="92"/>
    </row>
    <row r="982" spans="1:16" x14ac:dyDescent="0.3">
      <c r="A982" s="146"/>
      <c r="B982" s="94">
        <v>44866</v>
      </c>
      <c r="P982" s="92"/>
    </row>
    <row r="983" spans="1:16" x14ac:dyDescent="0.3">
      <c r="A983" s="146"/>
      <c r="B983" s="94">
        <v>44896</v>
      </c>
      <c r="P983" s="92"/>
    </row>
    <row r="984" spans="1:16" x14ac:dyDescent="0.3">
      <c r="A984" s="146"/>
      <c r="B984" s="94"/>
      <c r="P984" s="92"/>
    </row>
  </sheetData>
  <mergeCells count="25">
    <mergeCell ref="A222:A330"/>
    <mergeCell ref="A113:A221"/>
    <mergeCell ref="A4:A112"/>
    <mergeCell ref="A1:A2"/>
    <mergeCell ref="A876:A984"/>
    <mergeCell ref="A767:A875"/>
    <mergeCell ref="A658:A766"/>
    <mergeCell ref="A548:A657"/>
    <mergeCell ref="A439:A547"/>
    <mergeCell ref="A331:A438"/>
    <mergeCell ref="B1:B2"/>
    <mergeCell ref="J1:J2"/>
    <mergeCell ref="I1:I2"/>
    <mergeCell ref="H1:H2"/>
    <mergeCell ref="G1:G2"/>
    <mergeCell ref="F1:F2"/>
    <mergeCell ref="E1:E2"/>
    <mergeCell ref="D1:D2"/>
    <mergeCell ref="C1:C2"/>
    <mergeCell ref="P1:P2"/>
    <mergeCell ref="M1:M2"/>
    <mergeCell ref="L1:L2"/>
    <mergeCell ref="K1:K2"/>
    <mergeCell ref="N1:N2"/>
    <mergeCell ref="O1:O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3:BO27"/>
  <sheetViews>
    <sheetView zoomScaleNormal="100" workbookViewId="0">
      <selection activeCell="C26" sqref="C26"/>
    </sheetView>
  </sheetViews>
  <sheetFormatPr baseColWidth="10" defaultColWidth="11.5546875" defaultRowHeight="14.4" x14ac:dyDescent="0.3"/>
  <cols>
    <col min="1" max="3" width="11.5546875" style="1"/>
    <col min="4" max="4" width="11.5546875" style="1" hidden="1" customWidth="1"/>
    <col min="5" max="5" width="9.33203125" style="2" customWidth="1"/>
    <col min="6" max="6" width="11.5546875" style="1" hidden="1" customWidth="1"/>
    <col min="7" max="7" width="9.33203125" style="2" customWidth="1"/>
    <col min="8" max="8" width="11.5546875" style="1" customWidth="1"/>
    <col min="9" max="9" width="11.5546875" style="1" hidden="1" customWidth="1"/>
    <col min="10" max="10" width="9.33203125" style="2" customWidth="1"/>
    <col min="11" max="11" width="11.5546875" style="1" hidden="1" customWidth="1"/>
    <col min="12" max="12" width="9.33203125" style="2" customWidth="1"/>
    <col min="13" max="13" width="11.5546875" style="1"/>
    <col min="14" max="14" width="11.5546875" style="1" hidden="1" customWidth="1"/>
    <col min="15" max="15" width="9.33203125" style="2" customWidth="1"/>
    <col min="16" max="16" width="11.5546875" style="1" hidden="1" customWidth="1"/>
    <col min="17" max="17" width="9.33203125" style="2" customWidth="1"/>
    <col min="18" max="18" width="11.5546875" style="1"/>
    <col min="19" max="19" width="11.5546875" style="1" hidden="1" customWidth="1"/>
    <col min="20" max="20" width="9.33203125" style="2" customWidth="1"/>
    <col min="21" max="21" width="11.5546875" style="1" hidden="1" customWidth="1"/>
    <col min="22" max="22" width="9.33203125" style="2" customWidth="1"/>
    <col min="23" max="23" width="11.5546875" style="1"/>
    <col min="24" max="24" width="11.5546875" style="1" hidden="1" customWidth="1"/>
    <col min="25" max="25" width="9.33203125" style="2" customWidth="1"/>
    <col min="26" max="26" width="11.5546875" style="1" hidden="1" customWidth="1"/>
    <col min="27" max="27" width="9.33203125" style="2" customWidth="1"/>
    <col min="28" max="28" width="11.5546875" style="1"/>
    <col min="29" max="29" width="11.5546875" style="1" hidden="1" customWidth="1"/>
    <col min="30" max="30" width="9.33203125" style="2" customWidth="1"/>
    <col min="31" max="31" width="11.5546875" style="1" hidden="1" customWidth="1"/>
    <col min="32" max="32" width="9.33203125" style="2" customWidth="1"/>
    <col min="33" max="33" width="11.5546875" style="1"/>
    <col min="34" max="34" width="11.5546875" style="1" hidden="1" customWidth="1"/>
    <col min="35" max="35" width="9.33203125" style="2" customWidth="1"/>
    <col min="36" max="36" width="11.5546875" style="1" hidden="1" customWidth="1"/>
    <col min="37" max="37" width="9.33203125" style="2" customWidth="1"/>
    <col min="38" max="38" width="11.5546875" style="1"/>
    <col min="39" max="39" width="11.5546875" style="1" hidden="1" customWidth="1"/>
    <col min="40" max="40" width="9.33203125" style="2" customWidth="1"/>
    <col min="41" max="41" width="11.5546875" style="1" hidden="1" customWidth="1"/>
    <col min="42" max="42" width="9.33203125" style="2" customWidth="1"/>
    <col min="43" max="43" width="11.5546875" style="1"/>
    <col min="44" max="44" width="11.5546875" style="1" hidden="1" customWidth="1"/>
    <col min="45" max="45" width="9.33203125" style="2" customWidth="1"/>
    <col min="46" max="46" width="11.5546875" style="1" hidden="1" customWidth="1"/>
    <col min="47" max="47" width="9.33203125" style="2" customWidth="1"/>
    <col min="48" max="48" width="11.5546875" style="1"/>
    <col min="49" max="49" width="11.5546875" style="1" hidden="1" customWidth="1"/>
    <col min="50" max="50" width="9.33203125" style="2" customWidth="1"/>
    <col min="51" max="51" width="11.5546875" style="1" hidden="1" customWidth="1"/>
    <col min="52" max="52" width="9.33203125" style="2" customWidth="1"/>
    <col min="53" max="53" width="11.5546875" style="1"/>
    <col min="54" max="54" width="11.5546875" style="1" hidden="1" customWidth="1"/>
    <col min="55" max="55" width="9.33203125" style="2" customWidth="1"/>
    <col min="56" max="56" width="11.5546875" style="1" hidden="1" customWidth="1"/>
    <col min="57" max="57" width="9.33203125" style="2" customWidth="1"/>
    <col min="58" max="58" width="11.5546875" style="1"/>
    <col min="59" max="59" width="11.5546875" style="1" hidden="1" customWidth="1"/>
    <col min="60" max="60" width="9.33203125" style="2" customWidth="1"/>
    <col min="61" max="61" width="11.5546875" style="1" hidden="1" customWidth="1"/>
    <col min="62" max="62" width="9.33203125" style="2" customWidth="1"/>
    <col min="63" max="63" width="11.5546875" style="1" customWidth="1"/>
    <col min="64" max="64" width="11.5546875" style="1" hidden="1" customWidth="1"/>
    <col min="65" max="65" width="9.33203125" style="2" customWidth="1"/>
    <col min="66" max="66" width="11.5546875" style="1" hidden="1" customWidth="1"/>
    <col min="67" max="67" width="9.33203125" style="2" customWidth="1"/>
    <col min="68" max="16384" width="11.5546875" style="1"/>
  </cols>
  <sheetData>
    <row r="3" spans="1:67" ht="15" thickBot="1" x14ac:dyDescent="0.35"/>
    <row r="4" spans="1:67" x14ac:dyDescent="0.3">
      <c r="A4" s="171">
        <v>42370</v>
      </c>
      <c r="B4" s="175"/>
      <c r="C4" s="168" t="s">
        <v>2</v>
      </c>
      <c r="D4" s="169"/>
      <c r="E4" s="169"/>
      <c r="F4" s="169"/>
      <c r="G4" s="170"/>
      <c r="H4" s="168" t="s">
        <v>32</v>
      </c>
      <c r="I4" s="169"/>
      <c r="J4" s="169"/>
      <c r="K4" s="169"/>
      <c r="L4" s="170"/>
      <c r="M4" s="162" t="s">
        <v>33</v>
      </c>
      <c r="N4" s="163"/>
      <c r="O4" s="163"/>
      <c r="P4" s="163"/>
      <c r="Q4" s="164"/>
      <c r="R4" s="162" t="s">
        <v>34</v>
      </c>
      <c r="S4" s="163"/>
      <c r="T4" s="163"/>
      <c r="U4" s="163"/>
      <c r="V4" s="164"/>
      <c r="W4" s="162" t="s">
        <v>35</v>
      </c>
      <c r="X4" s="163"/>
      <c r="Y4" s="163"/>
      <c r="Z4" s="163"/>
      <c r="AA4" s="164"/>
      <c r="AB4" s="162" t="s">
        <v>7</v>
      </c>
      <c r="AC4" s="163"/>
      <c r="AD4" s="163"/>
      <c r="AE4" s="163"/>
      <c r="AF4" s="164"/>
      <c r="AG4" s="162" t="s">
        <v>8</v>
      </c>
      <c r="AH4" s="163"/>
      <c r="AI4" s="163"/>
      <c r="AJ4" s="163"/>
      <c r="AK4" s="164"/>
      <c r="AL4" s="162" t="s">
        <v>9</v>
      </c>
      <c r="AM4" s="163"/>
      <c r="AN4" s="163"/>
      <c r="AO4" s="163"/>
      <c r="AP4" s="164"/>
      <c r="AQ4" s="162" t="s">
        <v>10</v>
      </c>
      <c r="AR4" s="163"/>
      <c r="AS4" s="163"/>
      <c r="AT4" s="163"/>
      <c r="AU4" s="164"/>
      <c r="AV4" s="162" t="s">
        <v>36</v>
      </c>
      <c r="AW4" s="163"/>
      <c r="AX4" s="163"/>
      <c r="AY4" s="163"/>
      <c r="AZ4" s="164"/>
      <c r="BA4" s="162" t="s">
        <v>37</v>
      </c>
      <c r="BB4" s="163"/>
      <c r="BC4" s="163"/>
      <c r="BD4" s="163"/>
      <c r="BE4" s="164"/>
      <c r="BF4" s="162" t="s">
        <v>12</v>
      </c>
      <c r="BG4" s="163"/>
      <c r="BH4" s="163"/>
      <c r="BI4" s="163"/>
      <c r="BJ4" s="164"/>
      <c r="BK4" s="162" t="s">
        <v>13</v>
      </c>
      <c r="BL4" s="163"/>
      <c r="BM4" s="163"/>
      <c r="BN4" s="163"/>
      <c r="BO4" s="164"/>
    </row>
    <row r="5" spans="1:67" ht="15" thickBot="1" x14ac:dyDescent="0.35">
      <c r="A5" s="173"/>
      <c r="B5" s="176"/>
      <c r="C5" s="4" t="s">
        <v>38</v>
      </c>
      <c r="D5" s="5" t="s">
        <v>39</v>
      </c>
      <c r="E5" s="6" t="s">
        <v>40</v>
      </c>
      <c r="F5" s="5" t="s">
        <v>41</v>
      </c>
      <c r="G5" s="7" t="s">
        <v>42</v>
      </c>
      <c r="H5" s="4" t="s">
        <v>38</v>
      </c>
      <c r="I5" s="5" t="s">
        <v>39</v>
      </c>
      <c r="J5" s="6" t="s">
        <v>40</v>
      </c>
      <c r="K5" s="5" t="s">
        <v>41</v>
      </c>
      <c r="L5" s="7" t="s">
        <v>42</v>
      </c>
      <c r="M5" s="4" t="s">
        <v>38</v>
      </c>
      <c r="N5" s="5" t="s">
        <v>39</v>
      </c>
      <c r="O5" s="6" t="s">
        <v>40</v>
      </c>
      <c r="P5" s="5" t="s">
        <v>41</v>
      </c>
      <c r="Q5" s="7" t="s">
        <v>42</v>
      </c>
      <c r="R5" s="4" t="s">
        <v>38</v>
      </c>
      <c r="S5" s="5" t="s">
        <v>39</v>
      </c>
      <c r="T5" s="6" t="s">
        <v>40</v>
      </c>
      <c r="U5" s="5" t="s">
        <v>41</v>
      </c>
      <c r="V5" s="7" t="s">
        <v>42</v>
      </c>
      <c r="W5" s="4" t="s">
        <v>38</v>
      </c>
      <c r="X5" s="5" t="s">
        <v>39</v>
      </c>
      <c r="Y5" s="6" t="s">
        <v>40</v>
      </c>
      <c r="Z5" s="5" t="s">
        <v>41</v>
      </c>
      <c r="AA5" s="7" t="s">
        <v>42</v>
      </c>
      <c r="AB5" s="4" t="s">
        <v>38</v>
      </c>
      <c r="AC5" s="5" t="s">
        <v>39</v>
      </c>
      <c r="AD5" s="6" t="s">
        <v>40</v>
      </c>
      <c r="AE5" s="5" t="s">
        <v>41</v>
      </c>
      <c r="AF5" s="7" t="s">
        <v>42</v>
      </c>
      <c r="AG5" s="4" t="s">
        <v>38</v>
      </c>
      <c r="AH5" s="5" t="s">
        <v>39</v>
      </c>
      <c r="AI5" s="6" t="s">
        <v>40</v>
      </c>
      <c r="AJ5" s="5" t="s">
        <v>41</v>
      </c>
      <c r="AK5" s="7" t="s">
        <v>42</v>
      </c>
      <c r="AL5" s="4" t="s">
        <v>38</v>
      </c>
      <c r="AM5" s="5" t="s">
        <v>39</v>
      </c>
      <c r="AN5" s="6" t="s">
        <v>40</v>
      </c>
      <c r="AO5" s="5" t="s">
        <v>41</v>
      </c>
      <c r="AP5" s="7" t="s">
        <v>42</v>
      </c>
      <c r="AQ5" s="4" t="s">
        <v>38</v>
      </c>
      <c r="AR5" s="5" t="s">
        <v>39</v>
      </c>
      <c r="AS5" s="6" t="s">
        <v>40</v>
      </c>
      <c r="AT5" s="5" t="s">
        <v>41</v>
      </c>
      <c r="AU5" s="7" t="s">
        <v>42</v>
      </c>
      <c r="AV5" s="4" t="s">
        <v>38</v>
      </c>
      <c r="AW5" s="5" t="s">
        <v>39</v>
      </c>
      <c r="AX5" s="6" t="s">
        <v>40</v>
      </c>
      <c r="AY5" s="5" t="s">
        <v>41</v>
      </c>
      <c r="AZ5" s="7" t="s">
        <v>42</v>
      </c>
      <c r="BA5" s="4" t="s">
        <v>38</v>
      </c>
      <c r="BB5" s="5" t="s">
        <v>39</v>
      </c>
      <c r="BC5" s="6" t="s">
        <v>40</v>
      </c>
      <c r="BD5" s="5" t="s">
        <v>41</v>
      </c>
      <c r="BE5" s="7" t="s">
        <v>42</v>
      </c>
      <c r="BF5" s="4" t="s">
        <v>38</v>
      </c>
      <c r="BG5" s="5" t="s">
        <v>39</v>
      </c>
      <c r="BH5" s="6" t="s">
        <v>40</v>
      </c>
      <c r="BI5" s="5" t="s">
        <v>41</v>
      </c>
      <c r="BJ5" s="7" t="s">
        <v>42</v>
      </c>
      <c r="BK5" s="4" t="s">
        <v>38</v>
      </c>
      <c r="BL5" s="5" t="s">
        <v>39</v>
      </c>
      <c r="BM5" s="6" t="s">
        <v>40</v>
      </c>
      <c r="BN5" s="5" t="s">
        <v>41</v>
      </c>
      <c r="BO5" s="7" t="s">
        <v>42</v>
      </c>
    </row>
    <row r="6" spans="1:67" ht="21.6" thickBot="1" x14ac:dyDescent="0.45">
      <c r="A6" s="165" t="s">
        <v>2</v>
      </c>
      <c r="B6" s="177"/>
      <c r="C6" s="25">
        <v>588241.50999999989</v>
      </c>
      <c r="D6" s="26">
        <v>534675.0399999998</v>
      </c>
      <c r="E6" s="27">
        <f>C6*100/D6</f>
        <v>110.01850956049869</v>
      </c>
      <c r="F6" s="26">
        <v>634190.39</v>
      </c>
      <c r="G6" s="28">
        <f>C6*100/F6</f>
        <v>92.754718342546937</v>
      </c>
      <c r="H6" s="25">
        <v>217585.74999999994</v>
      </c>
      <c r="I6" s="26">
        <v>186247.03999999992</v>
      </c>
      <c r="J6" s="27">
        <f>H6*100/I6</f>
        <v>116.82642043599728</v>
      </c>
      <c r="K6" s="26">
        <v>229111.17999999993</v>
      </c>
      <c r="L6" s="28">
        <f>H6*100/K6</f>
        <v>94.96950345242864</v>
      </c>
      <c r="M6" s="25">
        <v>59776.909999999996</v>
      </c>
      <c r="N6" s="26">
        <v>73727.460000000006</v>
      </c>
      <c r="O6" s="27">
        <f>M6*100/N6</f>
        <v>81.078216989979026</v>
      </c>
      <c r="P6" s="26">
        <v>45472.520000000004</v>
      </c>
      <c r="Q6" s="28">
        <f>M6*100/P6</f>
        <v>131.4572185574936</v>
      </c>
      <c r="R6" s="25">
        <v>52030.549999999988</v>
      </c>
      <c r="S6" s="26">
        <v>55277.62999999999</v>
      </c>
      <c r="T6" s="27">
        <f>R6*100/S6</f>
        <v>94.125869723430611</v>
      </c>
      <c r="U6" s="26">
        <v>93802.43</v>
      </c>
      <c r="V6" s="28">
        <f>R6*100/U6</f>
        <v>55.468232539391565</v>
      </c>
      <c r="W6" s="25">
        <v>10905.73</v>
      </c>
      <c r="X6" s="26">
        <v>18099.740000000002</v>
      </c>
      <c r="Y6" s="27">
        <f>W6*100/X6</f>
        <v>60.253517453841873</v>
      </c>
      <c r="Z6" s="26">
        <v>14432.099999999999</v>
      </c>
      <c r="AA6" s="28">
        <f>W6*100/Z6</f>
        <v>75.56578737675045</v>
      </c>
      <c r="AB6" s="25">
        <v>13107.239999999994</v>
      </c>
      <c r="AC6" s="26">
        <v>9450.39</v>
      </c>
      <c r="AD6" s="27">
        <f>AB6*100/AC6</f>
        <v>138.69522845088929</v>
      </c>
      <c r="AE6" s="26">
        <v>9968.5400000000009</v>
      </c>
      <c r="AF6" s="28">
        <f>AB6*100/AE6</f>
        <v>131.48605512943715</v>
      </c>
      <c r="AG6" s="25">
        <v>11915.4</v>
      </c>
      <c r="AH6" s="26">
        <v>9021.44</v>
      </c>
      <c r="AI6" s="27">
        <f>AG6*100/AH6</f>
        <v>132.07869253688989</v>
      </c>
      <c r="AJ6" s="26">
        <v>8602.56</v>
      </c>
      <c r="AK6" s="28">
        <f>AG6*100/AJ6</f>
        <v>138.50993192724027</v>
      </c>
      <c r="AL6" s="25">
        <v>90631.87000000001</v>
      </c>
      <c r="AM6" s="26">
        <v>70030.12</v>
      </c>
      <c r="AN6" s="27">
        <f>AL6*100/AM6</f>
        <v>129.41841310567514</v>
      </c>
      <c r="AO6" s="26">
        <v>107645.98</v>
      </c>
      <c r="AP6" s="28">
        <f>AL6*100/AO6</f>
        <v>84.194384221315119</v>
      </c>
      <c r="AQ6" s="25">
        <v>95876.530000000042</v>
      </c>
      <c r="AR6" s="26">
        <v>71651.81</v>
      </c>
      <c r="AS6" s="27">
        <f>AQ6*100/AR6</f>
        <v>133.80894355634567</v>
      </c>
      <c r="AT6" s="26">
        <v>88778.500000000073</v>
      </c>
      <c r="AU6" s="28">
        <f>AQ6*100/AT6</f>
        <v>107.99521280490204</v>
      </c>
      <c r="AV6" s="25">
        <v>16244.300000000003</v>
      </c>
      <c r="AW6" s="26">
        <v>21169.080000000005</v>
      </c>
      <c r="AX6" s="27">
        <f>AV6*100/AW6</f>
        <v>76.735975299824077</v>
      </c>
      <c r="AY6" s="26">
        <v>26253.07</v>
      </c>
      <c r="AZ6" s="28">
        <f>AV6*100/AY6</f>
        <v>61.875811095616633</v>
      </c>
      <c r="BA6" s="29">
        <v>4883.2700000000004</v>
      </c>
      <c r="BB6" s="26">
        <v>7128.9800000000059</v>
      </c>
      <c r="BC6" s="27">
        <f>BA6*100/BB6</f>
        <v>68.49885958440052</v>
      </c>
      <c r="BD6" s="26">
        <v>3842.39</v>
      </c>
      <c r="BE6" s="28">
        <f>BA6*100/BD6</f>
        <v>127.08938967673768</v>
      </c>
      <c r="BF6" s="25">
        <v>14911.030000000002</v>
      </c>
      <c r="BG6" s="26">
        <v>12871.35</v>
      </c>
      <c r="BH6" s="27">
        <f>BF6*100/BG6</f>
        <v>115.84666721051018</v>
      </c>
      <c r="BI6" s="26">
        <v>6035.4500000000016</v>
      </c>
      <c r="BJ6" s="28">
        <f>BF6*100/BI6</f>
        <v>247.05746878857414</v>
      </c>
      <c r="BK6" s="25">
        <v>372.93</v>
      </c>
      <c r="BL6" s="30">
        <v>0</v>
      </c>
      <c r="BM6" s="44" t="s">
        <v>43</v>
      </c>
      <c r="BN6" s="26">
        <v>245.67000000000002</v>
      </c>
      <c r="BO6" s="28">
        <f>BK6*100/BN6</f>
        <v>151.80119672731712</v>
      </c>
    </row>
    <row r="7" spans="1:67" x14ac:dyDescent="0.3">
      <c r="A7" s="167" t="s">
        <v>44</v>
      </c>
      <c r="B7" s="3" t="s">
        <v>45</v>
      </c>
      <c r="C7" s="31">
        <v>14149.119999999995</v>
      </c>
      <c r="D7" s="32">
        <v>32512.629999999997</v>
      </c>
      <c r="E7" s="33">
        <f t="shared" ref="E7:E14" si="0">C7*100/D7</f>
        <v>43.518841754727305</v>
      </c>
      <c r="F7" s="34">
        <v>15857.990000000002</v>
      </c>
      <c r="G7" s="38">
        <f t="shared" ref="G7:G14" si="1">C7*100/F7</f>
        <v>89.223918037531831</v>
      </c>
      <c r="H7" s="31">
        <v>9360.2899999999954</v>
      </c>
      <c r="I7" s="32">
        <v>18357.23</v>
      </c>
      <c r="J7" s="33">
        <f>H7*100/I7</f>
        <v>50.989664562681817</v>
      </c>
      <c r="K7" s="34">
        <v>7359.7000000000007</v>
      </c>
      <c r="L7" s="38">
        <f>H7*100/K7</f>
        <v>127.18303735206591</v>
      </c>
      <c r="M7" s="31">
        <v>531.61</v>
      </c>
      <c r="N7" s="32">
        <v>2059.7899999999995</v>
      </c>
      <c r="O7" s="33">
        <f>M7*100/N7</f>
        <v>25.808941688230359</v>
      </c>
      <c r="P7" s="34">
        <v>802.18</v>
      </c>
      <c r="Q7" s="38">
        <f>M7*100/P7</f>
        <v>66.270662444837825</v>
      </c>
      <c r="R7" s="31">
        <v>53.32</v>
      </c>
      <c r="S7" s="32">
        <v>0</v>
      </c>
      <c r="T7" s="36" t="s">
        <v>43</v>
      </c>
      <c r="U7" s="34"/>
      <c r="V7" s="39" t="s">
        <v>43</v>
      </c>
      <c r="W7" s="31">
        <v>26.240000000000002</v>
      </c>
      <c r="X7" s="32">
        <v>372.94000000000005</v>
      </c>
      <c r="Y7" s="33">
        <f t="shared" ref="Y7:Y14" si="2">W7*100/X7</f>
        <v>7.0359843406446068</v>
      </c>
      <c r="Z7" s="34">
        <v>33.39</v>
      </c>
      <c r="AA7" s="38">
        <f t="shared" ref="AA7:AA14" si="3">W7*100/Z7</f>
        <v>78.586403114705007</v>
      </c>
      <c r="AB7" s="31">
        <v>44.05</v>
      </c>
      <c r="AC7" s="32"/>
      <c r="AD7" s="33" t="s">
        <v>43</v>
      </c>
      <c r="AE7" s="34">
        <v>161.5</v>
      </c>
      <c r="AF7" s="38">
        <f t="shared" ref="AF7:AF14" si="4">AB7*100/AE7</f>
        <v>27.275541795665635</v>
      </c>
      <c r="AG7" s="31">
        <v>389.58</v>
      </c>
      <c r="AH7" s="32">
        <v>109.66</v>
      </c>
      <c r="AI7" s="33">
        <f t="shared" ref="AI7:AI14" si="5">AG7*100/AH7</f>
        <v>355.26171803757069</v>
      </c>
      <c r="AJ7" s="34">
        <v>293.27999999999997</v>
      </c>
      <c r="AK7" s="38">
        <f t="shared" ref="AK7:AK14" si="6">AG7*100/AJ7</f>
        <v>132.83551554828151</v>
      </c>
      <c r="AL7" s="31">
        <v>0</v>
      </c>
      <c r="AM7" s="32"/>
      <c r="AN7" s="33" t="s">
        <v>43</v>
      </c>
      <c r="AO7" s="34"/>
      <c r="AP7" s="38" t="s">
        <v>43</v>
      </c>
      <c r="AQ7" s="31">
        <v>3744.0299999999997</v>
      </c>
      <c r="AR7" s="32">
        <v>11613.009999999998</v>
      </c>
      <c r="AS7" s="33">
        <f t="shared" ref="AS7:AS14" si="7">AQ7*100/AR7</f>
        <v>32.239961904794711</v>
      </c>
      <c r="AT7" s="34">
        <v>7207.9400000000005</v>
      </c>
      <c r="AU7" s="38">
        <f t="shared" ref="AU7:AU14" si="8">AQ7*100/AT7</f>
        <v>51.943134931755807</v>
      </c>
      <c r="AV7" s="31">
        <v>0</v>
      </c>
      <c r="AW7" s="32"/>
      <c r="AX7" s="33" t="s">
        <v>43</v>
      </c>
      <c r="AY7" s="34"/>
      <c r="AZ7" s="38" t="s">
        <v>43</v>
      </c>
      <c r="BA7" s="66"/>
      <c r="BB7" s="54"/>
      <c r="BC7" s="53"/>
      <c r="BD7" s="67"/>
      <c r="BE7" s="55"/>
      <c r="BF7" s="31">
        <v>0</v>
      </c>
      <c r="BG7" s="32"/>
      <c r="BH7" s="33" t="s">
        <v>43</v>
      </c>
      <c r="BI7" s="34"/>
      <c r="BJ7" s="33" t="s">
        <v>43</v>
      </c>
      <c r="BK7" s="31">
        <v>0</v>
      </c>
      <c r="BL7" s="37">
        <v>0</v>
      </c>
      <c r="BM7" s="45" t="s">
        <v>43</v>
      </c>
      <c r="BN7" s="34"/>
      <c r="BO7" s="48" t="s">
        <v>43</v>
      </c>
    </row>
    <row r="8" spans="1:67" x14ac:dyDescent="0.3">
      <c r="A8" s="167"/>
      <c r="B8" s="3" t="s">
        <v>46</v>
      </c>
      <c r="C8" s="19">
        <v>25099.45</v>
      </c>
      <c r="D8" s="12">
        <v>22557.610000000004</v>
      </c>
      <c r="E8" s="9">
        <f t="shared" si="0"/>
        <v>111.26821502809915</v>
      </c>
      <c r="F8" s="20">
        <v>-151.5</v>
      </c>
      <c r="G8" s="21" t="s">
        <v>43</v>
      </c>
      <c r="H8" s="19">
        <v>6750.5599999999995</v>
      </c>
      <c r="I8" s="12">
        <v>5035.050000000002</v>
      </c>
      <c r="J8" s="9">
        <f t="shared" ref="J8:J14" si="9">H8*100/I8</f>
        <v>134.07135976802607</v>
      </c>
      <c r="K8" s="20"/>
      <c r="L8" s="24" t="s">
        <v>43</v>
      </c>
      <c r="M8" s="19">
        <v>13601.79</v>
      </c>
      <c r="N8" s="12">
        <v>13312.810000000003</v>
      </c>
      <c r="O8" s="9">
        <f>M8*100/N8</f>
        <v>102.17069123648574</v>
      </c>
      <c r="P8" s="20">
        <v>11</v>
      </c>
      <c r="Q8" s="11">
        <f>M8*100/P8</f>
        <v>123652.63636363637</v>
      </c>
      <c r="R8" s="19">
        <v>17.68</v>
      </c>
      <c r="S8" s="12">
        <v>270</v>
      </c>
      <c r="T8" s="9">
        <f t="shared" ref="T8:T14" si="10">R8*100/S8</f>
        <v>6.5481481481481483</v>
      </c>
      <c r="U8" s="20"/>
      <c r="V8" s="11" t="s">
        <v>43</v>
      </c>
      <c r="W8" s="19">
        <v>0</v>
      </c>
      <c r="X8" s="12"/>
      <c r="Y8" s="9" t="s">
        <v>43</v>
      </c>
      <c r="Z8" s="20"/>
      <c r="AA8" s="11" t="s">
        <v>43</v>
      </c>
      <c r="AB8" s="19">
        <v>100</v>
      </c>
      <c r="AC8" s="12">
        <v>135.34</v>
      </c>
      <c r="AD8" s="9">
        <f t="shared" ref="AD8:AD14" si="11">AB8*100/AC8</f>
        <v>73.887985813506717</v>
      </c>
      <c r="AE8" s="20"/>
      <c r="AF8" s="11" t="s">
        <v>43</v>
      </c>
      <c r="AG8" s="19">
        <v>0</v>
      </c>
      <c r="AH8" s="12"/>
      <c r="AI8" s="9" t="s">
        <v>43</v>
      </c>
      <c r="AJ8" s="20"/>
      <c r="AK8" s="11" t="s">
        <v>43</v>
      </c>
      <c r="AL8" s="19">
        <v>0</v>
      </c>
      <c r="AM8" s="12"/>
      <c r="AN8" s="9" t="s">
        <v>43</v>
      </c>
      <c r="AO8" s="20"/>
      <c r="AP8" s="11" t="s">
        <v>43</v>
      </c>
      <c r="AQ8" s="19">
        <v>4614.420000000001</v>
      </c>
      <c r="AR8" s="12">
        <v>3779.41</v>
      </c>
      <c r="AS8" s="9">
        <f t="shared" si="7"/>
        <v>122.0936601215534</v>
      </c>
      <c r="AT8" s="20">
        <v>-162.5</v>
      </c>
      <c r="AU8" s="11">
        <f t="shared" si="8"/>
        <v>-2839.6430769230778</v>
      </c>
      <c r="AV8" s="19">
        <v>15</v>
      </c>
      <c r="AW8" s="12">
        <v>25</v>
      </c>
      <c r="AX8" s="9">
        <f t="shared" ref="AX8:AX14" si="12">AV8*100/AW8</f>
        <v>60</v>
      </c>
      <c r="AY8" s="20"/>
      <c r="AZ8" s="11" t="s">
        <v>43</v>
      </c>
      <c r="BA8" s="68"/>
      <c r="BB8" s="59"/>
      <c r="BC8" s="58"/>
      <c r="BD8" s="69"/>
      <c r="BE8" s="60"/>
      <c r="BF8" s="19">
        <v>0</v>
      </c>
      <c r="BG8" s="12"/>
      <c r="BH8" s="9" t="s">
        <v>43</v>
      </c>
      <c r="BI8" s="20"/>
      <c r="BJ8" s="9" t="s">
        <v>43</v>
      </c>
      <c r="BK8" s="19">
        <v>0</v>
      </c>
      <c r="BL8" s="13">
        <v>0</v>
      </c>
      <c r="BM8" s="46" t="s">
        <v>43</v>
      </c>
      <c r="BN8" s="20"/>
      <c r="BO8" s="49" t="s">
        <v>43</v>
      </c>
    </row>
    <row r="9" spans="1:67" x14ac:dyDescent="0.3">
      <c r="A9" s="167"/>
      <c r="B9" s="3" t="s">
        <v>47</v>
      </c>
      <c r="C9" s="19">
        <v>263103.42</v>
      </c>
      <c r="D9" s="12">
        <v>203779.52999999991</v>
      </c>
      <c r="E9" s="9">
        <f t="shared" si="0"/>
        <v>129.11180038544603</v>
      </c>
      <c r="F9" s="20">
        <v>259011.16</v>
      </c>
      <c r="G9" s="11">
        <f t="shared" si="1"/>
        <v>101.57995508764951</v>
      </c>
      <c r="H9" s="19">
        <v>81483.089999999967</v>
      </c>
      <c r="I9" s="12">
        <v>69005.029999999955</v>
      </c>
      <c r="J9" s="9">
        <f t="shared" si="9"/>
        <v>118.08282671567568</v>
      </c>
      <c r="K9" s="20">
        <v>111221.86999999991</v>
      </c>
      <c r="L9" s="11">
        <f t="shared" ref="L9:L14" si="13">H9*100/K9</f>
        <v>73.261751488263982</v>
      </c>
      <c r="M9" s="19">
        <v>24386.759999999987</v>
      </c>
      <c r="N9" s="12">
        <v>22997.35</v>
      </c>
      <c r="O9" s="9">
        <f>M9*100/N9</f>
        <v>106.04160914192282</v>
      </c>
      <c r="P9" s="20">
        <v>20350.120000000003</v>
      </c>
      <c r="Q9" s="11">
        <f>M9*100/P9</f>
        <v>119.83595182731101</v>
      </c>
      <c r="R9" s="19">
        <v>19816.35999999999</v>
      </c>
      <c r="S9" s="12">
        <v>25645.729999999985</v>
      </c>
      <c r="T9" s="9">
        <f t="shared" si="10"/>
        <v>77.269627341471676</v>
      </c>
      <c r="U9" s="20">
        <v>29832.729999999996</v>
      </c>
      <c r="V9" s="11">
        <f t="shared" ref="V9:V14" si="14">R9*100/U9</f>
        <v>66.424896414106229</v>
      </c>
      <c r="W9" s="19">
        <v>3895.9599999999996</v>
      </c>
      <c r="X9" s="12">
        <v>6806.2600000000011</v>
      </c>
      <c r="Y9" s="9">
        <f t="shared" si="2"/>
        <v>57.240834173246377</v>
      </c>
      <c r="Z9" s="20">
        <v>4599.41</v>
      </c>
      <c r="AA9" s="11">
        <f t="shared" si="3"/>
        <v>84.705647028640627</v>
      </c>
      <c r="AB9" s="19">
        <v>9015.9699999999957</v>
      </c>
      <c r="AC9" s="12">
        <v>4186.5199999999995</v>
      </c>
      <c r="AD9" s="9">
        <f t="shared" si="11"/>
        <v>215.3571462694552</v>
      </c>
      <c r="AE9" s="20">
        <v>7156.64</v>
      </c>
      <c r="AF9" s="11">
        <f t="shared" si="4"/>
        <v>125.98048805025815</v>
      </c>
      <c r="AG9" s="19">
        <v>3664.559999999999</v>
      </c>
      <c r="AH9" s="12">
        <v>1742.7199999999998</v>
      </c>
      <c r="AI9" s="9">
        <f t="shared" si="5"/>
        <v>210.27818582445826</v>
      </c>
      <c r="AJ9" s="20">
        <v>3320.3900000000003</v>
      </c>
      <c r="AK9" s="11">
        <f t="shared" si="6"/>
        <v>110.36534864880326</v>
      </c>
      <c r="AL9" s="19">
        <v>55653.08</v>
      </c>
      <c r="AM9" s="12">
        <v>23392.25</v>
      </c>
      <c r="AN9" s="9">
        <f t="shared" ref="AN9:AN14" si="15">AL9*100/AM9</f>
        <v>237.912471010698</v>
      </c>
      <c r="AO9" s="20">
        <v>18497.04</v>
      </c>
      <c r="AP9" s="11">
        <f t="shared" ref="AP9:AP14" si="16">AL9*100/AO9</f>
        <v>300.87559955538831</v>
      </c>
      <c r="AQ9" s="19">
        <v>41743.470000000052</v>
      </c>
      <c r="AR9" s="12">
        <v>24266.579999999984</v>
      </c>
      <c r="AS9" s="9">
        <f t="shared" si="7"/>
        <v>172.02040831464541</v>
      </c>
      <c r="AT9" s="20">
        <v>45531.000000000073</v>
      </c>
      <c r="AU9" s="11">
        <f t="shared" si="8"/>
        <v>91.681425841734168</v>
      </c>
      <c r="AV9" s="19">
        <v>12871.520000000002</v>
      </c>
      <c r="AW9" s="12">
        <v>17591.070000000003</v>
      </c>
      <c r="AX9" s="9">
        <f t="shared" si="12"/>
        <v>73.170762210598895</v>
      </c>
      <c r="AY9" s="20">
        <v>16748.939999999999</v>
      </c>
      <c r="AZ9" s="11">
        <f t="shared" ref="AZ9:AZ14" si="17">AV9*100/AY9</f>
        <v>76.849758850410851</v>
      </c>
      <c r="BA9" s="68"/>
      <c r="BB9" s="59"/>
      <c r="BC9" s="58"/>
      <c r="BD9" s="69"/>
      <c r="BE9" s="60"/>
      <c r="BF9" s="19">
        <v>10572.650000000005</v>
      </c>
      <c r="BG9" s="12">
        <v>8146.02</v>
      </c>
      <c r="BH9" s="9">
        <f t="shared" ref="BH9:BH14" si="18">BF9*100/BG9</f>
        <v>129.78914856580275</v>
      </c>
      <c r="BI9" s="20">
        <v>1753.0200000000004</v>
      </c>
      <c r="BJ9" s="9">
        <f t="shared" ref="BJ9:BJ14" si="19">BF9*100/BI9</f>
        <v>603.11063193802704</v>
      </c>
      <c r="BK9" s="19">
        <v>0</v>
      </c>
      <c r="BL9" s="13">
        <v>0</v>
      </c>
      <c r="BM9" s="46" t="s">
        <v>43</v>
      </c>
      <c r="BN9" s="20"/>
      <c r="BO9" s="49" t="s">
        <v>43</v>
      </c>
    </row>
    <row r="10" spans="1:67" x14ac:dyDescent="0.3">
      <c r="A10" s="167"/>
      <c r="B10" s="3" t="s">
        <v>48</v>
      </c>
      <c r="C10" s="19">
        <v>47331.64</v>
      </c>
      <c r="D10" s="12">
        <v>37553.020000000004</v>
      </c>
      <c r="E10" s="9">
        <f t="shared" si="0"/>
        <v>126.03950361382385</v>
      </c>
      <c r="F10" s="20">
        <v>37515.239999999991</v>
      </c>
      <c r="G10" s="11">
        <f t="shared" si="1"/>
        <v>126.1664326284465</v>
      </c>
      <c r="H10" s="19">
        <v>21385.530000000006</v>
      </c>
      <c r="I10" s="12">
        <v>22316.39</v>
      </c>
      <c r="J10" s="9">
        <f t="shared" si="9"/>
        <v>95.828805644640582</v>
      </c>
      <c r="K10" s="20">
        <v>15251.029999999999</v>
      </c>
      <c r="L10" s="11">
        <f t="shared" si="13"/>
        <v>140.22351277257999</v>
      </c>
      <c r="M10" s="19">
        <v>5365.8300000000008</v>
      </c>
      <c r="N10" s="12">
        <v>5739.2499999999964</v>
      </c>
      <c r="O10" s="9">
        <f>M10*100/N10</f>
        <v>93.493574944461457</v>
      </c>
      <c r="P10" s="20">
        <v>6119.6299999999974</v>
      </c>
      <c r="Q10" s="11">
        <f>M10*100/P10</f>
        <v>87.682261836091456</v>
      </c>
      <c r="R10" s="19">
        <v>1070.8</v>
      </c>
      <c r="S10" s="12">
        <v>643.46</v>
      </c>
      <c r="T10" s="9">
        <f t="shared" si="10"/>
        <v>166.41283063438286</v>
      </c>
      <c r="U10" s="20">
        <v>1409.65</v>
      </c>
      <c r="V10" s="11">
        <f t="shared" si="14"/>
        <v>75.962118256304748</v>
      </c>
      <c r="W10" s="19">
        <v>551.71</v>
      </c>
      <c r="X10" s="12">
        <v>311.13</v>
      </c>
      <c r="Y10" s="9">
        <f t="shared" si="2"/>
        <v>177.32459100697457</v>
      </c>
      <c r="Z10" s="20">
        <v>2090.2100000000005</v>
      </c>
      <c r="AA10" s="11">
        <f t="shared" si="3"/>
        <v>26.394955530783982</v>
      </c>
      <c r="AB10" s="19">
        <v>223</v>
      </c>
      <c r="AC10" s="12">
        <v>738.22</v>
      </c>
      <c r="AD10" s="9">
        <f t="shared" si="11"/>
        <v>30.207797133645794</v>
      </c>
      <c r="AE10" s="20">
        <v>147.80000000000001</v>
      </c>
      <c r="AF10" s="11">
        <f t="shared" si="4"/>
        <v>150.87956698240865</v>
      </c>
      <c r="AG10" s="19">
        <v>4317.07</v>
      </c>
      <c r="AH10" s="12">
        <v>1568.1700000000003</v>
      </c>
      <c r="AI10" s="9">
        <f t="shared" si="5"/>
        <v>275.29349496546928</v>
      </c>
      <c r="AJ10" s="20">
        <v>2337.77</v>
      </c>
      <c r="AK10" s="11">
        <f t="shared" si="6"/>
        <v>184.66615620869462</v>
      </c>
      <c r="AL10" s="19">
        <v>6941.1299999999992</v>
      </c>
      <c r="AM10" s="12">
        <v>384.00000000000023</v>
      </c>
      <c r="AN10" s="9">
        <f t="shared" si="15"/>
        <v>1807.5859374999986</v>
      </c>
      <c r="AO10" s="20">
        <v>2540.52</v>
      </c>
      <c r="AP10" s="11">
        <f t="shared" si="16"/>
        <v>273.21690047706767</v>
      </c>
      <c r="AQ10" s="19">
        <v>5780.9299999999985</v>
      </c>
      <c r="AR10" s="12">
        <v>5429.2999999999993</v>
      </c>
      <c r="AS10" s="9">
        <f t="shared" si="7"/>
        <v>106.4765255189435</v>
      </c>
      <c r="AT10" s="20">
        <v>5807.3899999999985</v>
      </c>
      <c r="AU10" s="11">
        <f t="shared" si="8"/>
        <v>99.544373634283218</v>
      </c>
      <c r="AV10" s="19">
        <v>1528.7600000000002</v>
      </c>
      <c r="AW10" s="12">
        <v>317.05</v>
      </c>
      <c r="AX10" s="9">
        <f t="shared" si="12"/>
        <v>482.18262103769126</v>
      </c>
      <c r="AY10" s="20">
        <v>1480.04</v>
      </c>
      <c r="AZ10" s="11">
        <f t="shared" si="17"/>
        <v>103.29180292424532</v>
      </c>
      <c r="BA10" s="68"/>
      <c r="BB10" s="59"/>
      <c r="BC10" s="58"/>
      <c r="BD10" s="69"/>
      <c r="BE10" s="60"/>
      <c r="BF10" s="19">
        <v>166.88</v>
      </c>
      <c r="BG10" s="12">
        <v>106.05</v>
      </c>
      <c r="BH10" s="9">
        <f t="shared" si="18"/>
        <v>157.35973597359737</v>
      </c>
      <c r="BI10" s="20">
        <v>85.53</v>
      </c>
      <c r="BJ10" s="9">
        <f t="shared" si="19"/>
        <v>195.11282590903775</v>
      </c>
      <c r="BK10" s="19">
        <v>0</v>
      </c>
      <c r="BL10" s="13">
        <v>0</v>
      </c>
      <c r="BM10" s="46" t="s">
        <v>43</v>
      </c>
      <c r="BN10" s="20">
        <v>245.67000000000002</v>
      </c>
      <c r="BO10" s="49" t="s">
        <v>43</v>
      </c>
    </row>
    <row r="11" spans="1:67" x14ac:dyDescent="0.3">
      <c r="A11" s="167"/>
      <c r="B11" s="3" t="s">
        <v>49</v>
      </c>
      <c r="C11" s="8">
        <v>4883.2700000000004</v>
      </c>
      <c r="D11" s="12">
        <v>7128.9800000000059</v>
      </c>
      <c r="E11" s="9">
        <f t="shared" si="0"/>
        <v>68.49885958440052</v>
      </c>
      <c r="F11" s="12">
        <v>3842.39</v>
      </c>
      <c r="G11" s="11">
        <f t="shared" si="1"/>
        <v>127.08938967673768</v>
      </c>
      <c r="H11" s="56"/>
      <c r="I11" s="57"/>
      <c r="J11" s="58"/>
      <c r="K11" s="70"/>
      <c r="L11" s="60"/>
      <c r="M11" s="56"/>
      <c r="N11" s="57"/>
      <c r="O11" s="58"/>
      <c r="P11" s="70"/>
      <c r="Q11" s="60"/>
      <c r="R11" s="56"/>
      <c r="S11" s="57"/>
      <c r="T11" s="58"/>
      <c r="U11" s="70"/>
      <c r="V11" s="60"/>
      <c r="W11" s="56"/>
      <c r="X11" s="57"/>
      <c r="Y11" s="58"/>
      <c r="Z11" s="70"/>
      <c r="AA11" s="60"/>
      <c r="AB11" s="56"/>
      <c r="AC11" s="57"/>
      <c r="AD11" s="58"/>
      <c r="AE11" s="70"/>
      <c r="AF11" s="60"/>
      <c r="AG11" s="56"/>
      <c r="AH11" s="57"/>
      <c r="AI11" s="58"/>
      <c r="AJ11" s="70"/>
      <c r="AK11" s="60"/>
      <c r="AL11" s="56"/>
      <c r="AM11" s="57"/>
      <c r="AN11" s="58"/>
      <c r="AO11" s="70"/>
      <c r="AP11" s="60"/>
      <c r="AQ11" s="56"/>
      <c r="AR11" s="57"/>
      <c r="AS11" s="58"/>
      <c r="AT11" s="70"/>
      <c r="AU11" s="60"/>
      <c r="AV11" s="56"/>
      <c r="AW11" s="57"/>
      <c r="AX11" s="58"/>
      <c r="AY11" s="70"/>
      <c r="AZ11" s="60"/>
      <c r="BA11" s="56"/>
      <c r="BB11" s="70"/>
      <c r="BC11" s="58"/>
      <c r="BD11" s="70"/>
      <c r="BE11" s="60"/>
      <c r="BF11" s="56"/>
      <c r="BG11" s="57"/>
      <c r="BH11" s="58"/>
      <c r="BI11" s="70"/>
      <c r="BJ11" s="58"/>
      <c r="BK11" s="56"/>
      <c r="BL11" s="59"/>
      <c r="BM11" s="73"/>
      <c r="BN11" s="70"/>
      <c r="BO11" s="74"/>
    </row>
    <row r="12" spans="1:67" x14ac:dyDescent="0.3">
      <c r="A12" s="167"/>
      <c r="B12" s="3" t="s">
        <v>50</v>
      </c>
      <c r="C12" s="19">
        <v>73899.229999999981</v>
      </c>
      <c r="D12" s="12">
        <v>36062.550000000003</v>
      </c>
      <c r="E12" s="9">
        <f t="shared" si="0"/>
        <v>204.91959109935368</v>
      </c>
      <c r="F12" s="20">
        <v>65492.12</v>
      </c>
      <c r="G12" s="11">
        <f t="shared" si="1"/>
        <v>112.83682678160362</v>
      </c>
      <c r="H12" s="19">
        <v>26249.32</v>
      </c>
      <c r="I12" s="12">
        <v>10960.840000000002</v>
      </c>
      <c r="J12" s="9">
        <f t="shared" si="9"/>
        <v>239.48274037391292</v>
      </c>
      <c r="K12" s="20">
        <v>25564.350000000002</v>
      </c>
      <c r="L12" s="11">
        <f t="shared" si="13"/>
        <v>102.67939532982453</v>
      </c>
      <c r="M12" s="19">
        <v>1710.4100000000005</v>
      </c>
      <c r="N12" s="12">
        <v>2849.8199999999993</v>
      </c>
      <c r="O12" s="9">
        <f>M12*100/N12</f>
        <v>60.018176586591473</v>
      </c>
      <c r="P12" s="20">
        <v>1933.18</v>
      </c>
      <c r="Q12" s="11">
        <f>M12*100/P12</f>
        <v>88.476499860333774</v>
      </c>
      <c r="R12" s="19">
        <v>6102.3200000000006</v>
      </c>
      <c r="S12" s="12">
        <v>5449.5900000000011</v>
      </c>
      <c r="T12" s="9">
        <f t="shared" si="10"/>
        <v>111.9775983147356</v>
      </c>
      <c r="U12" s="20">
        <v>22294.32</v>
      </c>
      <c r="V12" s="11">
        <f t="shared" si="14"/>
        <v>27.371635465894457</v>
      </c>
      <c r="W12" s="19">
        <v>2899.3900000000008</v>
      </c>
      <c r="X12" s="12">
        <v>4078.7499999999986</v>
      </c>
      <c r="Y12" s="9">
        <f t="shared" si="2"/>
        <v>71.085258964143463</v>
      </c>
      <c r="Z12" s="20">
        <v>3014.5800000000008</v>
      </c>
      <c r="AA12" s="11">
        <f t="shared" si="3"/>
        <v>96.178903860570955</v>
      </c>
      <c r="AB12" s="19">
        <v>113</v>
      </c>
      <c r="AC12" s="12">
        <v>251.45</v>
      </c>
      <c r="AD12" s="9">
        <f t="shared" si="11"/>
        <v>44.939351759793205</v>
      </c>
      <c r="AE12" s="20">
        <v>308.39</v>
      </c>
      <c r="AF12" s="11">
        <f t="shared" si="4"/>
        <v>36.641914458964301</v>
      </c>
      <c r="AG12" s="19">
        <v>760.38000000000034</v>
      </c>
      <c r="AH12" s="12">
        <v>3825.23</v>
      </c>
      <c r="AI12" s="9">
        <f t="shared" si="5"/>
        <v>19.878020406616081</v>
      </c>
      <c r="AJ12" s="20">
        <v>1226.6599999999999</v>
      </c>
      <c r="AK12" s="11">
        <f t="shared" si="6"/>
        <v>61.987836890417917</v>
      </c>
      <c r="AL12" s="19">
        <v>20226.7</v>
      </c>
      <c r="AM12" s="12">
        <v>4157.22</v>
      </c>
      <c r="AN12" s="9">
        <f t="shared" si="15"/>
        <v>486.54389231265122</v>
      </c>
      <c r="AO12" s="20">
        <v>928</v>
      </c>
      <c r="AP12" s="11">
        <f t="shared" si="16"/>
        <v>2179.6012931034484</v>
      </c>
      <c r="AQ12" s="19">
        <v>15145.129999999997</v>
      </c>
      <c r="AR12" s="12">
        <v>4404.2300000000023</v>
      </c>
      <c r="AS12" s="9">
        <f t="shared" si="7"/>
        <v>343.87690924406741</v>
      </c>
      <c r="AT12" s="20">
        <v>9650.98</v>
      </c>
      <c r="AU12" s="11">
        <f t="shared" si="8"/>
        <v>156.92841555987059</v>
      </c>
      <c r="AV12" s="19">
        <v>50</v>
      </c>
      <c r="AW12" s="12">
        <v>55.9</v>
      </c>
      <c r="AX12" s="9">
        <f t="shared" si="12"/>
        <v>89.445438282647586</v>
      </c>
      <c r="AY12" s="20">
        <v>311.77</v>
      </c>
      <c r="AZ12" s="11">
        <f t="shared" si="17"/>
        <v>16.037463514770504</v>
      </c>
      <c r="BA12" s="68"/>
      <c r="BB12" s="59"/>
      <c r="BC12" s="58"/>
      <c r="BD12" s="69"/>
      <c r="BE12" s="60"/>
      <c r="BF12" s="19">
        <v>372.93</v>
      </c>
      <c r="BG12" s="12">
        <v>29.519999999999996</v>
      </c>
      <c r="BH12" s="9">
        <f t="shared" si="18"/>
        <v>1263.3130081300815</v>
      </c>
      <c r="BI12" s="20">
        <v>259.89</v>
      </c>
      <c r="BJ12" s="9">
        <f t="shared" si="19"/>
        <v>143.49532494516913</v>
      </c>
      <c r="BK12" s="19">
        <v>372.93</v>
      </c>
      <c r="BL12" s="13">
        <v>0</v>
      </c>
      <c r="BM12" s="46" t="s">
        <v>43</v>
      </c>
      <c r="BN12" s="20"/>
      <c r="BO12" s="49" t="s">
        <v>43</v>
      </c>
    </row>
    <row r="13" spans="1:67" x14ac:dyDescent="0.3">
      <c r="A13" s="167"/>
      <c r="B13" s="3" t="s">
        <v>51</v>
      </c>
      <c r="C13" s="19">
        <v>41729.579999999987</v>
      </c>
      <c r="D13" s="12">
        <v>45493.69</v>
      </c>
      <c r="E13" s="9">
        <f t="shared" si="0"/>
        <v>91.726083331556495</v>
      </c>
      <c r="F13" s="20">
        <v>39771.529999999992</v>
      </c>
      <c r="G13" s="11">
        <f t="shared" si="1"/>
        <v>104.92324534660848</v>
      </c>
      <c r="H13" s="19">
        <v>22822.509999999991</v>
      </c>
      <c r="I13" s="12">
        <v>11627.140000000003</v>
      </c>
      <c r="J13" s="9">
        <f t="shared" si="9"/>
        <v>196.28653305972048</v>
      </c>
      <c r="K13" s="20">
        <v>11213.889999999996</v>
      </c>
      <c r="L13" s="11">
        <f t="shared" si="13"/>
        <v>203.520009559573</v>
      </c>
      <c r="M13" s="19">
        <v>3058.5800000000004</v>
      </c>
      <c r="N13" s="12">
        <v>16947.440000000002</v>
      </c>
      <c r="O13" s="9">
        <f>M13*100/N13</f>
        <v>18.047445513894726</v>
      </c>
      <c r="P13" s="20">
        <v>2382.31</v>
      </c>
      <c r="Q13" s="11">
        <f>M13*100/P13</f>
        <v>128.38715364499166</v>
      </c>
      <c r="R13" s="19">
        <v>6152.9</v>
      </c>
      <c r="S13" s="12">
        <v>4399.62</v>
      </c>
      <c r="T13" s="9">
        <f t="shared" si="10"/>
        <v>139.85071437987827</v>
      </c>
      <c r="U13" s="20">
        <v>4304.16</v>
      </c>
      <c r="V13" s="11">
        <f t="shared" si="14"/>
        <v>142.95239953905059</v>
      </c>
      <c r="W13" s="19">
        <v>1040.6000000000001</v>
      </c>
      <c r="X13" s="12">
        <v>1608.64</v>
      </c>
      <c r="Y13" s="9">
        <f t="shared" si="2"/>
        <v>64.688183807439827</v>
      </c>
      <c r="Z13" s="20">
        <v>909.12999999999988</v>
      </c>
      <c r="AA13" s="11">
        <f t="shared" si="3"/>
        <v>114.46107817363857</v>
      </c>
      <c r="AB13" s="19">
        <v>1824.72</v>
      </c>
      <c r="AC13" s="12">
        <v>330</v>
      </c>
      <c r="AD13" s="9">
        <f t="shared" si="11"/>
        <v>552.9454545454546</v>
      </c>
      <c r="AE13" s="20">
        <v>2112.48</v>
      </c>
      <c r="AF13" s="11">
        <f t="shared" si="4"/>
        <v>86.378095887298343</v>
      </c>
      <c r="AG13" s="19">
        <v>581.1</v>
      </c>
      <c r="AH13" s="12">
        <v>482.69</v>
      </c>
      <c r="AI13" s="9">
        <f t="shared" si="5"/>
        <v>120.38782655534608</v>
      </c>
      <c r="AJ13" s="20">
        <v>151.70000000000005</v>
      </c>
      <c r="AK13" s="11">
        <f t="shared" si="6"/>
        <v>383.05866842452195</v>
      </c>
      <c r="AL13" s="19">
        <v>978.6</v>
      </c>
      <c r="AM13" s="12">
        <v>4330.5</v>
      </c>
      <c r="AN13" s="9">
        <f t="shared" si="15"/>
        <v>22.597852441981296</v>
      </c>
      <c r="AO13" s="20">
        <v>15002.099999999999</v>
      </c>
      <c r="AP13" s="11">
        <f t="shared" si="16"/>
        <v>6.5230867678525009</v>
      </c>
      <c r="AQ13" s="19">
        <v>3352.8300000000008</v>
      </c>
      <c r="AR13" s="12">
        <v>3715.4199999999973</v>
      </c>
      <c r="AS13" s="9">
        <f t="shared" si="7"/>
        <v>90.240941804695112</v>
      </c>
      <c r="AT13" s="20">
        <v>3206.110000000001</v>
      </c>
      <c r="AU13" s="11">
        <f t="shared" si="8"/>
        <v>104.57626219936307</v>
      </c>
      <c r="AV13" s="19">
        <v>1859.59</v>
      </c>
      <c r="AW13" s="12">
        <v>1814.7900000000002</v>
      </c>
      <c r="AX13" s="9">
        <f t="shared" si="12"/>
        <v>102.46860518296882</v>
      </c>
      <c r="AY13" s="20">
        <v>359.34999999999997</v>
      </c>
      <c r="AZ13" s="11">
        <f t="shared" si="17"/>
        <v>517.4871295394463</v>
      </c>
      <c r="BA13" s="68"/>
      <c r="BB13" s="59"/>
      <c r="BC13" s="58"/>
      <c r="BD13" s="69"/>
      <c r="BE13" s="60"/>
      <c r="BF13" s="19">
        <v>0</v>
      </c>
      <c r="BG13" s="12">
        <v>237.45</v>
      </c>
      <c r="BH13" s="9">
        <f t="shared" si="18"/>
        <v>0</v>
      </c>
      <c r="BI13" s="20">
        <v>130.30000000000001</v>
      </c>
      <c r="BJ13" s="9">
        <f t="shared" si="19"/>
        <v>0</v>
      </c>
      <c r="BK13" s="19">
        <v>0</v>
      </c>
      <c r="BL13" s="13">
        <v>0</v>
      </c>
      <c r="BM13" s="46" t="s">
        <v>43</v>
      </c>
      <c r="BN13" s="20"/>
      <c r="BO13" s="49" t="s">
        <v>43</v>
      </c>
    </row>
    <row r="14" spans="1:67" ht="15" thickBot="1" x14ac:dyDescent="0.35">
      <c r="A14" s="167"/>
      <c r="B14" s="3" t="s">
        <v>52</v>
      </c>
      <c r="C14" s="22">
        <v>118045.8</v>
      </c>
      <c r="D14" s="17">
        <v>149587.02999999997</v>
      </c>
      <c r="E14" s="14">
        <f t="shared" si="0"/>
        <v>78.914462035913161</v>
      </c>
      <c r="F14" s="23">
        <v>212851.46000000002</v>
      </c>
      <c r="G14" s="16">
        <f t="shared" si="1"/>
        <v>55.459239039281194</v>
      </c>
      <c r="H14" s="22">
        <v>49534.449999999968</v>
      </c>
      <c r="I14" s="17">
        <v>48945.359999999964</v>
      </c>
      <c r="J14" s="14">
        <f t="shared" si="9"/>
        <v>101.20356658935599</v>
      </c>
      <c r="K14" s="23">
        <v>58500.340000000033</v>
      </c>
      <c r="L14" s="16">
        <f t="shared" si="13"/>
        <v>84.673781383150839</v>
      </c>
      <c r="M14" s="22">
        <v>11121.930000000002</v>
      </c>
      <c r="N14" s="17">
        <v>9821.0000000000018</v>
      </c>
      <c r="O14" s="14">
        <f>M14*100/N14</f>
        <v>113.2464107524692</v>
      </c>
      <c r="P14" s="23">
        <v>13874.1</v>
      </c>
      <c r="Q14" s="16">
        <f>M14*100/P14</f>
        <v>80.16325383268105</v>
      </c>
      <c r="R14" s="22">
        <v>18817.169999999995</v>
      </c>
      <c r="S14" s="17">
        <v>18869.23</v>
      </c>
      <c r="T14" s="14">
        <f t="shared" si="10"/>
        <v>99.724101089445597</v>
      </c>
      <c r="U14" s="23">
        <v>35961.57</v>
      </c>
      <c r="V14" s="16">
        <f t="shared" si="14"/>
        <v>52.325774430871611</v>
      </c>
      <c r="W14" s="22">
        <v>2491.8299999999986</v>
      </c>
      <c r="X14" s="17">
        <v>4922.0200000000013</v>
      </c>
      <c r="Y14" s="14">
        <f t="shared" si="2"/>
        <v>50.626165679944371</v>
      </c>
      <c r="Z14" s="23">
        <v>3785.3799999999987</v>
      </c>
      <c r="AA14" s="16">
        <f t="shared" si="3"/>
        <v>65.827737241703588</v>
      </c>
      <c r="AB14" s="22">
        <v>1786.5000000000002</v>
      </c>
      <c r="AC14" s="17">
        <v>3808.8600000000006</v>
      </c>
      <c r="AD14" s="14">
        <f t="shared" si="11"/>
        <v>46.903797986799198</v>
      </c>
      <c r="AE14" s="23">
        <v>81.730000000000132</v>
      </c>
      <c r="AF14" s="16">
        <f t="shared" si="4"/>
        <v>2185.8558668787441</v>
      </c>
      <c r="AG14" s="22">
        <v>2202.7099999999996</v>
      </c>
      <c r="AH14" s="17">
        <v>1292.9700000000003</v>
      </c>
      <c r="AI14" s="14">
        <f t="shared" si="5"/>
        <v>170.36048786901469</v>
      </c>
      <c r="AJ14" s="23">
        <v>1272.7599999999998</v>
      </c>
      <c r="AK14" s="16">
        <f t="shared" si="6"/>
        <v>173.06562116974135</v>
      </c>
      <c r="AL14" s="22">
        <v>6832.3600000000015</v>
      </c>
      <c r="AM14" s="17">
        <v>37766.149999999994</v>
      </c>
      <c r="AN14" s="14">
        <f t="shared" si="15"/>
        <v>18.091227196841622</v>
      </c>
      <c r="AO14" s="23">
        <v>70678.319999999992</v>
      </c>
      <c r="AP14" s="16">
        <f t="shared" si="16"/>
        <v>9.6668398456556428</v>
      </c>
      <c r="AQ14" s="22">
        <v>21495.719999999987</v>
      </c>
      <c r="AR14" s="17">
        <v>18443.860000000004</v>
      </c>
      <c r="AS14" s="14">
        <f t="shared" si="7"/>
        <v>116.54675322844557</v>
      </c>
      <c r="AT14" s="23">
        <v>17537.580000000005</v>
      </c>
      <c r="AU14" s="16">
        <f t="shared" si="8"/>
        <v>122.56947651842489</v>
      </c>
      <c r="AV14" s="22">
        <v>-80.569999999999823</v>
      </c>
      <c r="AW14" s="17">
        <v>1365.27</v>
      </c>
      <c r="AX14" s="14">
        <f t="shared" si="12"/>
        <v>-5.9013967933082698</v>
      </c>
      <c r="AY14" s="23">
        <v>7352.97</v>
      </c>
      <c r="AZ14" s="16">
        <f t="shared" si="17"/>
        <v>-1.0957477046689952</v>
      </c>
      <c r="BA14" s="71"/>
      <c r="BB14" s="64"/>
      <c r="BC14" s="63"/>
      <c r="BD14" s="72"/>
      <c r="BE14" s="65"/>
      <c r="BF14" s="22">
        <v>0</v>
      </c>
      <c r="BG14" s="17">
        <v>4352.3099999999995</v>
      </c>
      <c r="BH14" s="14">
        <f t="shared" si="18"/>
        <v>0</v>
      </c>
      <c r="BI14" s="23">
        <v>3806.7100000000009</v>
      </c>
      <c r="BJ14" s="14">
        <f t="shared" si="19"/>
        <v>0</v>
      </c>
      <c r="BK14" s="22">
        <v>0</v>
      </c>
      <c r="BL14" s="18">
        <v>0</v>
      </c>
      <c r="BM14" s="47" t="s">
        <v>43</v>
      </c>
      <c r="BN14" s="23"/>
      <c r="BO14" s="50" t="s">
        <v>43</v>
      </c>
    </row>
    <row r="16" spans="1:67" ht="15" thickBot="1" x14ac:dyDescent="0.35"/>
    <row r="17" spans="1:67" x14ac:dyDescent="0.3">
      <c r="A17" s="171">
        <v>42401</v>
      </c>
      <c r="B17" s="172"/>
      <c r="C17" s="168" t="s">
        <v>2</v>
      </c>
      <c r="D17" s="169"/>
      <c r="E17" s="169"/>
      <c r="F17" s="169"/>
      <c r="G17" s="170"/>
      <c r="H17" s="168" t="s">
        <v>32</v>
      </c>
      <c r="I17" s="169"/>
      <c r="J17" s="169"/>
      <c r="K17" s="169"/>
      <c r="L17" s="170"/>
      <c r="M17" s="162" t="s">
        <v>33</v>
      </c>
      <c r="N17" s="163"/>
      <c r="O17" s="163"/>
      <c r="P17" s="163"/>
      <c r="Q17" s="164"/>
      <c r="R17" s="162" t="s">
        <v>34</v>
      </c>
      <c r="S17" s="163"/>
      <c r="T17" s="163"/>
      <c r="U17" s="163"/>
      <c r="V17" s="164"/>
      <c r="W17" s="162" t="s">
        <v>35</v>
      </c>
      <c r="X17" s="163"/>
      <c r="Y17" s="163"/>
      <c r="Z17" s="163"/>
      <c r="AA17" s="164"/>
      <c r="AB17" s="162" t="s">
        <v>7</v>
      </c>
      <c r="AC17" s="163"/>
      <c r="AD17" s="163"/>
      <c r="AE17" s="163"/>
      <c r="AF17" s="164"/>
      <c r="AG17" s="162" t="s">
        <v>8</v>
      </c>
      <c r="AH17" s="163"/>
      <c r="AI17" s="163"/>
      <c r="AJ17" s="163"/>
      <c r="AK17" s="164"/>
      <c r="AL17" s="162" t="s">
        <v>9</v>
      </c>
      <c r="AM17" s="163"/>
      <c r="AN17" s="163"/>
      <c r="AO17" s="163"/>
      <c r="AP17" s="164"/>
      <c r="AQ17" s="162" t="s">
        <v>10</v>
      </c>
      <c r="AR17" s="163"/>
      <c r="AS17" s="163"/>
      <c r="AT17" s="163"/>
      <c r="AU17" s="164"/>
      <c r="AV17" s="162" t="s">
        <v>36</v>
      </c>
      <c r="AW17" s="163"/>
      <c r="AX17" s="163"/>
      <c r="AY17" s="163"/>
      <c r="AZ17" s="163"/>
      <c r="BA17" s="162" t="s">
        <v>37</v>
      </c>
      <c r="BB17" s="163"/>
      <c r="BC17" s="163"/>
      <c r="BD17" s="163"/>
      <c r="BE17" s="163"/>
      <c r="BF17" s="162" t="s">
        <v>12</v>
      </c>
      <c r="BG17" s="163"/>
      <c r="BH17" s="163"/>
      <c r="BI17" s="163"/>
      <c r="BJ17" s="164"/>
      <c r="BK17" s="162" t="s">
        <v>13</v>
      </c>
      <c r="BL17" s="163"/>
      <c r="BM17" s="163"/>
      <c r="BN17" s="163"/>
      <c r="BO17" s="164"/>
    </row>
    <row r="18" spans="1:67" ht="15" thickBot="1" x14ac:dyDescent="0.35">
      <c r="A18" s="173"/>
      <c r="B18" s="174"/>
      <c r="C18" s="4" t="s">
        <v>38</v>
      </c>
      <c r="D18" s="5" t="s">
        <v>39</v>
      </c>
      <c r="E18" s="6" t="s">
        <v>40</v>
      </c>
      <c r="F18" s="5" t="s">
        <v>41</v>
      </c>
      <c r="G18" s="7" t="s">
        <v>42</v>
      </c>
      <c r="H18" s="4" t="s">
        <v>38</v>
      </c>
      <c r="I18" s="5" t="s">
        <v>39</v>
      </c>
      <c r="J18" s="6" t="s">
        <v>40</v>
      </c>
      <c r="K18" s="5" t="s">
        <v>41</v>
      </c>
      <c r="L18" s="7" t="s">
        <v>42</v>
      </c>
      <c r="M18" s="4" t="s">
        <v>38</v>
      </c>
      <c r="N18" s="5" t="s">
        <v>39</v>
      </c>
      <c r="O18" s="6" t="s">
        <v>40</v>
      </c>
      <c r="P18" s="5" t="s">
        <v>41</v>
      </c>
      <c r="Q18" s="7" t="s">
        <v>42</v>
      </c>
      <c r="R18" s="4" t="s">
        <v>38</v>
      </c>
      <c r="S18" s="5" t="s">
        <v>39</v>
      </c>
      <c r="T18" s="6" t="s">
        <v>40</v>
      </c>
      <c r="U18" s="5" t="s">
        <v>41</v>
      </c>
      <c r="V18" s="7" t="s">
        <v>42</v>
      </c>
      <c r="W18" s="4" t="s">
        <v>38</v>
      </c>
      <c r="X18" s="5" t="s">
        <v>39</v>
      </c>
      <c r="Y18" s="6" t="s">
        <v>40</v>
      </c>
      <c r="Z18" s="5" t="s">
        <v>41</v>
      </c>
      <c r="AA18" s="7" t="s">
        <v>42</v>
      </c>
      <c r="AB18" s="4" t="s">
        <v>38</v>
      </c>
      <c r="AC18" s="5" t="s">
        <v>39</v>
      </c>
      <c r="AD18" s="6" t="s">
        <v>40</v>
      </c>
      <c r="AE18" s="5" t="s">
        <v>41</v>
      </c>
      <c r="AF18" s="7" t="s">
        <v>42</v>
      </c>
      <c r="AG18" s="4" t="s">
        <v>38</v>
      </c>
      <c r="AH18" s="5" t="s">
        <v>39</v>
      </c>
      <c r="AI18" s="6" t="s">
        <v>40</v>
      </c>
      <c r="AJ18" s="5" t="s">
        <v>41</v>
      </c>
      <c r="AK18" s="7" t="s">
        <v>42</v>
      </c>
      <c r="AL18" s="4" t="s">
        <v>38</v>
      </c>
      <c r="AM18" s="5" t="s">
        <v>39</v>
      </c>
      <c r="AN18" s="6" t="s">
        <v>40</v>
      </c>
      <c r="AO18" s="5" t="s">
        <v>41</v>
      </c>
      <c r="AP18" s="7" t="s">
        <v>42</v>
      </c>
      <c r="AQ18" s="4" t="s">
        <v>38</v>
      </c>
      <c r="AR18" s="5" t="s">
        <v>39</v>
      </c>
      <c r="AS18" s="6" t="s">
        <v>40</v>
      </c>
      <c r="AT18" s="5" t="s">
        <v>41</v>
      </c>
      <c r="AU18" s="7" t="s">
        <v>42</v>
      </c>
      <c r="AV18" s="4" t="s">
        <v>38</v>
      </c>
      <c r="AW18" s="5" t="s">
        <v>39</v>
      </c>
      <c r="AX18" s="6" t="s">
        <v>40</v>
      </c>
      <c r="AY18" s="5" t="s">
        <v>41</v>
      </c>
      <c r="AZ18" s="6" t="s">
        <v>42</v>
      </c>
      <c r="BA18" s="4" t="s">
        <v>38</v>
      </c>
      <c r="BB18" s="5" t="s">
        <v>39</v>
      </c>
      <c r="BC18" s="6" t="s">
        <v>40</v>
      </c>
      <c r="BD18" s="5" t="s">
        <v>41</v>
      </c>
      <c r="BE18" s="6" t="s">
        <v>42</v>
      </c>
      <c r="BF18" s="4" t="s">
        <v>38</v>
      </c>
      <c r="BG18" s="5" t="s">
        <v>39</v>
      </c>
      <c r="BH18" s="6" t="s">
        <v>40</v>
      </c>
      <c r="BI18" s="5" t="s">
        <v>41</v>
      </c>
      <c r="BJ18" s="7" t="s">
        <v>42</v>
      </c>
      <c r="BK18" s="4" t="s">
        <v>38</v>
      </c>
      <c r="BL18" s="5" t="s">
        <v>39</v>
      </c>
      <c r="BM18" s="6" t="s">
        <v>40</v>
      </c>
      <c r="BN18" s="5" t="s">
        <v>41</v>
      </c>
      <c r="BO18" s="7" t="s">
        <v>42</v>
      </c>
    </row>
    <row r="19" spans="1:67" ht="21.6" thickBot="1" x14ac:dyDescent="0.45">
      <c r="A19" s="165" t="s">
        <v>2</v>
      </c>
      <c r="B19" s="166"/>
      <c r="C19" s="40">
        <v>608242.10000000009</v>
      </c>
      <c r="D19" s="41">
        <v>628920.10999999987</v>
      </c>
      <c r="E19" s="27">
        <f t="shared" ref="E19:E27" si="20">C19*100/D19</f>
        <v>96.712140433862132</v>
      </c>
      <c r="F19" s="42">
        <v>588241.50999999989</v>
      </c>
      <c r="G19" s="28">
        <f t="shared" ref="G19:G27" si="21">C19*100/F19</f>
        <v>103.40006437151982</v>
      </c>
      <c r="H19" s="40">
        <v>222815</v>
      </c>
      <c r="I19" s="26">
        <v>228552.29000000004</v>
      </c>
      <c r="J19" s="27">
        <f>H19*100/I19</f>
        <v>97.48972543657294</v>
      </c>
      <c r="K19" s="42">
        <v>217585.74999999994</v>
      </c>
      <c r="L19" s="28">
        <f>H19*100/K19</f>
        <v>102.40330536351763</v>
      </c>
      <c r="M19" s="40">
        <v>62878.11000000003</v>
      </c>
      <c r="N19" s="26">
        <v>51605.179999999993</v>
      </c>
      <c r="O19" s="27">
        <f>M19*100/N19</f>
        <v>121.8445706419395</v>
      </c>
      <c r="P19" s="42">
        <v>59776.909999999996</v>
      </c>
      <c r="Q19" s="28">
        <f>M19*100/P19</f>
        <v>105.18795635304674</v>
      </c>
      <c r="R19" s="40">
        <v>74040.12999999999</v>
      </c>
      <c r="S19" s="26">
        <v>71478.13</v>
      </c>
      <c r="T19" s="27">
        <f>R19*100/S19</f>
        <v>103.58431313186283</v>
      </c>
      <c r="U19" s="42">
        <v>52030.549999999988</v>
      </c>
      <c r="V19" s="28">
        <f>R19*100/U19</f>
        <v>142.30126339237239</v>
      </c>
      <c r="W19" s="40">
        <v>12098.6</v>
      </c>
      <c r="X19" s="26">
        <v>24047.58</v>
      </c>
      <c r="Y19" s="27">
        <f>W19*100/X19</f>
        <v>50.311091594247735</v>
      </c>
      <c r="Z19" s="42">
        <v>10905.73</v>
      </c>
      <c r="AA19" s="28">
        <f>W19*100/Z19</f>
        <v>110.93801148570523</v>
      </c>
      <c r="AB19" s="40">
        <v>18739.949999999997</v>
      </c>
      <c r="AC19" s="26">
        <v>18404.48</v>
      </c>
      <c r="AD19" s="27">
        <f>AB19*100/AC19</f>
        <v>101.82276271864241</v>
      </c>
      <c r="AE19" s="42">
        <v>13107.239999999994</v>
      </c>
      <c r="AF19" s="28">
        <f>AB19*100/AE19</f>
        <v>142.97403572376797</v>
      </c>
      <c r="AG19" s="40">
        <v>11526.27</v>
      </c>
      <c r="AH19" s="26">
        <v>16081.850000000002</v>
      </c>
      <c r="AI19" s="27">
        <f>AG19*100/AH19</f>
        <v>71.672537674459079</v>
      </c>
      <c r="AJ19" s="42">
        <v>11915.4</v>
      </c>
      <c r="AK19" s="28">
        <f>AG19*100/AJ19</f>
        <v>96.734226295382456</v>
      </c>
      <c r="AL19" s="40">
        <v>53803.08</v>
      </c>
      <c r="AM19" s="26">
        <v>83313.11</v>
      </c>
      <c r="AN19" s="27">
        <f>AL19*100/AM19</f>
        <v>64.579368121055623</v>
      </c>
      <c r="AO19" s="42">
        <v>90631.87000000001</v>
      </c>
      <c r="AP19" s="28">
        <f>AL19*100/AO19</f>
        <v>59.364415629954443</v>
      </c>
      <c r="AQ19" s="40">
        <v>100991.78000000003</v>
      </c>
      <c r="AR19" s="26">
        <v>91950.290000000008</v>
      </c>
      <c r="AS19" s="27">
        <f>AQ19*100/AR19</f>
        <v>109.8330195587203</v>
      </c>
      <c r="AT19" s="42">
        <v>95876.530000000042</v>
      </c>
      <c r="AU19" s="28">
        <f>AQ19*100/AT19</f>
        <v>105.33524732278066</v>
      </c>
      <c r="AV19" s="40">
        <v>21640.55</v>
      </c>
      <c r="AW19" s="26">
        <v>15147.01</v>
      </c>
      <c r="AX19" s="27">
        <f>AV19*100/AW19</f>
        <v>142.87011099880439</v>
      </c>
      <c r="AY19" s="42">
        <v>16244.300000000003</v>
      </c>
      <c r="AZ19" s="27">
        <f>AV19*100/AY19</f>
        <v>133.21934463165539</v>
      </c>
      <c r="BA19" s="40">
        <v>5498.11</v>
      </c>
      <c r="BB19" s="26">
        <v>7119.7300000000014</v>
      </c>
      <c r="BC19" s="27">
        <f>BA19*100/BB19</f>
        <v>77.223574489482033</v>
      </c>
      <c r="BD19" s="43">
        <v>4883.2700000000004</v>
      </c>
      <c r="BE19" s="27">
        <f>BA19*100/BD19</f>
        <v>112.59074349769723</v>
      </c>
      <c r="BF19" s="40">
        <v>19029.72</v>
      </c>
      <c r="BG19" s="26">
        <v>21220.460000000003</v>
      </c>
      <c r="BH19" s="27">
        <f>BF19*100/BG19</f>
        <v>89.676284114481959</v>
      </c>
      <c r="BI19" s="42">
        <v>14911.030000000002</v>
      </c>
      <c r="BJ19" s="28">
        <f>BF19*100/BI19</f>
        <v>127.62176724210197</v>
      </c>
      <c r="BK19" s="40">
        <v>5180.7999999999993</v>
      </c>
      <c r="BL19" s="30">
        <v>0</v>
      </c>
      <c r="BM19" s="44" t="s">
        <v>43</v>
      </c>
      <c r="BN19" s="42">
        <v>372.93</v>
      </c>
      <c r="BO19" s="28">
        <f>BK19*100/BN19</f>
        <v>1389.2151342074919</v>
      </c>
    </row>
    <row r="20" spans="1:67" x14ac:dyDescent="0.3">
      <c r="A20" s="167" t="s">
        <v>44</v>
      </c>
      <c r="B20" s="3" t="s">
        <v>45</v>
      </c>
      <c r="C20" s="31">
        <v>24793.009999999995</v>
      </c>
      <c r="D20" s="32">
        <v>29899.050000000003</v>
      </c>
      <c r="E20" s="33">
        <f t="shared" si="20"/>
        <v>82.922400544498885</v>
      </c>
      <c r="F20" s="35">
        <v>14149.119999999995</v>
      </c>
      <c r="G20" s="38">
        <f t="shared" si="21"/>
        <v>175.22651585398953</v>
      </c>
      <c r="H20" s="31">
        <v>17124.059999999998</v>
      </c>
      <c r="I20" s="32">
        <v>14224.59</v>
      </c>
      <c r="J20" s="33">
        <f t="shared" ref="J20:J27" si="22">H20*100/I20</f>
        <v>120.383504902426</v>
      </c>
      <c r="K20" s="35">
        <v>9360.2899999999954</v>
      </c>
      <c r="L20" s="38">
        <f t="shared" ref="L20:L26" si="23">H20*100/K20</f>
        <v>182.94369084718537</v>
      </c>
      <c r="M20" s="31">
        <v>492.67</v>
      </c>
      <c r="N20" s="32">
        <v>2317.56</v>
      </c>
      <c r="O20" s="33">
        <f>M20*100/N20</f>
        <v>21.258133554255338</v>
      </c>
      <c r="P20" s="35">
        <v>531.61</v>
      </c>
      <c r="Q20" s="38">
        <f>M20*100/P20</f>
        <v>92.675081356633626</v>
      </c>
      <c r="R20" s="31">
        <v>0</v>
      </c>
      <c r="S20" s="32"/>
      <c r="T20" s="9" t="s">
        <v>43</v>
      </c>
      <c r="U20" s="9" t="s">
        <v>43</v>
      </c>
      <c r="V20" s="9" t="s">
        <v>43</v>
      </c>
      <c r="W20" s="31">
        <v>48.17</v>
      </c>
      <c r="X20" s="32">
        <v>671.71999999999991</v>
      </c>
      <c r="Y20" s="33">
        <f>W20*100/X20</f>
        <v>7.1711427380456154</v>
      </c>
      <c r="Z20" s="35">
        <v>26.240000000000002</v>
      </c>
      <c r="AA20" s="38">
        <f>W20*100/Z20</f>
        <v>183.57469512195121</v>
      </c>
      <c r="AB20" s="31">
        <v>132.13999999999999</v>
      </c>
      <c r="AC20" s="32">
        <v>0</v>
      </c>
      <c r="AD20" s="33" t="s">
        <v>43</v>
      </c>
      <c r="AE20" s="35">
        <v>44.05</v>
      </c>
      <c r="AF20" s="38">
        <f>AB20*100/AE20</f>
        <v>299.97729852440409</v>
      </c>
      <c r="AG20" s="31">
        <v>1006.2</v>
      </c>
      <c r="AH20" s="32">
        <v>1761.29</v>
      </c>
      <c r="AI20" s="33">
        <f>AG20*100/AH20</f>
        <v>57.128581891681669</v>
      </c>
      <c r="AJ20" s="35">
        <v>389.58</v>
      </c>
      <c r="AK20" s="38">
        <f>AG20*100/AJ20</f>
        <v>258.27814569536423</v>
      </c>
      <c r="AL20" s="31">
        <v>0</v>
      </c>
      <c r="AM20" s="32"/>
      <c r="AN20" s="33" t="s">
        <v>43</v>
      </c>
      <c r="AO20" s="35"/>
      <c r="AP20" s="38" t="s">
        <v>43</v>
      </c>
      <c r="AQ20" s="31">
        <v>5989.7699999999986</v>
      </c>
      <c r="AR20" s="32">
        <v>10923.890000000001</v>
      </c>
      <c r="AS20" s="33">
        <f>AQ20*100/AR20</f>
        <v>54.831841038311424</v>
      </c>
      <c r="AT20" s="35">
        <v>3744.0299999999997</v>
      </c>
      <c r="AU20" s="38">
        <f>AQ20*100/AT20</f>
        <v>159.98189117074381</v>
      </c>
      <c r="AV20" s="31">
        <v>0</v>
      </c>
      <c r="AW20" s="32">
        <v>0</v>
      </c>
      <c r="AX20" s="33" t="s">
        <v>43</v>
      </c>
      <c r="AY20" s="35">
        <v>0</v>
      </c>
      <c r="AZ20" s="38" t="s">
        <v>43</v>
      </c>
      <c r="BA20" s="51"/>
      <c r="BB20" s="52"/>
      <c r="BC20" s="53"/>
      <c r="BD20" s="54"/>
      <c r="BE20" s="55"/>
      <c r="BF20" s="31">
        <v>0</v>
      </c>
      <c r="BG20" s="32"/>
      <c r="BH20" s="33" t="s">
        <v>43</v>
      </c>
      <c r="BI20" s="35"/>
      <c r="BJ20" s="33" t="s">
        <v>43</v>
      </c>
      <c r="BK20" s="31">
        <v>0</v>
      </c>
      <c r="BL20" s="37">
        <v>0</v>
      </c>
      <c r="BM20" s="45" t="s">
        <v>43</v>
      </c>
      <c r="BN20" s="45" t="s">
        <v>43</v>
      </c>
      <c r="BO20" s="48" t="s">
        <v>43</v>
      </c>
    </row>
    <row r="21" spans="1:67" x14ac:dyDescent="0.3">
      <c r="A21" s="167"/>
      <c r="B21" s="3" t="s">
        <v>46</v>
      </c>
      <c r="C21" s="19">
        <v>9248.7099999999991</v>
      </c>
      <c r="D21" s="12">
        <v>7682.090000000002</v>
      </c>
      <c r="E21" s="9">
        <f t="shared" si="20"/>
        <v>120.39314821877896</v>
      </c>
      <c r="F21" s="10">
        <v>25099.45</v>
      </c>
      <c r="G21" s="11">
        <f t="shared" si="21"/>
        <v>36.848257631143305</v>
      </c>
      <c r="H21" s="19">
        <v>2160.31</v>
      </c>
      <c r="I21" s="12">
        <v>2047.0500000000004</v>
      </c>
      <c r="J21" s="9">
        <f t="shared" si="22"/>
        <v>105.53283994040203</v>
      </c>
      <c r="K21" s="10">
        <v>6750.5599999999995</v>
      </c>
      <c r="L21" s="11">
        <f t="shared" si="23"/>
        <v>32.00193761702733</v>
      </c>
      <c r="M21" s="19">
        <v>4040.92</v>
      </c>
      <c r="N21" s="12">
        <v>3791.0900000000006</v>
      </c>
      <c r="O21" s="9">
        <f>M21*100/N21</f>
        <v>106.58992532490655</v>
      </c>
      <c r="P21" s="10">
        <v>13601.79</v>
      </c>
      <c r="Q21" s="11">
        <f>M21*100/P21</f>
        <v>29.708736864780295</v>
      </c>
      <c r="R21" s="19">
        <v>0</v>
      </c>
      <c r="S21" s="12"/>
      <c r="T21" s="9" t="s">
        <v>43</v>
      </c>
      <c r="U21" s="9" t="s">
        <v>43</v>
      </c>
      <c r="V21" s="9" t="s">
        <v>43</v>
      </c>
      <c r="W21" s="19">
        <v>0</v>
      </c>
      <c r="X21" s="12"/>
      <c r="Y21" s="9" t="s">
        <v>43</v>
      </c>
      <c r="Z21" s="10"/>
      <c r="AA21" s="11" t="s">
        <v>43</v>
      </c>
      <c r="AB21" s="19">
        <v>226.04</v>
      </c>
      <c r="AC21" s="12">
        <v>272.72000000000003</v>
      </c>
      <c r="AD21" s="9">
        <f>AB21*100/AC21</f>
        <v>82.883543561161616</v>
      </c>
      <c r="AE21" s="10">
        <v>100</v>
      </c>
      <c r="AF21" s="11">
        <f>AB21*100/AE21</f>
        <v>226.04</v>
      </c>
      <c r="AG21" s="19">
        <v>0</v>
      </c>
      <c r="AH21" s="12"/>
      <c r="AI21" s="9" t="s">
        <v>43</v>
      </c>
      <c r="AJ21" s="10"/>
      <c r="AK21" s="11" t="s">
        <v>43</v>
      </c>
      <c r="AL21" s="19">
        <v>0</v>
      </c>
      <c r="AM21" s="12"/>
      <c r="AN21" s="9" t="s">
        <v>43</v>
      </c>
      <c r="AO21" s="10"/>
      <c r="AP21" s="11" t="s">
        <v>43</v>
      </c>
      <c r="AQ21" s="19">
        <v>2821.44</v>
      </c>
      <c r="AR21" s="12">
        <v>1562.23</v>
      </c>
      <c r="AS21" s="9">
        <f>AQ21*100/AR21</f>
        <v>180.60336826203567</v>
      </c>
      <c r="AT21" s="10">
        <v>4614.420000000001</v>
      </c>
      <c r="AU21" s="11">
        <f>AQ21*100/AT21</f>
        <v>61.143979091630136</v>
      </c>
      <c r="AV21" s="19">
        <v>0</v>
      </c>
      <c r="AW21" s="12">
        <v>0</v>
      </c>
      <c r="AX21" s="9" t="s">
        <v>43</v>
      </c>
      <c r="AY21" s="10">
        <v>15</v>
      </c>
      <c r="AZ21" s="11" t="s">
        <v>43</v>
      </c>
      <c r="BA21" s="56"/>
      <c r="BB21" s="57"/>
      <c r="BC21" s="58"/>
      <c r="BD21" s="59"/>
      <c r="BE21" s="60"/>
      <c r="BF21" s="19">
        <v>0</v>
      </c>
      <c r="BG21" s="12">
        <v>9</v>
      </c>
      <c r="BH21" s="9">
        <f>BF21*100/BG21</f>
        <v>0</v>
      </c>
      <c r="BI21" s="10"/>
      <c r="BJ21" s="9" t="s">
        <v>43</v>
      </c>
      <c r="BK21" s="19">
        <v>0</v>
      </c>
      <c r="BL21" s="13">
        <v>0</v>
      </c>
      <c r="BM21" s="46" t="s">
        <v>43</v>
      </c>
      <c r="BN21" s="46" t="s">
        <v>43</v>
      </c>
      <c r="BO21" s="49" t="s">
        <v>43</v>
      </c>
    </row>
    <row r="22" spans="1:67" x14ac:dyDescent="0.3">
      <c r="A22" s="167"/>
      <c r="B22" s="3" t="s">
        <v>47</v>
      </c>
      <c r="C22" s="19">
        <v>257210.56000000008</v>
      </c>
      <c r="D22" s="12">
        <v>270939.26999999996</v>
      </c>
      <c r="E22" s="9">
        <f t="shared" si="20"/>
        <v>94.932919838456826</v>
      </c>
      <c r="F22" s="10">
        <v>263103.42</v>
      </c>
      <c r="G22" s="11">
        <f t="shared" si="21"/>
        <v>97.760249562700508</v>
      </c>
      <c r="H22" s="19">
        <v>92328.990000000034</v>
      </c>
      <c r="I22" s="12">
        <v>108008.84999999999</v>
      </c>
      <c r="J22" s="9">
        <f t="shared" si="22"/>
        <v>85.482800714941462</v>
      </c>
      <c r="K22" s="10">
        <v>81483.089999999967</v>
      </c>
      <c r="L22" s="11">
        <f t="shared" si="23"/>
        <v>113.3106145090964</v>
      </c>
      <c r="M22" s="19">
        <v>24832.130000000026</v>
      </c>
      <c r="N22" s="12">
        <v>20327.019999999993</v>
      </c>
      <c r="O22" s="9">
        <f>M22*100/N22</f>
        <v>122.16316016809171</v>
      </c>
      <c r="P22" s="10">
        <v>24386.759999999987</v>
      </c>
      <c r="Q22" s="11">
        <f>M22*100/P22</f>
        <v>101.82627786553049</v>
      </c>
      <c r="R22" s="19">
        <v>29818.189999999995</v>
      </c>
      <c r="S22" s="12">
        <v>30993.09</v>
      </c>
      <c r="T22" s="9">
        <f>R22*100/S22</f>
        <v>96.209155008422826</v>
      </c>
      <c r="U22" s="10">
        <v>19816.35999999999</v>
      </c>
      <c r="V22" s="11">
        <f>R22*100/U22</f>
        <v>150.47258931509123</v>
      </c>
      <c r="W22" s="19">
        <v>4146.37</v>
      </c>
      <c r="X22" s="12">
        <v>10405.460000000001</v>
      </c>
      <c r="Y22" s="9">
        <f>W22*100/X22</f>
        <v>39.848022096091853</v>
      </c>
      <c r="Z22" s="10">
        <v>3895.9599999999996</v>
      </c>
      <c r="AA22" s="11">
        <f>W22*100/Z22</f>
        <v>106.42742738631814</v>
      </c>
      <c r="AB22" s="19">
        <v>13947.789999999999</v>
      </c>
      <c r="AC22" s="12">
        <v>12112.27</v>
      </c>
      <c r="AD22" s="9">
        <f>AB22*100/AC22</f>
        <v>115.15421964668884</v>
      </c>
      <c r="AE22" s="10">
        <v>9015.9699999999957</v>
      </c>
      <c r="AF22" s="11">
        <f>AB22*100/AE22</f>
        <v>154.7009362276051</v>
      </c>
      <c r="AG22" s="19">
        <v>2246.2200000000003</v>
      </c>
      <c r="AH22" s="12">
        <v>6567.3200000000006</v>
      </c>
      <c r="AI22" s="9">
        <f>AG22*100/AH22</f>
        <v>34.202993001711505</v>
      </c>
      <c r="AJ22" s="10">
        <v>3664.559999999999</v>
      </c>
      <c r="AK22" s="11">
        <f>AG22*100/AJ22</f>
        <v>61.295762656362591</v>
      </c>
      <c r="AL22" s="19">
        <v>8672.4500000000007</v>
      </c>
      <c r="AM22" s="12">
        <v>17910.64</v>
      </c>
      <c r="AN22" s="9">
        <f>AL22*100/AM22</f>
        <v>48.420659451588563</v>
      </c>
      <c r="AO22" s="10">
        <v>55653.08</v>
      </c>
      <c r="AP22" s="11">
        <f>AL22*100/AO22</f>
        <v>15.583054882137702</v>
      </c>
      <c r="AQ22" s="19">
        <v>56535.700000000026</v>
      </c>
      <c r="AR22" s="12">
        <v>42261.220000000038</v>
      </c>
      <c r="AS22" s="9">
        <f>AQ22*100/AR22</f>
        <v>133.77678164520566</v>
      </c>
      <c r="AT22" s="10">
        <v>41743.470000000052</v>
      </c>
      <c r="AU22" s="11">
        <f>AQ22*100/AT22</f>
        <v>135.43603346822857</v>
      </c>
      <c r="AV22" s="19">
        <v>11037.050000000001</v>
      </c>
      <c r="AW22" s="12">
        <v>10575.77</v>
      </c>
      <c r="AX22" s="9">
        <f>AV22*100/AW22</f>
        <v>104.36166822841268</v>
      </c>
      <c r="AY22" s="10">
        <v>12871.520000000002</v>
      </c>
      <c r="AZ22" s="11">
        <f>AV22*100/AY22</f>
        <v>85.747837085285951</v>
      </c>
      <c r="BA22" s="56"/>
      <c r="BB22" s="57"/>
      <c r="BC22" s="58"/>
      <c r="BD22" s="59"/>
      <c r="BE22" s="60"/>
      <c r="BF22" s="19">
        <v>12174.17</v>
      </c>
      <c r="BG22" s="12">
        <v>11777.630000000003</v>
      </c>
      <c r="BH22" s="9">
        <f>BF22*100/BG22</f>
        <v>103.36689130156064</v>
      </c>
      <c r="BI22" s="10">
        <v>10572.650000000005</v>
      </c>
      <c r="BJ22" s="9">
        <f>BF22*100/BI22</f>
        <v>115.14776333275002</v>
      </c>
      <c r="BK22" s="19">
        <v>1471.5</v>
      </c>
      <c r="BL22" s="13">
        <v>0</v>
      </c>
      <c r="BM22" s="46" t="s">
        <v>43</v>
      </c>
      <c r="BN22" s="46" t="s">
        <v>43</v>
      </c>
      <c r="BO22" s="49" t="s">
        <v>43</v>
      </c>
    </row>
    <row r="23" spans="1:67" x14ac:dyDescent="0.3">
      <c r="A23" s="167"/>
      <c r="B23" s="3" t="s">
        <v>48</v>
      </c>
      <c r="C23" s="19">
        <v>37259.519999999997</v>
      </c>
      <c r="D23" s="12">
        <v>31883.610000000004</v>
      </c>
      <c r="E23" s="9">
        <f t="shared" si="20"/>
        <v>116.86104553405336</v>
      </c>
      <c r="F23" s="10">
        <v>47331.64</v>
      </c>
      <c r="G23" s="11">
        <f t="shared" si="21"/>
        <v>78.720111958934865</v>
      </c>
      <c r="H23" s="19">
        <v>16110.019999999997</v>
      </c>
      <c r="I23" s="12">
        <v>18709.140000000003</v>
      </c>
      <c r="J23" s="9">
        <f t="shared" si="22"/>
        <v>86.107752681309748</v>
      </c>
      <c r="K23" s="10">
        <v>21385.530000000006</v>
      </c>
      <c r="L23" s="11">
        <f t="shared" si="23"/>
        <v>75.331403991390403</v>
      </c>
      <c r="M23" s="19">
        <v>4447.7999999999993</v>
      </c>
      <c r="N23" s="12">
        <v>3332.72</v>
      </c>
      <c r="O23" s="9">
        <f>M23*100/N23</f>
        <v>133.45855637437288</v>
      </c>
      <c r="P23" s="10">
        <v>5365.8300000000008</v>
      </c>
      <c r="Q23" s="11">
        <f>M23*100/P23</f>
        <v>82.891183656582456</v>
      </c>
      <c r="R23" s="19">
        <v>1811.5400000000002</v>
      </c>
      <c r="S23" s="12">
        <v>834.58</v>
      </c>
      <c r="T23" s="9">
        <f>R23*100/S23</f>
        <v>217.06007812312782</v>
      </c>
      <c r="U23" s="10">
        <v>1070.8</v>
      </c>
      <c r="V23" s="11">
        <f>R23*100/U23</f>
        <v>169.17631677250657</v>
      </c>
      <c r="W23" s="19">
        <v>609.96999999999991</v>
      </c>
      <c r="X23" s="12">
        <v>366.23</v>
      </c>
      <c r="Y23" s="9">
        <f>W23*100/X23</f>
        <v>166.55380498593777</v>
      </c>
      <c r="Z23" s="10">
        <v>551.71</v>
      </c>
      <c r="AA23" s="11">
        <f>W23*100/Z23</f>
        <v>110.55989559732465</v>
      </c>
      <c r="AB23" s="19">
        <v>76.400000000000006</v>
      </c>
      <c r="AC23" s="12">
        <v>102</v>
      </c>
      <c r="AD23" s="9">
        <f>AB23*100/AC23</f>
        <v>74.901960784313729</v>
      </c>
      <c r="AE23" s="10">
        <v>223</v>
      </c>
      <c r="AF23" s="11">
        <f>AB23*100/AE23</f>
        <v>34.260089686098659</v>
      </c>
      <c r="AG23" s="19">
        <v>2765.7899999999995</v>
      </c>
      <c r="AH23" s="12">
        <v>1626.54</v>
      </c>
      <c r="AI23" s="9">
        <f>AG23*100/AH23</f>
        <v>170.0413146925375</v>
      </c>
      <c r="AJ23" s="10">
        <v>4317.07</v>
      </c>
      <c r="AK23" s="11">
        <f>AG23*100/AJ23</f>
        <v>64.066369088293669</v>
      </c>
      <c r="AL23" s="19">
        <v>3409.77</v>
      </c>
      <c r="AM23" s="12">
        <v>2962.21</v>
      </c>
      <c r="AN23" s="9">
        <f>AL23*100/AM23</f>
        <v>115.10898957197497</v>
      </c>
      <c r="AO23" s="10">
        <v>6941.1299999999992</v>
      </c>
      <c r="AP23" s="11">
        <f>AL23*100/AO23</f>
        <v>49.124133966659613</v>
      </c>
      <c r="AQ23" s="19">
        <v>5375.39</v>
      </c>
      <c r="AR23" s="12">
        <v>3867.619999999999</v>
      </c>
      <c r="AS23" s="9">
        <f>AQ23*100/AR23</f>
        <v>138.98444004323076</v>
      </c>
      <c r="AT23" s="10">
        <v>5780.9299999999985</v>
      </c>
      <c r="AU23" s="11">
        <f>AQ23*100/AT23</f>
        <v>92.984865756893811</v>
      </c>
      <c r="AV23" s="19">
        <v>2611.4899999999998</v>
      </c>
      <c r="AW23" s="12">
        <v>55.9</v>
      </c>
      <c r="AX23" s="9">
        <f>AV23*100/AW23</f>
        <v>4671.7173524150267</v>
      </c>
      <c r="AY23" s="10">
        <v>1528.7600000000002</v>
      </c>
      <c r="AZ23" s="11">
        <f>AV23*100/AY23</f>
        <v>170.82406656375096</v>
      </c>
      <c r="BA23" s="56"/>
      <c r="BB23" s="57"/>
      <c r="BC23" s="58"/>
      <c r="BD23" s="59"/>
      <c r="BE23" s="60"/>
      <c r="BF23" s="19">
        <v>41.349999999999994</v>
      </c>
      <c r="BG23" s="12">
        <v>26.670000000000005</v>
      </c>
      <c r="BH23" s="9">
        <f>BF23*100/BG23</f>
        <v>155.04311961004868</v>
      </c>
      <c r="BI23" s="10">
        <v>166.88</v>
      </c>
      <c r="BJ23" s="9">
        <f>BF23*100/BI23</f>
        <v>24.778283796740169</v>
      </c>
      <c r="BK23" s="19">
        <v>0</v>
      </c>
      <c r="BL23" s="13">
        <v>0</v>
      </c>
      <c r="BM23" s="46" t="s">
        <v>43</v>
      </c>
      <c r="BN23" s="46" t="s">
        <v>43</v>
      </c>
      <c r="BO23" s="49" t="s">
        <v>43</v>
      </c>
    </row>
    <row r="24" spans="1:67" x14ac:dyDescent="0.3">
      <c r="A24" s="167"/>
      <c r="B24" s="3" t="s">
        <v>49</v>
      </c>
      <c r="C24" s="19">
        <v>5498.11</v>
      </c>
      <c r="D24" s="12">
        <v>7113.7300000000014</v>
      </c>
      <c r="E24" s="9">
        <f t="shared" si="20"/>
        <v>77.288707893046251</v>
      </c>
      <c r="F24" s="12">
        <v>4883.2700000000004</v>
      </c>
      <c r="G24" s="11">
        <f t="shared" si="21"/>
        <v>112.59074349769723</v>
      </c>
      <c r="H24" s="56"/>
      <c r="I24" s="57"/>
      <c r="J24" s="58"/>
      <c r="K24" s="57"/>
      <c r="L24" s="60"/>
      <c r="M24" s="56"/>
      <c r="N24" s="57"/>
      <c r="O24" s="58"/>
      <c r="P24" s="57"/>
      <c r="Q24" s="60"/>
      <c r="R24" s="56"/>
      <c r="S24" s="57"/>
      <c r="T24" s="58"/>
      <c r="U24" s="57"/>
      <c r="V24" s="60"/>
      <c r="W24" s="56"/>
      <c r="X24" s="57"/>
      <c r="Y24" s="58"/>
      <c r="Z24" s="57"/>
      <c r="AA24" s="60"/>
      <c r="AB24" s="56"/>
      <c r="AC24" s="57"/>
      <c r="AD24" s="58"/>
      <c r="AE24" s="57"/>
      <c r="AF24" s="60"/>
      <c r="AG24" s="56"/>
      <c r="AH24" s="57"/>
      <c r="AI24" s="58"/>
      <c r="AJ24" s="57"/>
      <c r="AK24" s="60"/>
      <c r="AL24" s="56"/>
      <c r="AM24" s="57"/>
      <c r="AN24" s="58"/>
      <c r="AO24" s="57"/>
      <c r="AP24" s="60"/>
      <c r="AQ24" s="56"/>
      <c r="AR24" s="57"/>
      <c r="AS24" s="58"/>
      <c r="AT24" s="57"/>
      <c r="AU24" s="60"/>
      <c r="AV24" s="56"/>
      <c r="AW24" s="57"/>
      <c r="AX24" s="58"/>
      <c r="AY24" s="57"/>
      <c r="AZ24" s="60"/>
      <c r="BA24" s="56"/>
      <c r="BB24" s="57"/>
      <c r="BC24" s="58"/>
      <c r="BD24" s="57"/>
      <c r="BE24" s="60"/>
      <c r="BF24" s="56"/>
      <c r="BG24" s="57"/>
      <c r="BH24" s="58"/>
      <c r="BI24" s="57"/>
      <c r="BJ24" s="58"/>
      <c r="BK24" s="56"/>
      <c r="BL24" s="59"/>
      <c r="BM24" s="73"/>
      <c r="BN24" s="73"/>
      <c r="BO24" s="74"/>
    </row>
    <row r="25" spans="1:67" x14ac:dyDescent="0.3">
      <c r="A25" s="167"/>
      <c r="B25" s="3" t="s">
        <v>50</v>
      </c>
      <c r="C25" s="19">
        <v>38580.610000000008</v>
      </c>
      <c r="D25" s="12">
        <v>35011.5</v>
      </c>
      <c r="E25" s="9">
        <f t="shared" si="20"/>
        <v>110.19410765034348</v>
      </c>
      <c r="F25" s="10">
        <v>73899.229999999981</v>
      </c>
      <c r="G25" s="11">
        <f t="shared" si="21"/>
        <v>52.207052766314369</v>
      </c>
      <c r="H25" s="19">
        <v>6734.6399999999985</v>
      </c>
      <c r="I25" s="12">
        <v>9459.3099999999977</v>
      </c>
      <c r="J25" s="9">
        <f t="shared" si="22"/>
        <v>71.195890609357349</v>
      </c>
      <c r="K25" s="10">
        <v>26249.32</v>
      </c>
      <c r="L25" s="11">
        <f t="shared" si="23"/>
        <v>25.656436052438689</v>
      </c>
      <c r="M25" s="19">
        <v>3857.36</v>
      </c>
      <c r="N25" s="12">
        <v>2450.6300000000006</v>
      </c>
      <c r="O25" s="9">
        <f>M25*100/N25</f>
        <v>157.40279030290168</v>
      </c>
      <c r="P25" s="10">
        <v>1710.4100000000005</v>
      </c>
      <c r="Q25" s="11">
        <f>M25*100/P25</f>
        <v>225.52253553241613</v>
      </c>
      <c r="R25" s="19">
        <v>5528.699999999998</v>
      </c>
      <c r="S25" s="12">
        <v>6537.9199999999992</v>
      </c>
      <c r="T25" s="9">
        <f>R25*100/S25</f>
        <v>84.563592090450754</v>
      </c>
      <c r="U25" s="10">
        <v>6102.3200000000006</v>
      </c>
      <c r="V25" s="11">
        <f>R25*100/U25</f>
        <v>90.599968536556545</v>
      </c>
      <c r="W25" s="19">
        <v>2691.8500000000008</v>
      </c>
      <c r="X25" s="12">
        <v>3610.0899999999997</v>
      </c>
      <c r="Y25" s="9">
        <f>W25*100/X25</f>
        <v>74.564623042638843</v>
      </c>
      <c r="Z25" s="10">
        <v>2899.3900000000008</v>
      </c>
      <c r="AA25" s="11">
        <f>W25*100/Z25</f>
        <v>92.841942615515677</v>
      </c>
      <c r="AB25" s="19">
        <v>267</v>
      </c>
      <c r="AC25" s="12">
        <v>207.93</v>
      </c>
      <c r="AD25" s="9">
        <f>AB25*100/AC25</f>
        <v>128.40859904775644</v>
      </c>
      <c r="AE25" s="10">
        <v>113</v>
      </c>
      <c r="AF25" s="11">
        <f>AB25*100/AE25</f>
        <v>236.28318584070797</v>
      </c>
      <c r="AG25" s="19">
        <v>963.58000000000015</v>
      </c>
      <c r="AH25" s="12">
        <v>2368.9499999999998</v>
      </c>
      <c r="AI25" s="9">
        <f>AG25*100/AH25</f>
        <v>40.675404715169179</v>
      </c>
      <c r="AJ25" s="10">
        <v>760.38000000000034</v>
      </c>
      <c r="AK25" s="11">
        <f>AG25*100/AJ25</f>
        <v>126.72348036508058</v>
      </c>
      <c r="AL25" s="19">
        <v>12813.1</v>
      </c>
      <c r="AM25" s="12">
        <v>4320</v>
      </c>
      <c r="AN25" s="9">
        <f>AL25*100/AM25</f>
        <v>296.59953703703701</v>
      </c>
      <c r="AO25" s="10">
        <v>20226.7</v>
      </c>
      <c r="AP25" s="11">
        <f>AL25*100/AO25</f>
        <v>63.347456579669448</v>
      </c>
      <c r="AQ25" s="19">
        <v>5059.9500000000016</v>
      </c>
      <c r="AR25" s="12">
        <v>5929.9999999999982</v>
      </c>
      <c r="AS25" s="9">
        <f>AQ25*100/AR25</f>
        <v>85.327993254637491</v>
      </c>
      <c r="AT25" s="10">
        <v>15145.129999999997</v>
      </c>
      <c r="AU25" s="11">
        <f>AQ25*100/AT25</f>
        <v>33.409749536649755</v>
      </c>
      <c r="AV25" s="19">
        <v>246.31</v>
      </c>
      <c r="AW25" s="12">
        <v>89.94</v>
      </c>
      <c r="AX25" s="9">
        <f>AV25*100/AW25</f>
        <v>273.86035134534137</v>
      </c>
      <c r="AY25" s="10">
        <v>50</v>
      </c>
      <c r="AZ25" s="11">
        <f>AV25*100/AY25</f>
        <v>492.62</v>
      </c>
      <c r="BA25" s="56"/>
      <c r="BB25" s="57"/>
      <c r="BC25" s="58"/>
      <c r="BD25" s="59"/>
      <c r="BE25" s="60"/>
      <c r="BF25" s="19">
        <v>418.12</v>
      </c>
      <c r="BG25" s="12">
        <v>36.729999999999997</v>
      </c>
      <c r="BH25" s="9">
        <f>BF25*100/BG25</f>
        <v>1138.3610127960796</v>
      </c>
      <c r="BI25" s="10">
        <v>372.93</v>
      </c>
      <c r="BJ25" s="9">
        <f>BF25*100/BI25</f>
        <v>112.11755557343201</v>
      </c>
      <c r="BK25" s="19">
        <v>0</v>
      </c>
      <c r="BL25" s="13">
        <v>0</v>
      </c>
      <c r="BM25" s="46" t="s">
        <v>43</v>
      </c>
      <c r="BN25" s="46" t="s">
        <v>43</v>
      </c>
      <c r="BO25" s="49" t="s">
        <v>43</v>
      </c>
    </row>
    <row r="26" spans="1:67" x14ac:dyDescent="0.3">
      <c r="A26" s="167"/>
      <c r="B26" s="3" t="s">
        <v>51</v>
      </c>
      <c r="C26" s="19">
        <v>55404.48000000001</v>
      </c>
      <c r="D26" s="12">
        <v>55245.630000000005</v>
      </c>
      <c r="E26" s="9">
        <f t="shared" si="20"/>
        <v>100.28753405472976</v>
      </c>
      <c r="F26" s="10">
        <v>41729.579999999987</v>
      </c>
      <c r="G26" s="11">
        <f t="shared" si="21"/>
        <v>132.77027949957807</v>
      </c>
      <c r="H26" s="19">
        <v>23363.300000000003</v>
      </c>
      <c r="I26" s="12">
        <v>16318.670000000007</v>
      </c>
      <c r="J26" s="9">
        <f t="shared" si="22"/>
        <v>143.16914307354702</v>
      </c>
      <c r="K26" s="10">
        <v>22822.509999999991</v>
      </c>
      <c r="L26" s="11">
        <f t="shared" si="23"/>
        <v>102.36954655732438</v>
      </c>
      <c r="M26" s="19">
        <v>4272.1100000000006</v>
      </c>
      <c r="N26" s="12">
        <v>6183.3899999999994</v>
      </c>
      <c r="O26" s="9">
        <f>M26*100/N26</f>
        <v>69.090094592125041</v>
      </c>
      <c r="P26" s="10">
        <v>3058.5800000000004</v>
      </c>
      <c r="Q26" s="11">
        <f>M26*100/P26</f>
        <v>139.67625499414763</v>
      </c>
      <c r="R26" s="19">
        <v>4245.4299999999994</v>
      </c>
      <c r="S26" s="12">
        <v>5422.05</v>
      </c>
      <c r="T26" s="9">
        <f>R26*100/S26</f>
        <v>78.299351721212446</v>
      </c>
      <c r="U26" s="10">
        <v>6152.9</v>
      </c>
      <c r="V26" s="11">
        <f>R26*100/U26</f>
        <v>68.99884607258366</v>
      </c>
      <c r="W26" s="19">
        <v>1202.6299999999999</v>
      </c>
      <c r="X26" s="12">
        <v>3322.06</v>
      </c>
      <c r="Y26" s="9">
        <f>W26*100/X26</f>
        <v>36.201332907894496</v>
      </c>
      <c r="Z26" s="10">
        <v>1040.6000000000001</v>
      </c>
      <c r="AA26" s="11">
        <f>W26*100/Z26</f>
        <v>115.57082452431287</v>
      </c>
      <c r="AB26" s="19">
        <v>912</v>
      </c>
      <c r="AC26" s="12">
        <v>3167</v>
      </c>
      <c r="AD26" s="9">
        <f>AB26*100/AC26</f>
        <v>28.796968740132616</v>
      </c>
      <c r="AE26" s="10">
        <v>1824.72</v>
      </c>
      <c r="AF26" s="11">
        <f>AB26*100/AE26</f>
        <v>49.980270945679337</v>
      </c>
      <c r="AG26" s="19">
        <v>2477.5200000000004</v>
      </c>
      <c r="AH26" s="12">
        <v>1061.8199999999997</v>
      </c>
      <c r="AI26" s="9">
        <f>AG26*100/AH26</f>
        <v>233.32768265807775</v>
      </c>
      <c r="AJ26" s="10">
        <v>581.1</v>
      </c>
      <c r="AK26" s="11">
        <f>AG26*100/AJ26</f>
        <v>426.35002581311312</v>
      </c>
      <c r="AL26" s="19">
        <v>12960.5</v>
      </c>
      <c r="AM26" s="12">
        <v>5791.35</v>
      </c>
      <c r="AN26" s="9">
        <f>AL26*100/AM26</f>
        <v>223.79065330190713</v>
      </c>
      <c r="AO26" s="10">
        <v>978.6</v>
      </c>
      <c r="AP26" s="11">
        <f>AL26*100/AO26</f>
        <v>1324.3919885550786</v>
      </c>
      <c r="AQ26" s="19">
        <v>5549.770000000005</v>
      </c>
      <c r="AR26" s="12">
        <v>8330.3299999999927</v>
      </c>
      <c r="AS26" s="9">
        <f>AQ26*100/AR26</f>
        <v>66.621250298607734</v>
      </c>
      <c r="AT26" s="10">
        <v>3352.8300000000008</v>
      </c>
      <c r="AU26" s="11">
        <f>AQ26*100/AT26</f>
        <v>165.52494459904031</v>
      </c>
      <c r="AV26" s="19">
        <v>327.87</v>
      </c>
      <c r="AW26" s="12">
        <v>2408.91</v>
      </c>
      <c r="AX26" s="9">
        <f>AV26*100/AW26</f>
        <v>13.61072020125285</v>
      </c>
      <c r="AY26" s="10">
        <v>1859.59</v>
      </c>
      <c r="AZ26" s="11">
        <f>AV26*100/AY26</f>
        <v>17.631305825477661</v>
      </c>
      <c r="BA26" s="56"/>
      <c r="BB26" s="57"/>
      <c r="BC26" s="58"/>
      <c r="BD26" s="59"/>
      <c r="BE26" s="60"/>
      <c r="BF26" s="19">
        <v>93.35</v>
      </c>
      <c r="BG26" s="12">
        <v>3240.05</v>
      </c>
      <c r="BH26" s="9">
        <f>BF26*100/BG26</f>
        <v>2.8811283776484928</v>
      </c>
      <c r="BI26" s="10"/>
      <c r="BJ26" s="9" t="s">
        <v>43</v>
      </c>
      <c r="BK26" s="19">
        <v>0</v>
      </c>
      <c r="BL26" s="13">
        <v>0</v>
      </c>
      <c r="BM26" s="46" t="s">
        <v>43</v>
      </c>
      <c r="BN26" s="46" t="s">
        <v>43</v>
      </c>
      <c r="BO26" s="49" t="s">
        <v>43</v>
      </c>
    </row>
    <row r="27" spans="1:67" ht="15" thickBot="1" x14ac:dyDescent="0.35">
      <c r="A27" s="167"/>
      <c r="B27" s="3" t="s">
        <v>52</v>
      </c>
      <c r="C27" s="22">
        <v>180247.09999999998</v>
      </c>
      <c r="D27" s="17">
        <v>191145.22999999998</v>
      </c>
      <c r="E27" s="14">
        <f t="shared" si="20"/>
        <v>94.298507998342401</v>
      </c>
      <c r="F27" s="15">
        <v>118045.79999999994</v>
      </c>
      <c r="G27" s="16">
        <f t="shared" si="21"/>
        <v>152.69251426141383</v>
      </c>
      <c r="H27" s="22">
        <v>64993.679999999986</v>
      </c>
      <c r="I27" s="17">
        <v>59784.680000000008</v>
      </c>
      <c r="J27" s="14">
        <f t="shared" si="22"/>
        <v>108.71293448421899</v>
      </c>
      <c r="K27" s="15">
        <v>49534.449999999968</v>
      </c>
      <c r="L27" s="16">
        <f>H27*100/K27</f>
        <v>131.20904744072061</v>
      </c>
      <c r="M27" s="22">
        <v>20935.120000000003</v>
      </c>
      <c r="N27" s="17">
        <v>13202.769999999997</v>
      </c>
      <c r="O27" s="14">
        <f>M27*100/N27</f>
        <v>158.56611907955684</v>
      </c>
      <c r="P27" s="15">
        <v>11121.930000000002</v>
      </c>
      <c r="Q27" s="16">
        <f>M27*100/P27</f>
        <v>188.23279772485529</v>
      </c>
      <c r="R27" s="22">
        <v>32636.269999999993</v>
      </c>
      <c r="S27" s="17">
        <v>27690.489999999998</v>
      </c>
      <c r="T27" s="14">
        <f>R27*100/S27</f>
        <v>117.86093348293944</v>
      </c>
      <c r="U27" s="15">
        <v>18817.169999999995</v>
      </c>
      <c r="V27" s="16">
        <f>R27*100/U27</f>
        <v>173.43877958268968</v>
      </c>
      <c r="W27" s="22">
        <v>3399.61</v>
      </c>
      <c r="X27" s="17">
        <v>5672.02</v>
      </c>
      <c r="Y27" s="14">
        <f>W27*100/X27</f>
        <v>59.9364952873932</v>
      </c>
      <c r="Z27" s="15">
        <v>2491.8299999999986</v>
      </c>
      <c r="AA27" s="16">
        <f>W27*100/Z27</f>
        <v>136.43025407030183</v>
      </c>
      <c r="AB27" s="22">
        <v>3178.58</v>
      </c>
      <c r="AC27" s="17">
        <v>2542.56</v>
      </c>
      <c r="AD27" s="14">
        <f>AB27*100/AC27</f>
        <v>125.01494556667296</v>
      </c>
      <c r="AE27" s="15">
        <v>1786.5000000000002</v>
      </c>
      <c r="AF27" s="16">
        <f>AB27*100/AE27</f>
        <v>177.92219423453679</v>
      </c>
      <c r="AG27" s="22">
        <v>2066.96</v>
      </c>
      <c r="AH27" s="17">
        <v>2695.9299999999994</v>
      </c>
      <c r="AI27" s="14">
        <f>AG27*100/AH27</f>
        <v>76.669646467081876</v>
      </c>
      <c r="AJ27" s="15">
        <v>2202.7099999999996</v>
      </c>
      <c r="AK27" s="16">
        <f>AG27*100/AJ27</f>
        <v>93.83713698126401</v>
      </c>
      <c r="AL27" s="22">
        <v>15947.259999999998</v>
      </c>
      <c r="AM27" s="17">
        <v>52328.91</v>
      </c>
      <c r="AN27" s="14">
        <f>AL27*100/AM27</f>
        <v>30.475047158444532</v>
      </c>
      <c r="AO27" s="15">
        <v>6832.3600000000015</v>
      </c>
      <c r="AP27" s="16">
        <f>AL27*100/AO27</f>
        <v>233.40778296225599</v>
      </c>
      <c r="AQ27" s="22">
        <v>19659.760000000002</v>
      </c>
      <c r="AR27" s="17">
        <v>19074.999999999993</v>
      </c>
      <c r="AS27" s="14">
        <f>AQ27*100/AR27</f>
        <v>103.06558322411539</v>
      </c>
      <c r="AT27" s="15">
        <v>21495.719999999987</v>
      </c>
      <c r="AU27" s="16">
        <f>AQ27*100/AT27</f>
        <v>91.458950898132343</v>
      </c>
      <c r="AV27" s="22">
        <v>7417.829999999999</v>
      </c>
      <c r="AW27" s="17">
        <v>2016.4899999999998</v>
      </c>
      <c r="AX27" s="14">
        <f>AV27*100/AW27</f>
        <v>367.85850661297599</v>
      </c>
      <c r="AY27" s="15">
        <v>-80.569999999999823</v>
      </c>
      <c r="AZ27" s="16">
        <f>AV27*100/AY27</f>
        <v>-9206.6898349261701</v>
      </c>
      <c r="BA27" s="61"/>
      <c r="BB27" s="62">
        <v>6</v>
      </c>
      <c r="BC27" s="63"/>
      <c r="BD27" s="64"/>
      <c r="BE27" s="65"/>
      <c r="BF27" s="22">
        <v>6302.7300000000005</v>
      </c>
      <c r="BG27" s="17">
        <v>6130.380000000001</v>
      </c>
      <c r="BH27" s="14">
        <f>BF27*100/BG27</f>
        <v>102.81140810194472</v>
      </c>
      <c r="BI27" s="15"/>
      <c r="BJ27" s="14" t="s">
        <v>43</v>
      </c>
      <c r="BK27" s="22">
        <v>3709.2999999999997</v>
      </c>
      <c r="BL27" s="18">
        <v>0</v>
      </c>
      <c r="BM27" s="47" t="s">
        <v>43</v>
      </c>
      <c r="BN27" s="47" t="s">
        <v>43</v>
      </c>
      <c r="BO27" s="50" t="s">
        <v>43</v>
      </c>
    </row>
  </sheetData>
  <mergeCells count="32">
    <mergeCell ref="A7:A14"/>
    <mergeCell ref="A17:B18"/>
    <mergeCell ref="AL4:AP4"/>
    <mergeCell ref="C4:G4"/>
    <mergeCell ref="H4:L4"/>
    <mergeCell ref="A4:B5"/>
    <mergeCell ref="A6:B6"/>
    <mergeCell ref="M4:Q4"/>
    <mergeCell ref="R4:V4"/>
    <mergeCell ref="W4:AA4"/>
    <mergeCell ref="AB4:AF4"/>
    <mergeCell ref="AG4:AK4"/>
    <mergeCell ref="AQ4:AU4"/>
    <mergeCell ref="AV4:AZ4"/>
    <mergeCell ref="BA4:BE4"/>
    <mergeCell ref="BF4:BJ4"/>
    <mergeCell ref="BK4:BO4"/>
    <mergeCell ref="BK17:BO17"/>
    <mergeCell ref="A19:B19"/>
    <mergeCell ref="A20:A27"/>
    <mergeCell ref="AG17:AK17"/>
    <mergeCell ref="AL17:AP17"/>
    <mergeCell ref="AQ17:AU17"/>
    <mergeCell ref="AV17:AZ17"/>
    <mergeCell ref="BA17:BE17"/>
    <mergeCell ref="BF17:BJ17"/>
    <mergeCell ref="C17:G17"/>
    <mergeCell ref="H17:L17"/>
    <mergeCell ref="M17:Q17"/>
    <mergeCell ref="R17:V17"/>
    <mergeCell ref="W17:AA17"/>
    <mergeCell ref="AB17:AF17"/>
  </mergeCells>
  <conditionalFormatting sqref="BC6 J6:J10 AS6:AS10 BH12:BH14 AX12:AX14 AS12:AS14 AN12:AN14 AI12:AI14 AD12:AD14 Y12:Y14 T12:T14 J12:J14 E6:E14 T6:T10 Y6:Y10 AD6:AD10 AI6:AI10 AN6:AN10 AX6:AX10 BH6:BH10 BO6 O6:O10 O12:O14 BJ6:BJ10 BJ12:BJ14 BE6 AZ6:AZ10 AZ12:AZ14 AU12:AU14 AU6:AU10 AP6:AP10 AP12:AP14 AK6:AK10 AK12:AK14 AF6:AF10 AF12:AF14 AA6:AA10 AA12:AA14 V6:V10 V12:V14 Q12:Q14 Q6:Q10 L12:L14 L6:L10 G6:G14">
    <cfRule type="cellIs" dxfId="22" priority="14" operator="lessThan">
      <formula>100</formula>
    </cfRule>
    <cfRule type="cellIs" dxfId="21" priority="15" operator="greaterThanOrEqual">
      <formula>100</formula>
    </cfRule>
  </conditionalFormatting>
  <conditionalFormatting sqref="BC19 J19:J23 L19:L23 BE19 BO19 Y19:Y23 AA19:AA23 AD19:AD23 AF19:AF23 AI19:AI23 AK19:AK23 AN19:AN23 AP19:AP23 AS19:AS23 AU19:AU23 AX19:AX23 AZ19:AZ23 BH19 BJ19 BJ25 BH25:BH27 AZ25:AZ27 AX25:AX27 AU25:AU27 AS25:AS27 AP25:AP27 AN25:AN27 AK25:AK27 AI25:AI27 AF25:AF27 AD25:AD27 AA25:AA27 Y25:Y27 V25:V27 T25:T27 L25:L27 J25:J27 E19:E27 G19:G27 BH21:BH23 BJ22:BJ23 O25:O27 Q25:Q27 O19:O23 Q19:Q23 T19:T23 V19:V23">
    <cfRule type="cellIs" dxfId="20" priority="12" operator="lessThan">
      <formula>100</formula>
    </cfRule>
    <cfRule type="cellIs" dxfId="19" priority="13" operator="greaterThanOrEqual">
      <formula>100</formula>
    </cfRule>
  </conditionalFormatting>
  <conditionalFormatting sqref="BJ26">
    <cfRule type="cellIs" dxfId="18" priority="10" operator="lessThan">
      <formula>100</formula>
    </cfRule>
    <cfRule type="cellIs" dxfId="17" priority="11" operator="greaterThanOrEqual">
      <formula>100</formula>
    </cfRule>
  </conditionalFormatting>
  <conditionalFormatting sqref="BJ27">
    <cfRule type="cellIs" dxfId="16" priority="8" operator="lessThan">
      <formula>100</formula>
    </cfRule>
    <cfRule type="cellIs" dxfId="15" priority="9" operator="greaterThanOrEqual">
      <formula>100</formula>
    </cfRule>
  </conditionalFormatting>
  <conditionalFormatting sqref="BH20">
    <cfRule type="cellIs" dxfId="14" priority="6" operator="lessThan">
      <formula>100</formula>
    </cfRule>
    <cfRule type="cellIs" dxfId="13" priority="7" operator="greaterThanOrEqual">
      <formula>100</formula>
    </cfRule>
  </conditionalFormatting>
  <conditionalFormatting sqref="BJ20">
    <cfRule type="cellIs" dxfId="12" priority="4" operator="lessThan">
      <formula>100</formula>
    </cfRule>
    <cfRule type="cellIs" dxfId="11" priority="5" operator="greaterThanOrEqual">
      <formula>100</formula>
    </cfRule>
  </conditionalFormatting>
  <conditionalFormatting sqref="BJ21">
    <cfRule type="cellIs" dxfId="10" priority="2" operator="lessThan">
      <formula>100</formula>
    </cfRule>
    <cfRule type="cellIs" dxfId="9" priority="3" operator="greaterThanOrEqual">
      <formula>100</formula>
    </cfRule>
  </conditionalFormatting>
  <conditionalFormatting sqref="E1:E1048576 G1:G1048576 J1:J1048576 L1:L1048576 O1:O1048576 Q1:Q1048576 Y1:Y1048576 AA1:AA1048576 AD1:AD1048576 AF1:AF1048576 AI1:AI1048576 AK1:AK1048576 AN1:AN1048576 AP1:AP1048576 AS1:AS1048576 AU1:AU1048576 AX1:AX1048576 AZ1:AZ1048576 BC3:BC6 BE3:BE6 BH1:BH1048576 BJ1:BJ1048576 BO3:BO10 BM3:BM10 T1:T1048576 V1:V1048576 BE28:BE1048576 BC28:BC1048576 BE24 BC24 BE15:BE19 BC15:BC19 BE11 BC11 BO25:BO1048576 BM25:BM1048576 BM12:BM23 BO12:BO23">
    <cfRule type="containsText" dxfId="8" priority="1" operator="containsText" text="N/A">
      <formula>NOT(ISERROR(SEARCH("N/A",E1)))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2:J26"/>
  <sheetViews>
    <sheetView workbookViewId="0">
      <selection activeCell="D31" sqref="D31"/>
    </sheetView>
  </sheetViews>
  <sheetFormatPr baseColWidth="10" defaultColWidth="11.44140625" defaultRowHeight="14.4" x14ac:dyDescent="0.3"/>
  <cols>
    <col min="4" max="4" width="0" hidden="1" customWidth="1"/>
    <col min="6" max="6" width="0" hidden="1" customWidth="1"/>
    <col min="8" max="8" width="11.5546875" customWidth="1"/>
    <col min="10" max="10" width="0" hidden="1" customWidth="1"/>
  </cols>
  <sheetData>
    <row r="2" spans="1:10" ht="15" thickBot="1" x14ac:dyDescent="0.35"/>
    <row r="3" spans="1:10" x14ac:dyDescent="0.3">
      <c r="A3" s="171">
        <v>42370</v>
      </c>
      <c r="B3" s="175"/>
      <c r="C3" s="168" t="s">
        <v>2</v>
      </c>
      <c r="D3" s="169"/>
      <c r="E3" s="169"/>
      <c r="F3" s="169"/>
      <c r="G3" s="170"/>
      <c r="H3" s="178" t="s">
        <v>53</v>
      </c>
      <c r="I3" s="179"/>
    </row>
    <row r="4" spans="1:10" ht="15" thickBot="1" x14ac:dyDescent="0.35">
      <c r="A4" s="173"/>
      <c r="B4" s="176"/>
      <c r="C4" s="4" t="s">
        <v>38</v>
      </c>
      <c r="D4" s="5" t="s">
        <v>39</v>
      </c>
      <c r="E4" s="6" t="s">
        <v>40</v>
      </c>
      <c r="F4" s="5" t="s">
        <v>41</v>
      </c>
      <c r="G4" s="7" t="s">
        <v>42</v>
      </c>
      <c r="H4" s="4" t="s">
        <v>38</v>
      </c>
      <c r="I4" s="7" t="s">
        <v>40</v>
      </c>
      <c r="J4" s="5" t="s">
        <v>39</v>
      </c>
    </row>
    <row r="5" spans="1:10" ht="21.6" thickBot="1" x14ac:dyDescent="0.45">
      <c r="A5" s="165" t="s">
        <v>2</v>
      </c>
      <c r="B5" s="177"/>
      <c r="C5" s="25">
        <v>588241.50999999989</v>
      </c>
      <c r="D5" s="26">
        <v>534675.0399999998</v>
      </c>
      <c r="E5" s="27">
        <f>C5*100/D5</f>
        <v>110.01850956049869</v>
      </c>
      <c r="F5" s="26">
        <v>634190.39</v>
      </c>
      <c r="G5" s="28">
        <f>C5*100/F5</f>
        <v>92.754718342546937</v>
      </c>
      <c r="H5" s="80">
        <f>C5</f>
        <v>588241.50999999989</v>
      </c>
      <c r="I5" s="81">
        <f>E5</f>
        <v>110.01850956049869</v>
      </c>
      <c r="J5" s="26">
        <v>534675.0399999998</v>
      </c>
    </row>
    <row r="6" spans="1:10" x14ac:dyDescent="0.3">
      <c r="A6" s="167" t="s">
        <v>44</v>
      </c>
      <c r="B6" s="3" t="s">
        <v>45</v>
      </c>
      <c r="C6" s="31">
        <v>14149.119999999995</v>
      </c>
      <c r="D6" s="32">
        <v>32512.629999999997</v>
      </c>
      <c r="E6" s="33">
        <f t="shared" ref="E6:E13" si="0">C6*100/D6</f>
        <v>43.518841754727305</v>
      </c>
      <c r="F6" s="32">
        <v>15857.990000000002</v>
      </c>
      <c r="G6" s="38">
        <f t="shared" ref="G6:G13" si="1">C6*100/F6</f>
        <v>89.223918037531831</v>
      </c>
      <c r="H6" s="76">
        <f>C6</f>
        <v>14149.119999999995</v>
      </c>
      <c r="I6" s="77">
        <f>E6</f>
        <v>43.518841754727305</v>
      </c>
      <c r="J6" s="32">
        <v>32512.629999999997</v>
      </c>
    </row>
    <row r="7" spans="1:10" x14ac:dyDescent="0.3">
      <c r="A7" s="167"/>
      <c r="B7" s="3" t="s">
        <v>46</v>
      </c>
      <c r="C7" s="19">
        <v>25099.45</v>
      </c>
      <c r="D7" s="12">
        <v>22557.610000000004</v>
      </c>
      <c r="E7" s="9">
        <f t="shared" si="0"/>
        <v>111.26821502809915</v>
      </c>
      <c r="F7" s="12">
        <v>-151.5</v>
      </c>
      <c r="G7" s="21" t="s">
        <v>43</v>
      </c>
      <c r="H7" s="76">
        <f t="shared" ref="H7:H13" si="2">C7</f>
        <v>25099.45</v>
      </c>
      <c r="I7" s="77">
        <f t="shared" ref="I7:I13" si="3">E7</f>
        <v>111.26821502809915</v>
      </c>
      <c r="J7" s="12">
        <v>22557.610000000004</v>
      </c>
    </row>
    <row r="8" spans="1:10" x14ac:dyDescent="0.3">
      <c r="A8" s="167"/>
      <c r="B8" s="3" t="s">
        <v>47</v>
      </c>
      <c r="C8" s="19">
        <v>263103.42</v>
      </c>
      <c r="D8" s="12">
        <v>203779.52999999991</v>
      </c>
      <c r="E8" s="9">
        <f t="shared" si="0"/>
        <v>129.11180038544603</v>
      </c>
      <c r="F8" s="12">
        <v>259011.16</v>
      </c>
      <c r="G8" s="11">
        <f t="shared" si="1"/>
        <v>101.57995508764951</v>
      </c>
      <c r="H8" s="76">
        <f t="shared" si="2"/>
        <v>263103.42</v>
      </c>
      <c r="I8" s="77">
        <f t="shared" si="3"/>
        <v>129.11180038544603</v>
      </c>
      <c r="J8" s="12">
        <v>203779.52999999991</v>
      </c>
    </row>
    <row r="9" spans="1:10" x14ac:dyDescent="0.3">
      <c r="A9" s="167"/>
      <c r="B9" s="3" t="s">
        <v>48</v>
      </c>
      <c r="C9" s="19">
        <v>47331.64</v>
      </c>
      <c r="D9" s="12">
        <v>37553.020000000004</v>
      </c>
      <c r="E9" s="9">
        <f t="shared" si="0"/>
        <v>126.03950361382385</v>
      </c>
      <c r="F9" s="12">
        <v>37515.239999999991</v>
      </c>
      <c r="G9" s="11">
        <f t="shared" si="1"/>
        <v>126.1664326284465</v>
      </c>
      <c r="H9" s="76">
        <f t="shared" si="2"/>
        <v>47331.64</v>
      </c>
      <c r="I9" s="77">
        <f t="shared" si="3"/>
        <v>126.03950361382385</v>
      </c>
      <c r="J9" s="12">
        <v>37553.020000000004</v>
      </c>
    </row>
    <row r="10" spans="1:10" x14ac:dyDescent="0.3">
      <c r="A10" s="167"/>
      <c r="B10" s="3" t="s">
        <v>49</v>
      </c>
      <c r="C10" s="8">
        <v>4883.2700000000004</v>
      </c>
      <c r="D10" s="12">
        <v>7128.9800000000059</v>
      </c>
      <c r="E10" s="9">
        <f t="shared" si="0"/>
        <v>68.49885958440052</v>
      </c>
      <c r="F10" s="12">
        <v>3842.39</v>
      </c>
      <c r="G10" s="11">
        <f t="shared" si="1"/>
        <v>127.08938967673768</v>
      </c>
      <c r="H10" s="76">
        <f t="shared" si="2"/>
        <v>4883.2700000000004</v>
      </c>
      <c r="I10" s="77">
        <f t="shared" si="3"/>
        <v>68.49885958440052</v>
      </c>
      <c r="J10" s="12">
        <v>7128.9800000000059</v>
      </c>
    </row>
    <row r="11" spans="1:10" x14ac:dyDescent="0.3">
      <c r="A11" s="167"/>
      <c r="B11" s="3" t="s">
        <v>50</v>
      </c>
      <c r="C11" s="19">
        <v>73899.229999999981</v>
      </c>
      <c r="D11" s="12">
        <v>36062.550000000003</v>
      </c>
      <c r="E11" s="9">
        <f t="shared" si="0"/>
        <v>204.91959109935368</v>
      </c>
      <c r="F11" s="12">
        <v>65492.12</v>
      </c>
      <c r="G11" s="11">
        <f t="shared" si="1"/>
        <v>112.83682678160362</v>
      </c>
      <c r="H11" s="76">
        <f t="shared" si="2"/>
        <v>73899.229999999981</v>
      </c>
      <c r="I11" s="77">
        <f t="shared" si="3"/>
        <v>204.91959109935368</v>
      </c>
      <c r="J11" s="12">
        <v>36062.550000000003</v>
      </c>
    </row>
    <row r="12" spans="1:10" x14ac:dyDescent="0.3">
      <c r="A12" s="167"/>
      <c r="B12" s="3" t="s">
        <v>51</v>
      </c>
      <c r="C12" s="19">
        <v>41729.579999999987</v>
      </c>
      <c r="D12" s="12">
        <v>45493.69</v>
      </c>
      <c r="E12" s="9">
        <f t="shared" si="0"/>
        <v>91.726083331556495</v>
      </c>
      <c r="F12" s="12">
        <v>39771.529999999992</v>
      </c>
      <c r="G12" s="11">
        <f t="shared" si="1"/>
        <v>104.92324534660848</v>
      </c>
      <c r="H12" s="76">
        <f t="shared" si="2"/>
        <v>41729.579999999987</v>
      </c>
      <c r="I12" s="77">
        <f t="shared" si="3"/>
        <v>91.726083331556495</v>
      </c>
      <c r="J12" s="12">
        <v>45493.69</v>
      </c>
    </row>
    <row r="13" spans="1:10" ht="15" thickBot="1" x14ac:dyDescent="0.35">
      <c r="A13" s="167"/>
      <c r="B13" s="3" t="s">
        <v>52</v>
      </c>
      <c r="C13" s="22">
        <v>118045.8</v>
      </c>
      <c r="D13" s="17">
        <v>149587.02999999997</v>
      </c>
      <c r="E13" s="14">
        <f t="shared" si="0"/>
        <v>78.914462035913161</v>
      </c>
      <c r="F13" s="17">
        <v>212851.46000000002</v>
      </c>
      <c r="G13" s="16">
        <f t="shared" si="1"/>
        <v>55.459239039281194</v>
      </c>
      <c r="H13" s="78">
        <f t="shared" si="2"/>
        <v>118045.8</v>
      </c>
      <c r="I13" s="79">
        <f t="shared" si="3"/>
        <v>78.914462035913161</v>
      </c>
      <c r="J13" s="17">
        <v>149587.02999999997</v>
      </c>
    </row>
    <row r="14" spans="1:10" x14ac:dyDescent="0.3">
      <c r="A14" s="1"/>
      <c r="B14" s="1"/>
      <c r="C14" s="1"/>
      <c r="D14" s="1"/>
      <c r="E14" s="2"/>
      <c r="F14" s="1"/>
      <c r="G14" s="2"/>
    </row>
    <row r="15" spans="1:10" ht="15" thickBot="1" x14ac:dyDescent="0.35">
      <c r="A15" s="1"/>
      <c r="B15" s="1"/>
      <c r="C15" s="1"/>
      <c r="D15" s="1"/>
      <c r="E15" s="2"/>
      <c r="F15" s="1"/>
      <c r="G15" s="2"/>
    </row>
    <row r="16" spans="1:10" x14ac:dyDescent="0.3">
      <c r="A16" s="171">
        <v>42401</v>
      </c>
      <c r="B16" s="172"/>
      <c r="C16" s="168" t="s">
        <v>2</v>
      </c>
      <c r="D16" s="169"/>
      <c r="E16" s="169"/>
      <c r="F16" s="169"/>
      <c r="G16" s="170"/>
      <c r="H16" s="178" t="s">
        <v>53</v>
      </c>
      <c r="I16" s="179"/>
    </row>
    <row r="17" spans="1:10" ht="15" thickBot="1" x14ac:dyDescent="0.35">
      <c r="A17" s="173"/>
      <c r="B17" s="174"/>
      <c r="C17" s="4" t="s">
        <v>38</v>
      </c>
      <c r="D17" s="5" t="s">
        <v>39</v>
      </c>
      <c r="E17" s="6" t="s">
        <v>40</v>
      </c>
      <c r="F17" s="5" t="s">
        <v>41</v>
      </c>
      <c r="G17" s="7" t="s">
        <v>42</v>
      </c>
      <c r="H17" s="4" t="s">
        <v>38</v>
      </c>
      <c r="I17" s="7" t="s">
        <v>40</v>
      </c>
      <c r="J17" s="5" t="s">
        <v>39</v>
      </c>
    </row>
    <row r="18" spans="1:10" ht="21.6" thickBot="1" x14ac:dyDescent="0.45">
      <c r="A18" s="165" t="s">
        <v>2</v>
      </c>
      <c r="B18" s="166"/>
      <c r="C18" s="40">
        <v>608242.10000000009</v>
      </c>
      <c r="D18" s="41">
        <v>628920.10999999987</v>
      </c>
      <c r="E18" s="27">
        <f>C18*100/D18</f>
        <v>96.712140433862132</v>
      </c>
      <c r="F18" s="42">
        <v>588241.50999999989</v>
      </c>
      <c r="G18" s="28">
        <f>C18*100/F18</f>
        <v>103.40006437151982</v>
      </c>
      <c r="H18" s="80">
        <f>C18+H5</f>
        <v>1196483.6099999999</v>
      </c>
      <c r="I18" s="81">
        <f>H18*100/(J18+J5)</f>
        <v>102.82645213844353</v>
      </c>
      <c r="J18" s="75">
        <v>628920.10999999987</v>
      </c>
    </row>
    <row r="19" spans="1:10" x14ac:dyDescent="0.3">
      <c r="A19" s="167" t="s">
        <v>44</v>
      </c>
      <c r="B19" s="3" t="s">
        <v>45</v>
      </c>
      <c r="C19" s="31">
        <v>24793.009999999995</v>
      </c>
      <c r="D19" s="32">
        <v>29899.050000000003</v>
      </c>
      <c r="E19" s="33">
        <f t="shared" ref="E19:E26" si="4">C19*100/D19</f>
        <v>82.922400544498885</v>
      </c>
      <c r="F19" s="35">
        <v>14149.119999999995</v>
      </c>
      <c r="G19" s="38">
        <f t="shared" ref="G19:G26" si="5">C19*100/F19</f>
        <v>175.22651585398953</v>
      </c>
      <c r="H19" s="76">
        <f>C19+H6</f>
        <v>38942.12999999999</v>
      </c>
      <c r="I19" s="77">
        <f t="shared" ref="I19:I26" si="6">H19*100/(J19+J6)</f>
        <v>62.39558044263508</v>
      </c>
      <c r="J19" s="32">
        <v>29899.050000000003</v>
      </c>
    </row>
    <row r="20" spans="1:10" x14ac:dyDescent="0.3">
      <c r="A20" s="167"/>
      <c r="B20" s="3" t="s">
        <v>46</v>
      </c>
      <c r="C20" s="19">
        <v>9248.7099999999991</v>
      </c>
      <c r="D20" s="12">
        <v>7682.090000000002</v>
      </c>
      <c r="E20" s="9">
        <f t="shared" si="4"/>
        <v>120.39314821877896</v>
      </c>
      <c r="F20" s="10">
        <v>25099.45</v>
      </c>
      <c r="G20" s="11">
        <f t="shared" si="5"/>
        <v>36.848257631143305</v>
      </c>
      <c r="H20" s="76">
        <f t="shared" ref="H20:H26" si="7">C20+H7</f>
        <v>34348.160000000003</v>
      </c>
      <c r="I20" s="77">
        <f t="shared" si="6"/>
        <v>113.58631203351885</v>
      </c>
      <c r="J20" s="12">
        <v>7682.090000000002</v>
      </c>
    </row>
    <row r="21" spans="1:10" x14ac:dyDescent="0.3">
      <c r="A21" s="167"/>
      <c r="B21" s="3" t="s">
        <v>47</v>
      </c>
      <c r="C21" s="19">
        <v>257210.56000000008</v>
      </c>
      <c r="D21" s="12">
        <v>270939.26999999996</v>
      </c>
      <c r="E21" s="9">
        <f t="shared" si="4"/>
        <v>94.932919838456826</v>
      </c>
      <c r="F21" s="10">
        <v>263103.42</v>
      </c>
      <c r="G21" s="11">
        <f t="shared" si="5"/>
        <v>97.760249562700508</v>
      </c>
      <c r="H21" s="76">
        <f t="shared" si="7"/>
        <v>520313.9800000001</v>
      </c>
      <c r="I21" s="77">
        <f t="shared" si="6"/>
        <v>109.60467122852522</v>
      </c>
      <c r="J21" s="12">
        <v>270939.26999999996</v>
      </c>
    </row>
    <row r="22" spans="1:10" x14ac:dyDescent="0.3">
      <c r="A22" s="167"/>
      <c r="B22" s="3" t="s">
        <v>48</v>
      </c>
      <c r="C22" s="19">
        <v>37259.519999999997</v>
      </c>
      <c r="D22" s="12">
        <v>31883.610000000004</v>
      </c>
      <c r="E22" s="9">
        <f t="shared" si="4"/>
        <v>116.86104553405336</v>
      </c>
      <c r="F22" s="10">
        <v>47331.64</v>
      </c>
      <c r="G22" s="11">
        <f t="shared" si="5"/>
        <v>78.720111958934865</v>
      </c>
      <c r="H22" s="76">
        <f t="shared" si="7"/>
        <v>84591.16</v>
      </c>
      <c r="I22" s="77">
        <f t="shared" si="6"/>
        <v>121.82497912125055</v>
      </c>
      <c r="J22" s="12">
        <v>31883.610000000004</v>
      </c>
    </row>
    <row r="23" spans="1:10" x14ac:dyDescent="0.3">
      <c r="A23" s="167"/>
      <c r="B23" s="3" t="s">
        <v>49</v>
      </c>
      <c r="C23" s="19">
        <v>5498.11</v>
      </c>
      <c r="D23" s="12">
        <v>7113.7300000000014</v>
      </c>
      <c r="E23" s="9">
        <f t="shared" si="4"/>
        <v>77.288707893046251</v>
      </c>
      <c r="F23" s="12">
        <v>4883.2700000000004</v>
      </c>
      <c r="G23" s="11">
        <f t="shared" si="5"/>
        <v>112.59074349769723</v>
      </c>
      <c r="H23" s="76">
        <f t="shared" si="7"/>
        <v>10381.380000000001</v>
      </c>
      <c r="I23" s="77">
        <f t="shared" si="6"/>
        <v>72.88907799147772</v>
      </c>
      <c r="J23" s="12">
        <v>7113.7300000000014</v>
      </c>
    </row>
    <row r="24" spans="1:10" x14ac:dyDescent="0.3">
      <c r="A24" s="167"/>
      <c r="B24" s="3" t="s">
        <v>50</v>
      </c>
      <c r="C24" s="19">
        <v>38580.610000000008</v>
      </c>
      <c r="D24" s="12">
        <v>35011.5</v>
      </c>
      <c r="E24" s="9">
        <f t="shared" si="4"/>
        <v>110.19410765034348</v>
      </c>
      <c r="F24" s="10">
        <v>73899.229999999981</v>
      </c>
      <c r="G24" s="11">
        <f t="shared" si="5"/>
        <v>52.207052766314369</v>
      </c>
      <c r="H24" s="76">
        <f t="shared" si="7"/>
        <v>112479.84</v>
      </c>
      <c r="I24" s="77">
        <f t="shared" si="6"/>
        <v>158.25725422991934</v>
      </c>
      <c r="J24" s="12">
        <v>35011.5</v>
      </c>
    </row>
    <row r="25" spans="1:10" x14ac:dyDescent="0.3">
      <c r="A25" s="167"/>
      <c r="B25" s="3" t="s">
        <v>51</v>
      </c>
      <c r="C25" s="19">
        <v>55404.48000000001</v>
      </c>
      <c r="D25" s="12">
        <v>55245.630000000005</v>
      </c>
      <c r="E25" s="9">
        <f t="shared" si="4"/>
        <v>100.28753405472976</v>
      </c>
      <c r="F25" s="10">
        <v>41729.579999999987</v>
      </c>
      <c r="G25" s="11">
        <f t="shared" si="5"/>
        <v>132.77027949957807</v>
      </c>
      <c r="H25" s="76">
        <f t="shared" si="7"/>
        <v>97134.06</v>
      </c>
      <c r="I25" s="77">
        <f t="shared" si="6"/>
        <v>96.421198793082979</v>
      </c>
      <c r="J25" s="12">
        <v>55245.630000000005</v>
      </c>
    </row>
    <row r="26" spans="1:10" ht="15" thickBot="1" x14ac:dyDescent="0.35">
      <c r="A26" s="167"/>
      <c r="B26" s="3" t="s">
        <v>52</v>
      </c>
      <c r="C26" s="22">
        <v>180247.09999999998</v>
      </c>
      <c r="D26" s="17">
        <v>191145.22999999998</v>
      </c>
      <c r="E26" s="14">
        <f t="shared" si="4"/>
        <v>94.298507998342401</v>
      </c>
      <c r="F26" s="15">
        <v>118045.79999999994</v>
      </c>
      <c r="G26" s="16">
        <f t="shared" si="5"/>
        <v>152.69251426141383</v>
      </c>
      <c r="H26" s="78">
        <f t="shared" si="7"/>
        <v>298292.89999999997</v>
      </c>
      <c r="I26" s="79">
        <f t="shared" si="6"/>
        <v>87.544660432211501</v>
      </c>
      <c r="J26" s="17">
        <v>191145.22999999998</v>
      </c>
    </row>
  </sheetData>
  <mergeCells count="10">
    <mergeCell ref="A18:B18"/>
    <mergeCell ref="A19:A26"/>
    <mergeCell ref="H3:I3"/>
    <mergeCell ref="H16:I16"/>
    <mergeCell ref="A3:B4"/>
    <mergeCell ref="C3:G3"/>
    <mergeCell ref="A5:B5"/>
    <mergeCell ref="A6:A13"/>
    <mergeCell ref="A16:B17"/>
    <mergeCell ref="C16:G16"/>
  </mergeCells>
  <conditionalFormatting sqref="E5:E13 G5:G13">
    <cfRule type="cellIs" dxfId="7" priority="7" operator="lessThan">
      <formula>100</formula>
    </cfRule>
    <cfRule type="cellIs" dxfId="6" priority="8" operator="greaterThanOrEqual">
      <formula>100</formula>
    </cfRule>
  </conditionalFormatting>
  <conditionalFormatting sqref="E18:E26 G18:G26">
    <cfRule type="cellIs" dxfId="5" priority="5" operator="lessThan">
      <formula>100</formula>
    </cfRule>
    <cfRule type="cellIs" dxfId="4" priority="6" operator="greaterThanOrEqual">
      <formula>100</formula>
    </cfRule>
  </conditionalFormatting>
  <conditionalFormatting sqref="E3:E26 G3:G26 I4">
    <cfRule type="containsText" dxfId="3" priority="4" operator="containsText" text="N/A">
      <formula>NOT(ISERROR(SEARCH("N/A",E3)))</formula>
    </cfRule>
  </conditionalFormatting>
  <conditionalFormatting sqref="I17">
    <cfRule type="containsText" dxfId="2" priority="3" operator="containsText" text="N/A">
      <formula>NOT(ISERROR(SEARCH("N/A",I17)))</formula>
    </cfRule>
  </conditionalFormatting>
  <conditionalFormatting sqref="I5:I13 I18:I26">
    <cfRule type="cellIs" dxfId="1" priority="2" operator="greaterThanOrEqual">
      <formula>100</formula>
    </cfRule>
  </conditionalFormatting>
  <conditionalFormatting sqref="I5:I13 I18:I26">
    <cfRule type="cellIs" dxfId="0" priority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M15"/>
  <sheetViews>
    <sheetView workbookViewId="0">
      <selection activeCell="D31" sqref="D31"/>
    </sheetView>
  </sheetViews>
  <sheetFormatPr baseColWidth="10" defaultColWidth="11.44140625" defaultRowHeight="14.4" x14ac:dyDescent="0.3"/>
  <sheetData>
    <row r="1" spans="1:13" x14ac:dyDescent="0.3">
      <c r="A1" s="83"/>
      <c r="B1" s="86">
        <v>2016</v>
      </c>
      <c r="C1" s="86">
        <v>2015</v>
      </c>
    </row>
    <row r="2" spans="1:13" x14ac:dyDescent="0.3">
      <c r="A2" s="85" t="s">
        <v>54</v>
      </c>
      <c r="B2" s="84">
        <f>'P12M &amp; PM sites'!C5</f>
        <v>588241.50999999989</v>
      </c>
      <c r="C2" s="84">
        <f>'P12M &amp; PM sites'!D5</f>
        <v>534675.0399999998</v>
      </c>
    </row>
    <row r="3" spans="1:13" x14ac:dyDescent="0.3">
      <c r="A3" s="85" t="s">
        <v>55</v>
      </c>
      <c r="B3" s="84">
        <f>'P12M &amp; PM sites'!C18</f>
        <v>608242.10000000009</v>
      </c>
      <c r="C3" s="84">
        <f>'P12M &amp; PM sites'!D18</f>
        <v>628920.10999999987</v>
      </c>
      <c r="D3" s="82"/>
      <c r="E3" s="82"/>
      <c r="F3" s="82"/>
      <c r="G3" s="82"/>
      <c r="H3" s="82"/>
      <c r="I3" s="82"/>
      <c r="J3" s="82"/>
      <c r="K3" s="82"/>
      <c r="L3" s="82"/>
      <c r="M3" s="82"/>
    </row>
    <row r="4" spans="1:13" x14ac:dyDescent="0.3">
      <c r="A4" s="85" t="s">
        <v>56</v>
      </c>
      <c r="B4" s="84"/>
      <c r="C4" s="84"/>
    </row>
    <row r="5" spans="1:13" x14ac:dyDescent="0.3">
      <c r="A5" s="85" t="s">
        <v>57</v>
      </c>
      <c r="B5" s="84"/>
      <c r="C5" s="84"/>
    </row>
    <row r="6" spans="1:13" x14ac:dyDescent="0.3">
      <c r="A6" s="85" t="s">
        <v>58</v>
      </c>
      <c r="B6" s="84"/>
      <c r="C6" s="84"/>
    </row>
    <row r="7" spans="1:13" x14ac:dyDescent="0.3">
      <c r="A7" s="85" t="s">
        <v>59</v>
      </c>
      <c r="B7" s="84"/>
      <c r="C7" s="84"/>
    </row>
    <row r="8" spans="1:13" x14ac:dyDescent="0.3">
      <c r="A8" s="85" t="s">
        <v>60</v>
      </c>
      <c r="B8" s="84"/>
      <c r="C8" s="84"/>
    </row>
    <row r="9" spans="1:13" x14ac:dyDescent="0.3">
      <c r="A9" s="85" t="s">
        <v>61</v>
      </c>
      <c r="B9" s="84"/>
      <c r="C9" s="84"/>
    </row>
    <row r="10" spans="1:13" x14ac:dyDescent="0.3">
      <c r="A10" s="85" t="s">
        <v>62</v>
      </c>
      <c r="B10" s="84"/>
      <c r="C10" s="84"/>
    </row>
    <row r="11" spans="1:13" x14ac:dyDescent="0.3">
      <c r="A11" s="85" t="s">
        <v>63</v>
      </c>
      <c r="B11" s="84"/>
      <c r="C11" s="84"/>
    </row>
    <row r="12" spans="1:13" x14ac:dyDescent="0.3">
      <c r="A12" s="85" t="s">
        <v>64</v>
      </c>
      <c r="B12" s="84"/>
      <c r="C12" s="84"/>
    </row>
    <row r="13" spans="1:13" x14ac:dyDescent="0.3">
      <c r="A13" s="85" t="s">
        <v>65</v>
      </c>
      <c r="B13" s="84"/>
      <c r="C13" s="84"/>
    </row>
    <row r="14" spans="1:13" x14ac:dyDescent="0.3">
      <c r="A14" s="82"/>
      <c r="B14" s="82"/>
    </row>
    <row r="15" spans="1:13" x14ac:dyDescent="0.3">
      <c r="B15" s="82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C125"/>
  <sheetViews>
    <sheetView topLeftCell="A85" workbookViewId="0">
      <selection activeCell="D31" sqref="D31"/>
    </sheetView>
  </sheetViews>
  <sheetFormatPr baseColWidth="10" defaultColWidth="11.44140625" defaultRowHeight="14.4" x14ac:dyDescent="0.3"/>
  <sheetData>
    <row r="1" spans="1:3" x14ac:dyDescent="0.3">
      <c r="A1" s="83" t="s">
        <v>45</v>
      </c>
      <c r="B1" s="86">
        <v>2016</v>
      </c>
      <c r="C1" s="86">
        <v>2015</v>
      </c>
    </row>
    <row r="2" spans="1:3" x14ac:dyDescent="0.3">
      <c r="A2" s="85" t="s">
        <v>54</v>
      </c>
      <c r="B2" s="84">
        <f>'P12M &amp; PM sites'!C6</f>
        <v>14149.119999999995</v>
      </c>
      <c r="C2" s="84">
        <f>'P12M &amp; PM sites'!D6</f>
        <v>32512.629999999997</v>
      </c>
    </row>
    <row r="3" spans="1:3" x14ac:dyDescent="0.3">
      <c r="A3" s="85" t="s">
        <v>55</v>
      </c>
      <c r="B3" s="84">
        <f>'P12M &amp; PM sites'!C19</f>
        <v>24793.009999999995</v>
      </c>
      <c r="C3" s="84">
        <f>'P12M &amp; PM sites'!D19</f>
        <v>29899.050000000003</v>
      </c>
    </row>
    <row r="4" spans="1:3" x14ac:dyDescent="0.3">
      <c r="A4" s="85" t="s">
        <v>56</v>
      </c>
      <c r="B4" s="84"/>
      <c r="C4" s="84"/>
    </row>
    <row r="5" spans="1:3" x14ac:dyDescent="0.3">
      <c r="A5" s="85" t="s">
        <v>57</v>
      </c>
      <c r="B5" s="84"/>
      <c r="C5" s="84"/>
    </row>
    <row r="6" spans="1:3" x14ac:dyDescent="0.3">
      <c r="A6" s="85" t="s">
        <v>58</v>
      </c>
      <c r="B6" s="84"/>
      <c r="C6" s="84"/>
    </row>
    <row r="7" spans="1:3" x14ac:dyDescent="0.3">
      <c r="A7" s="85" t="s">
        <v>59</v>
      </c>
      <c r="B7" s="84"/>
      <c r="C7" s="84"/>
    </row>
    <row r="8" spans="1:3" x14ac:dyDescent="0.3">
      <c r="A8" s="85" t="s">
        <v>60</v>
      </c>
      <c r="B8" s="84"/>
      <c r="C8" s="84"/>
    </row>
    <row r="9" spans="1:3" x14ac:dyDescent="0.3">
      <c r="A9" s="85" t="s">
        <v>61</v>
      </c>
      <c r="B9" s="84"/>
      <c r="C9" s="84"/>
    </row>
    <row r="10" spans="1:3" x14ac:dyDescent="0.3">
      <c r="A10" s="85" t="s">
        <v>62</v>
      </c>
      <c r="B10" s="84"/>
      <c r="C10" s="84"/>
    </row>
    <row r="11" spans="1:3" x14ac:dyDescent="0.3">
      <c r="A11" s="85" t="s">
        <v>63</v>
      </c>
      <c r="B11" s="84"/>
      <c r="C11" s="84"/>
    </row>
    <row r="12" spans="1:3" x14ac:dyDescent="0.3">
      <c r="A12" s="85" t="s">
        <v>64</v>
      </c>
      <c r="B12" s="84"/>
      <c r="C12" s="84"/>
    </row>
    <row r="13" spans="1:3" x14ac:dyDescent="0.3">
      <c r="A13" s="85" t="s">
        <v>65</v>
      </c>
      <c r="B13" s="84"/>
      <c r="C13" s="84"/>
    </row>
    <row r="17" spans="1:3" x14ac:dyDescent="0.3">
      <c r="A17" s="83" t="s">
        <v>46</v>
      </c>
      <c r="B17" s="86">
        <v>2016</v>
      </c>
      <c r="C17" s="86">
        <v>2015</v>
      </c>
    </row>
    <row r="18" spans="1:3" x14ac:dyDescent="0.3">
      <c r="A18" s="85" t="s">
        <v>54</v>
      </c>
      <c r="B18" s="84">
        <f>'P12M &amp; PM sites'!C7</f>
        <v>25099.45</v>
      </c>
      <c r="C18" s="84">
        <f>'P12M &amp; PM sites'!D7</f>
        <v>22557.610000000004</v>
      </c>
    </row>
    <row r="19" spans="1:3" x14ac:dyDescent="0.3">
      <c r="A19" s="85" t="s">
        <v>55</v>
      </c>
      <c r="B19" s="84">
        <f>'P12M &amp; PM sites'!C20</f>
        <v>9248.7099999999991</v>
      </c>
      <c r="C19" s="84">
        <f>'P12M &amp; PM sites'!D20</f>
        <v>7682.090000000002</v>
      </c>
    </row>
    <row r="20" spans="1:3" x14ac:dyDescent="0.3">
      <c r="A20" s="85" t="s">
        <v>56</v>
      </c>
      <c r="B20" s="84"/>
      <c r="C20" s="84"/>
    </row>
    <row r="21" spans="1:3" x14ac:dyDescent="0.3">
      <c r="A21" s="85" t="s">
        <v>57</v>
      </c>
      <c r="B21" s="84"/>
      <c r="C21" s="84"/>
    </row>
    <row r="22" spans="1:3" x14ac:dyDescent="0.3">
      <c r="A22" s="85" t="s">
        <v>58</v>
      </c>
      <c r="B22" s="84"/>
      <c r="C22" s="84"/>
    </row>
    <row r="23" spans="1:3" x14ac:dyDescent="0.3">
      <c r="A23" s="85" t="s">
        <v>59</v>
      </c>
      <c r="B23" s="84"/>
      <c r="C23" s="84"/>
    </row>
    <row r="24" spans="1:3" x14ac:dyDescent="0.3">
      <c r="A24" s="85" t="s">
        <v>60</v>
      </c>
      <c r="B24" s="84"/>
      <c r="C24" s="84"/>
    </row>
    <row r="25" spans="1:3" x14ac:dyDescent="0.3">
      <c r="A25" s="85" t="s">
        <v>61</v>
      </c>
      <c r="B25" s="84"/>
      <c r="C25" s="84"/>
    </row>
    <row r="26" spans="1:3" x14ac:dyDescent="0.3">
      <c r="A26" s="85" t="s">
        <v>62</v>
      </c>
      <c r="B26" s="84"/>
      <c r="C26" s="84"/>
    </row>
    <row r="27" spans="1:3" x14ac:dyDescent="0.3">
      <c r="A27" s="85" t="s">
        <v>63</v>
      </c>
      <c r="B27" s="84"/>
      <c r="C27" s="84"/>
    </row>
    <row r="28" spans="1:3" x14ac:dyDescent="0.3">
      <c r="A28" s="85" t="s">
        <v>64</v>
      </c>
      <c r="B28" s="84"/>
      <c r="C28" s="84"/>
    </row>
    <row r="29" spans="1:3" x14ac:dyDescent="0.3">
      <c r="A29" s="85" t="s">
        <v>65</v>
      </c>
      <c r="B29" s="84"/>
      <c r="C29" s="84"/>
    </row>
    <row r="33" spans="1:3" x14ac:dyDescent="0.3">
      <c r="A33" s="83" t="s">
        <v>47</v>
      </c>
      <c r="B33" s="86">
        <v>2016</v>
      </c>
      <c r="C33" s="86">
        <v>2015</v>
      </c>
    </row>
    <row r="34" spans="1:3" x14ac:dyDescent="0.3">
      <c r="A34" s="85" t="s">
        <v>54</v>
      </c>
      <c r="B34" s="84">
        <f>'P12M &amp; PM sites'!C8</f>
        <v>263103.42</v>
      </c>
      <c r="C34" s="84">
        <f>'P12M &amp; PM sites'!D8</f>
        <v>203779.52999999991</v>
      </c>
    </row>
    <row r="35" spans="1:3" x14ac:dyDescent="0.3">
      <c r="A35" s="85" t="s">
        <v>55</v>
      </c>
      <c r="B35" s="84">
        <f>'P12M &amp; PM sites'!C21</f>
        <v>257210.56000000008</v>
      </c>
      <c r="C35" s="84">
        <f>'P12M &amp; PM sites'!D21</f>
        <v>270939.26999999996</v>
      </c>
    </row>
    <row r="36" spans="1:3" x14ac:dyDescent="0.3">
      <c r="A36" s="85" t="s">
        <v>56</v>
      </c>
      <c r="B36" s="84"/>
      <c r="C36" s="84"/>
    </row>
    <row r="37" spans="1:3" x14ac:dyDescent="0.3">
      <c r="A37" s="85" t="s">
        <v>57</v>
      </c>
      <c r="B37" s="84"/>
      <c r="C37" s="84"/>
    </row>
    <row r="38" spans="1:3" x14ac:dyDescent="0.3">
      <c r="A38" s="85" t="s">
        <v>58</v>
      </c>
      <c r="B38" s="84"/>
      <c r="C38" s="84"/>
    </row>
    <row r="39" spans="1:3" x14ac:dyDescent="0.3">
      <c r="A39" s="85" t="s">
        <v>59</v>
      </c>
      <c r="B39" s="84"/>
      <c r="C39" s="84"/>
    </row>
    <row r="40" spans="1:3" x14ac:dyDescent="0.3">
      <c r="A40" s="85" t="s">
        <v>60</v>
      </c>
      <c r="B40" s="84"/>
      <c r="C40" s="84"/>
    </row>
    <row r="41" spans="1:3" x14ac:dyDescent="0.3">
      <c r="A41" s="85" t="s">
        <v>61</v>
      </c>
      <c r="B41" s="84"/>
      <c r="C41" s="84"/>
    </row>
    <row r="42" spans="1:3" x14ac:dyDescent="0.3">
      <c r="A42" s="85" t="s">
        <v>62</v>
      </c>
      <c r="B42" s="84"/>
      <c r="C42" s="84"/>
    </row>
    <row r="43" spans="1:3" x14ac:dyDescent="0.3">
      <c r="A43" s="85" t="s">
        <v>63</v>
      </c>
      <c r="B43" s="84"/>
      <c r="C43" s="84"/>
    </row>
    <row r="44" spans="1:3" x14ac:dyDescent="0.3">
      <c r="A44" s="85" t="s">
        <v>64</v>
      </c>
      <c r="B44" s="84"/>
      <c r="C44" s="84"/>
    </row>
    <row r="45" spans="1:3" x14ac:dyDescent="0.3">
      <c r="A45" s="85" t="s">
        <v>65</v>
      </c>
      <c r="B45" s="84"/>
      <c r="C45" s="84"/>
    </row>
    <row r="49" spans="1:3" x14ac:dyDescent="0.3">
      <c r="A49" s="83" t="s">
        <v>48</v>
      </c>
      <c r="B49" s="86">
        <v>2016</v>
      </c>
      <c r="C49" s="86">
        <v>2015</v>
      </c>
    </row>
    <row r="50" spans="1:3" x14ac:dyDescent="0.3">
      <c r="A50" s="85" t="s">
        <v>54</v>
      </c>
      <c r="B50" s="84">
        <f>'P12M &amp; PM sites'!C9</f>
        <v>47331.64</v>
      </c>
      <c r="C50" s="84">
        <f>'P12M &amp; PM sites'!D9</f>
        <v>37553.020000000004</v>
      </c>
    </row>
    <row r="51" spans="1:3" x14ac:dyDescent="0.3">
      <c r="A51" s="85" t="s">
        <v>55</v>
      </c>
      <c r="B51" s="84">
        <f>'P12M &amp; PM sites'!C22</f>
        <v>37259.519999999997</v>
      </c>
      <c r="C51" s="84">
        <f>'P12M &amp; PM sites'!D22</f>
        <v>31883.610000000004</v>
      </c>
    </row>
    <row r="52" spans="1:3" x14ac:dyDescent="0.3">
      <c r="A52" s="85" t="s">
        <v>56</v>
      </c>
      <c r="B52" s="84"/>
      <c r="C52" s="84"/>
    </row>
    <row r="53" spans="1:3" x14ac:dyDescent="0.3">
      <c r="A53" s="85" t="s">
        <v>57</v>
      </c>
      <c r="B53" s="84"/>
      <c r="C53" s="84"/>
    </row>
    <row r="54" spans="1:3" x14ac:dyDescent="0.3">
      <c r="A54" s="85" t="s">
        <v>58</v>
      </c>
      <c r="B54" s="84"/>
      <c r="C54" s="84"/>
    </row>
    <row r="55" spans="1:3" x14ac:dyDescent="0.3">
      <c r="A55" s="85" t="s">
        <v>59</v>
      </c>
      <c r="B55" s="84"/>
      <c r="C55" s="84"/>
    </row>
    <row r="56" spans="1:3" x14ac:dyDescent="0.3">
      <c r="A56" s="85" t="s">
        <v>60</v>
      </c>
      <c r="B56" s="84"/>
      <c r="C56" s="84"/>
    </row>
    <row r="57" spans="1:3" x14ac:dyDescent="0.3">
      <c r="A57" s="85" t="s">
        <v>61</v>
      </c>
      <c r="B57" s="84"/>
      <c r="C57" s="84"/>
    </row>
    <row r="58" spans="1:3" x14ac:dyDescent="0.3">
      <c r="A58" s="85" t="s">
        <v>62</v>
      </c>
      <c r="B58" s="84"/>
      <c r="C58" s="84"/>
    </row>
    <row r="59" spans="1:3" x14ac:dyDescent="0.3">
      <c r="A59" s="85" t="s">
        <v>63</v>
      </c>
      <c r="B59" s="84"/>
      <c r="C59" s="84"/>
    </row>
    <row r="60" spans="1:3" x14ac:dyDescent="0.3">
      <c r="A60" s="85" t="s">
        <v>64</v>
      </c>
      <c r="B60" s="84"/>
      <c r="C60" s="84"/>
    </row>
    <row r="61" spans="1:3" x14ac:dyDescent="0.3">
      <c r="A61" s="85" t="s">
        <v>65</v>
      </c>
      <c r="B61" s="84"/>
      <c r="C61" s="84"/>
    </row>
    <row r="65" spans="1:3" x14ac:dyDescent="0.3">
      <c r="A65" s="83" t="s">
        <v>49</v>
      </c>
      <c r="B65" s="86">
        <v>2016</v>
      </c>
      <c r="C65" s="86">
        <v>2015</v>
      </c>
    </row>
    <row r="66" spans="1:3" x14ac:dyDescent="0.3">
      <c r="A66" s="85" t="s">
        <v>54</v>
      </c>
      <c r="B66" s="84">
        <f>'P12M &amp; PM sites'!C10</f>
        <v>4883.2700000000004</v>
      </c>
      <c r="C66" s="84">
        <f>'P12M &amp; PM sites'!D10</f>
        <v>7128.9800000000059</v>
      </c>
    </row>
    <row r="67" spans="1:3" x14ac:dyDescent="0.3">
      <c r="A67" s="85" t="s">
        <v>55</v>
      </c>
      <c r="B67" s="84">
        <f>'P12M &amp; PM sites'!C23</f>
        <v>5498.11</v>
      </c>
      <c r="C67" s="84">
        <f>'P12M &amp; PM sites'!D23</f>
        <v>7113.7300000000014</v>
      </c>
    </row>
    <row r="68" spans="1:3" x14ac:dyDescent="0.3">
      <c r="A68" s="85" t="s">
        <v>56</v>
      </c>
      <c r="B68" s="84"/>
      <c r="C68" s="84"/>
    </row>
    <row r="69" spans="1:3" x14ac:dyDescent="0.3">
      <c r="A69" s="85" t="s">
        <v>57</v>
      </c>
      <c r="B69" s="84"/>
      <c r="C69" s="84"/>
    </row>
    <row r="70" spans="1:3" x14ac:dyDescent="0.3">
      <c r="A70" s="85" t="s">
        <v>58</v>
      </c>
      <c r="B70" s="84"/>
      <c r="C70" s="84"/>
    </row>
    <row r="71" spans="1:3" x14ac:dyDescent="0.3">
      <c r="A71" s="85" t="s">
        <v>59</v>
      </c>
      <c r="B71" s="84"/>
      <c r="C71" s="84"/>
    </row>
    <row r="72" spans="1:3" x14ac:dyDescent="0.3">
      <c r="A72" s="85" t="s">
        <v>60</v>
      </c>
      <c r="B72" s="84"/>
      <c r="C72" s="84"/>
    </row>
    <row r="73" spans="1:3" x14ac:dyDescent="0.3">
      <c r="A73" s="85" t="s">
        <v>61</v>
      </c>
      <c r="B73" s="84"/>
      <c r="C73" s="84"/>
    </row>
    <row r="74" spans="1:3" x14ac:dyDescent="0.3">
      <c r="A74" s="85" t="s">
        <v>62</v>
      </c>
      <c r="B74" s="84"/>
      <c r="C74" s="84"/>
    </row>
    <row r="75" spans="1:3" x14ac:dyDescent="0.3">
      <c r="A75" s="85" t="s">
        <v>63</v>
      </c>
      <c r="B75" s="84"/>
      <c r="C75" s="84"/>
    </row>
    <row r="76" spans="1:3" x14ac:dyDescent="0.3">
      <c r="A76" s="85" t="s">
        <v>64</v>
      </c>
      <c r="B76" s="84"/>
      <c r="C76" s="84"/>
    </row>
    <row r="77" spans="1:3" x14ac:dyDescent="0.3">
      <c r="A77" s="85" t="s">
        <v>65</v>
      </c>
      <c r="B77" s="84"/>
      <c r="C77" s="84"/>
    </row>
    <row r="81" spans="1:3" x14ac:dyDescent="0.3">
      <c r="A81" s="83" t="s">
        <v>50</v>
      </c>
      <c r="B81" s="86">
        <v>2016</v>
      </c>
      <c r="C81" s="86">
        <v>2015</v>
      </c>
    </row>
    <row r="82" spans="1:3" x14ac:dyDescent="0.3">
      <c r="A82" s="85" t="s">
        <v>54</v>
      </c>
      <c r="B82" s="84">
        <f>'P12M &amp; PM sites'!C11</f>
        <v>73899.229999999981</v>
      </c>
      <c r="C82" s="84">
        <f>'P12M &amp; PM sites'!D11</f>
        <v>36062.550000000003</v>
      </c>
    </row>
    <row r="83" spans="1:3" x14ac:dyDescent="0.3">
      <c r="A83" s="85" t="s">
        <v>55</v>
      </c>
      <c r="B83" s="84">
        <f>'P12M &amp; PM sites'!C24</f>
        <v>38580.610000000008</v>
      </c>
      <c r="C83" s="84">
        <f>'P12M &amp; PM sites'!D24</f>
        <v>35011.5</v>
      </c>
    </row>
    <row r="84" spans="1:3" x14ac:dyDescent="0.3">
      <c r="A84" s="85" t="s">
        <v>56</v>
      </c>
      <c r="B84" s="84"/>
      <c r="C84" s="84"/>
    </row>
    <row r="85" spans="1:3" x14ac:dyDescent="0.3">
      <c r="A85" s="85" t="s">
        <v>57</v>
      </c>
      <c r="B85" s="84"/>
      <c r="C85" s="84"/>
    </row>
    <row r="86" spans="1:3" x14ac:dyDescent="0.3">
      <c r="A86" s="85" t="s">
        <v>58</v>
      </c>
      <c r="B86" s="84"/>
      <c r="C86" s="84"/>
    </row>
    <row r="87" spans="1:3" x14ac:dyDescent="0.3">
      <c r="A87" s="85" t="s">
        <v>59</v>
      </c>
      <c r="B87" s="84"/>
      <c r="C87" s="84"/>
    </row>
    <row r="88" spans="1:3" x14ac:dyDescent="0.3">
      <c r="A88" s="85" t="s">
        <v>60</v>
      </c>
      <c r="B88" s="84"/>
      <c r="C88" s="84"/>
    </row>
    <row r="89" spans="1:3" x14ac:dyDescent="0.3">
      <c r="A89" s="85" t="s">
        <v>61</v>
      </c>
      <c r="B89" s="84"/>
      <c r="C89" s="84"/>
    </row>
    <row r="90" spans="1:3" x14ac:dyDescent="0.3">
      <c r="A90" s="85" t="s">
        <v>62</v>
      </c>
      <c r="B90" s="84"/>
      <c r="C90" s="84"/>
    </row>
    <row r="91" spans="1:3" x14ac:dyDescent="0.3">
      <c r="A91" s="85" t="s">
        <v>63</v>
      </c>
      <c r="B91" s="84"/>
      <c r="C91" s="84"/>
    </row>
    <row r="92" spans="1:3" x14ac:dyDescent="0.3">
      <c r="A92" s="85" t="s">
        <v>64</v>
      </c>
      <c r="B92" s="84"/>
      <c r="C92" s="84"/>
    </row>
    <row r="93" spans="1:3" x14ac:dyDescent="0.3">
      <c r="A93" s="85" t="s">
        <v>65</v>
      </c>
      <c r="B93" s="84"/>
      <c r="C93" s="84"/>
    </row>
    <row r="97" spans="1:3" x14ac:dyDescent="0.3">
      <c r="A97" s="83" t="s">
        <v>51</v>
      </c>
      <c r="B97" s="86">
        <v>2016</v>
      </c>
      <c r="C97" s="86">
        <v>2015</v>
      </c>
    </row>
    <row r="98" spans="1:3" x14ac:dyDescent="0.3">
      <c r="A98" s="85" t="s">
        <v>54</v>
      </c>
      <c r="B98" s="84">
        <f>'P12M &amp; PM sites'!C12</f>
        <v>41729.579999999987</v>
      </c>
      <c r="C98" s="84">
        <f>'P12M &amp; PM sites'!D12</f>
        <v>45493.69</v>
      </c>
    </row>
    <row r="99" spans="1:3" x14ac:dyDescent="0.3">
      <c r="A99" s="85" t="s">
        <v>55</v>
      </c>
      <c r="B99" s="84">
        <f>'P12M &amp; PM sites'!C25</f>
        <v>55404.48000000001</v>
      </c>
      <c r="C99" s="84">
        <f>'P12M &amp; PM sites'!D25</f>
        <v>55245.630000000005</v>
      </c>
    </row>
    <row r="100" spans="1:3" x14ac:dyDescent="0.3">
      <c r="A100" s="85" t="s">
        <v>56</v>
      </c>
      <c r="B100" s="84"/>
      <c r="C100" s="84"/>
    </row>
    <row r="101" spans="1:3" x14ac:dyDescent="0.3">
      <c r="A101" s="85" t="s">
        <v>57</v>
      </c>
      <c r="B101" s="84"/>
      <c r="C101" s="84"/>
    </row>
    <row r="102" spans="1:3" x14ac:dyDescent="0.3">
      <c r="A102" s="85" t="s">
        <v>58</v>
      </c>
      <c r="B102" s="84"/>
      <c r="C102" s="84"/>
    </row>
    <row r="103" spans="1:3" x14ac:dyDescent="0.3">
      <c r="A103" s="85" t="s">
        <v>59</v>
      </c>
      <c r="B103" s="84"/>
      <c r="C103" s="84"/>
    </row>
    <row r="104" spans="1:3" x14ac:dyDescent="0.3">
      <c r="A104" s="85" t="s">
        <v>60</v>
      </c>
      <c r="B104" s="84"/>
      <c r="C104" s="84"/>
    </row>
    <row r="105" spans="1:3" x14ac:dyDescent="0.3">
      <c r="A105" s="85" t="s">
        <v>61</v>
      </c>
      <c r="B105" s="84"/>
      <c r="C105" s="84"/>
    </row>
    <row r="106" spans="1:3" x14ac:dyDescent="0.3">
      <c r="A106" s="85" t="s">
        <v>62</v>
      </c>
      <c r="B106" s="84"/>
      <c r="C106" s="84"/>
    </row>
    <row r="107" spans="1:3" x14ac:dyDescent="0.3">
      <c r="A107" s="85" t="s">
        <v>63</v>
      </c>
      <c r="B107" s="84"/>
      <c r="C107" s="84"/>
    </row>
    <row r="108" spans="1:3" x14ac:dyDescent="0.3">
      <c r="A108" s="85" t="s">
        <v>64</v>
      </c>
      <c r="B108" s="84"/>
      <c r="C108" s="84"/>
    </row>
    <row r="109" spans="1:3" x14ac:dyDescent="0.3">
      <c r="A109" s="85" t="s">
        <v>65</v>
      </c>
      <c r="B109" s="84"/>
      <c r="C109" s="84"/>
    </row>
    <row r="113" spans="1:3" x14ac:dyDescent="0.3">
      <c r="A113" s="83" t="s">
        <v>52</v>
      </c>
      <c r="B113" s="86">
        <v>2016</v>
      </c>
      <c r="C113" s="86">
        <v>2015</v>
      </c>
    </row>
    <row r="114" spans="1:3" x14ac:dyDescent="0.3">
      <c r="A114" s="85" t="s">
        <v>54</v>
      </c>
      <c r="B114" s="84">
        <f>'P12M &amp; PM sites'!C13</f>
        <v>118045.8</v>
      </c>
      <c r="C114" s="84">
        <f>'P12M &amp; PM sites'!D13</f>
        <v>149587.02999999997</v>
      </c>
    </row>
    <row r="115" spans="1:3" x14ac:dyDescent="0.3">
      <c r="A115" s="85" t="s">
        <v>55</v>
      </c>
      <c r="B115" s="84">
        <f>'P12M &amp; PM sites'!C26</f>
        <v>180247.09999999998</v>
      </c>
      <c r="C115" s="84">
        <f>'P12M &amp; PM sites'!D26</f>
        <v>191145.22999999998</v>
      </c>
    </row>
    <row r="116" spans="1:3" x14ac:dyDescent="0.3">
      <c r="A116" s="85" t="s">
        <v>56</v>
      </c>
      <c r="B116" s="84"/>
      <c r="C116" s="84"/>
    </row>
    <row r="117" spans="1:3" x14ac:dyDescent="0.3">
      <c r="A117" s="85" t="s">
        <v>57</v>
      </c>
      <c r="B117" s="84"/>
      <c r="C117" s="84"/>
    </row>
    <row r="118" spans="1:3" x14ac:dyDescent="0.3">
      <c r="A118" s="85" t="s">
        <v>58</v>
      </c>
      <c r="B118" s="84"/>
      <c r="C118" s="84"/>
    </row>
    <row r="119" spans="1:3" x14ac:dyDescent="0.3">
      <c r="A119" s="85" t="s">
        <v>59</v>
      </c>
      <c r="B119" s="84"/>
      <c r="C119" s="84"/>
    </row>
    <row r="120" spans="1:3" x14ac:dyDescent="0.3">
      <c r="A120" s="85" t="s">
        <v>60</v>
      </c>
      <c r="B120" s="84"/>
      <c r="C120" s="84"/>
    </row>
    <row r="121" spans="1:3" x14ac:dyDescent="0.3">
      <c r="A121" s="85" t="s">
        <v>61</v>
      </c>
      <c r="B121" s="84"/>
      <c r="C121" s="84"/>
    </row>
    <row r="122" spans="1:3" x14ac:dyDescent="0.3">
      <c r="A122" s="85" t="s">
        <v>62</v>
      </c>
      <c r="B122" s="84"/>
      <c r="C122" s="84"/>
    </row>
    <row r="123" spans="1:3" x14ac:dyDescent="0.3">
      <c r="A123" s="85" t="s">
        <v>63</v>
      </c>
      <c r="B123" s="84"/>
      <c r="C123" s="84"/>
    </row>
    <row r="124" spans="1:3" x14ac:dyDescent="0.3">
      <c r="A124" s="85" t="s">
        <v>64</v>
      </c>
      <c r="B124" s="84"/>
      <c r="C124" s="84"/>
    </row>
    <row r="125" spans="1:3" x14ac:dyDescent="0.3">
      <c r="A125" s="85" t="s">
        <v>65</v>
      </c>
      <c r="B125" s="84"/>
      <c r="C125" s="8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2</vt:i4>
      </vt:variant>
    </vt:vector>
  </HeadingPairs>
  <TitlesOfParts>
    <vt:vector size="8" baseType="lpstr">
      <vt:lpstr>12M glissant produits &amp; sites</vt:lpstr>
      <vt:lpstr>CA brut produits &amp; sites</vt:lpstr>
      <vt:lpstr>P12M &amp; PM produits et sites</vt:lpstr>
      <vt:lpstr>P12M &amp; PM sites</vt:lpstr>
      <vt:lpstr>Courbe CA</vt:lpstr>
      <vt:lpstr>Courbe CA sites</vt:lpstr>
      <vt:lpstr>'12M glissant produits &amp; sites'!Impression_des_titres</vt:lpstr>
      <vt:lpstr>Mois</vt:lpstr>
    </vt:vector>
  </TitlesOfParts>
  <Manager/>
  <Company>Microsoft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Anne-Catherine LECREUX</dc:creator>
  <cp:keywords/>
  <dc:description/>
  <cp:lastModifiedBy>boughanime</cp:lastModifiedBy>
  <cp:revision/>
  <dcterms:created xsi:type="dcterms:W3CDTF">2016-03-18T13:57:22Z</dcterms:created>
  <dcterms:modified xsi:type="dcterms:W3CDTF">2022-07-12T07:36:52Z</dcterms:modified>
  <cp:category/>
  <cp:contentStatus/>
</cp:coreProperties>
</file>